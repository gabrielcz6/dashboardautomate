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esupuesto" sheetId="1" r:id="rId5"/>
    <sheet state="visible" name="RoadMap" sheetId="2" r:id="rId6"/>
    <sheet state="visible" name="Campañas " sheetId="3" r:id="rId7"/>
    <sheet state="visible" name="Links&amp;Etiquetas" sheetId="4" r:id="rId8"/>
    <sheet state="visible" name="ADS CAPTACIÓN" sheetId="5" r:id="rId9"/>
    <sheet state="visible" name="ADS IMG CAPT" sheetId="6" r:id="rId10"/>
    <sheet state="visible" name="Captación marzo" sheetId="7" r:id="rId11"/>
    <sheet state="visible" name="Libro maestro" sheetId="8" r:id="rId12"/>
    <sheet state="visible" name="Lead Scoring Bienvenida" sheetId="9" r:id="rId13"/>
    <sheet state="visible" name="Metricas Webinar" sheetId="10" r:id="rId14"/>
    <sheet state="visible" name="Registrados USA" sheetId="11" r:id="rId15"/>
    <sheet state="visible" name="Compras nov" sheetId="12" r:id="rId16"/>
    <sheet state="visible" name="Compras TAG" sheetId="13" r:id="rId17"/>
    <sheet state="visible" name="Ingresos y Egresos" sheetId="14" r:id="rId18"/>
  </sheets>
  <definedNames>
    <definedName hidden="1" localSheetId="8" name="_xlnm._FilterDatabase">'Lead Scoring Bienvenida'!$A$1:$W$155</definedName>
    <definedName hidden="1" localSheetId="9" name="_xlnm._FilterDatabase">'Metricas Webinar'!$A$2:$D$38</definedName>
    <definedName hidden="1" localSheetId="10" name="_xlnm._FilterDatabase">'Registrados USA'!$A$1:$Z$1451</definedName>
    <definedName hidden="1" localSheetId="11" name="_xlnm._FilterDatabase">'Compras nov'!$A$2:$W$31</definedName>
  </definedNames>
  <calcPr/>
</workbook>
</file>

<file path=xl/sharedStrings.xml><?xml version="1.0" encoding="utf-8"?>
<sst xmlns="http://schemas.openxmlformats.org/spreadsheetml/2006/main" count="9180" uniqueCount="4445">
  <si>
    <t>Presupuesto</t>
  </si>
  <si>
    <t>Captación</t>
  </si>
  <si>
    <t>Whatsapp API</t>
  </si>
  <si>
    <t>Leads Generados Trafico Frio:</t>
  </si>
  <si>
    <t>Leads Generados Trafico Tibio:</t>
  </si>
  <si>
    <t>Gastado</t>
  </si>
  <si>
    <t>Faltante</t>
  </si>
  <si>
    <t>Leads Generados Latam</t>
  </si>
  <si>
    <t>Estados Unidos</t>
  </si>
  <si>
    <t>Total Leads Generados TP</t>
  </si>
  <si>
    <t>LATAM</t>
  </si>
  <si>
    <t>Leads Organicos</t>
  </si>
  <si>
    <t>Meta</t>
  </si>
  <si>
    <t>USA</t>
  </si>
  <si>
    <t>Leads Landing USA</t>
  </si>
  <si>
    <t>Leads Landing LATAM</t>
  </si>
  <si>
    <t>Meta Leads</t>
  </si>
  <si>
    <t>Total Leads TP + TO</t>
  </si>
  <si>
    <t>Captacion Leads</t>
  </si>
  <si>
    <t>Excelente</t>
  </si>
  <si>
    <t>Tráfico</t>
  </si>
  <si>
    <t>Buena</t>
  </si>
  <si>
    <t>Mala</t>
  </si>
  <si>
    <t>VENTAS</t>
  </si>
  <si>
    <t>DIA#1</t>
  </si>
  <si>
    <t>22 de Septiembre 12:00 am</t>
  </si>
  <si>
    <t>DIA#2</t>
  </si>
  <si>
    <t>23 de Septiembre 12:00 am</t>
  </si>
  <si>
    <t>DIA#3</t>
  </si>
  <si>
    <t>24 de Septiembre 12:00 am</t>
  </si>
  <si>
    <t>Lunes, 17 de Noviembre</t>
  </si>
  <si>
    <t>Miércoles, 19 de Noviembre</t>
  </si>
  <si>
    <t>Viernes, 21 de Noviembre</t>
  </si>
  <si>
    <t>Domingo, 23 de Noviembre</t>
  </si>
  <si>
    <t>Lunes, 24 de Noviembre</t>
  </si>
  <si>
    <t>Martes, 25 de Noviembre</t>
  </si>
  <si>
    <t>Miércoles, 26 de Noviembre</t>
  </si>
  <si>
    <t xml:space="preserve"> TURBO PAUTA 10K</t>
  </si>
  <si>
    <t>WHATSAPP CAPTACIÓN #1</t>
  </si>
  <si>
    <t>WHATSAPP CAPTACIÓN #3</t>
  </si>
  <si>
    <t>WHATSAPP CAPTACIÓN #5</t>
  </si>
  <si>
    <t>WHATSAPP CALENTAMIENTO #3</t>
  </si>
  <si>
    <t>WHATSAPP CALENTAMIENTO</t>
  </si>
  <si>
    <t>WHATSAPP CONSUMO #1 - 8 AM</t>
  </si>
  <si>
    <t>WHATSAPP VENTA #1 - 8 AM</t>
  </si>
  <si>
    <t>WHATSAPP VENTA #1 - 10 AM</t>
  </si>
  <si>
    <t>WHATSAPP VIERNES GRUPO</t>
  </si>
  <si>
    <t>7:50 am. Cambio grupos registrados ¡ATENCIÓN!</t>
  </si>
  <si>
    <t>7:50 am. Cambio grupos registrados ¡ÚLTIMO DIA!</t>
  </si>
  <si>
    <t>CAPT1-BEAUTYPRO-NOV24</t>
  </si>
  <si>
    <t>CAPT2-BEAUTYPRO-NOV25</t>
  </si>
  <si>
    <t>CAPT5-BEAUTYPRO-NOV25</t>
  </si>
  <si>
    <t>CAL2-BEAUTYPRO-NOV25</t>
  </si>
  <si>
    <t>CAMBIAR GRUPOS: ¡ES MAÑANA!</t>
  </si>
  <si>
    <t>CONS1-BEAUTYPRO-NOV25</t>
  </si>
  <si>
    <t xml:space="preserve">¡ÚLTIMO DIA! - VENTA A TODA LA BASE  - VENT1-BEAUTYPRO-26-NOV25 </t>
  </si>
  <si>
    <t>WHATSAPP CALENTAMIENTO #2</t>
  </si>
  <si>
    <t>WHATSAPP CALENTAMIENTO #4</t>
  </si>
  <si>
    <t>WHATSAPP CONSUMO #2 - 8:30 AM</t>
  </si>
  <si>
    <t>CORREO VENTA #3 - 8 AM</t>
  </si>
  <si>
    <t>WHATSAPP VENTA #1 - 2 PM</t>
  </si>
  <si>
    <t>WHATSAPP SABADO 1-1</t>
  </si>
  <si>
    <t xml:space="preserve">     </t>
  </si>
  <si>
    <t>CAL1-BEAUTYPRO-NOV25</t>
  </si>
  <si>
    <t>CAL3-BEAUTYPRO-NOV25</t>
  </si>
  <si>
    <t>¿QUE VAS APRENDER?- CONS3-BEAUTYPRO-NOV25</t>
  </si>
  <si>
    <t>VENTA A REGISTRADOS - Martes 25 Noviembre</t>
  </si>
  <si>
    <t>VENT1-BEAUTYPRO-26-NOV25</t>
  </si>
  <si>
    <t>WHATSAPP SÁBADO - 23-AGO25</t>
  </si>
  <si>
    <t>CORREO VENTA #7 - 8 AM</t>
  </si>
  <si>
    <t xml:space="preserve"> </t>
  </si>
  <si>
    <t>1. Lunes, Miércoles y Viernes (1 y 2, 5) de captación por llena tu agenda.</t>
  </si>
  <si>
    <t>Venta/Miércoles 26 Noviembre</t>
  </si>
  <si>
    <t>VENTA A REGISTRADOS-  Venta miércoles 26 de Noviembre</t>
  </si>
  <si>
    <t>2. Grupos BEC, tiro "tienes una nueva oportunidad"</t>
  </si>
  <si>
    <t>UNICHAT 1-1 CONFIRMACIÓN</t>
  </si>
  <si>
    <t>WHATSAPP CONSUMO #3 - 9 AM</t>
  </si>
  <si>
    <t>WHATSAPP VENTA #2 - 12 PM</t>
  </si>
  <si>
    <t>WHATSAPP FALTA UNA HORA - 7 PM</t>
  </si>
  <si>
    <t>WHATSAPP DOMINGO GRUPO</t>
  </si>
  <si>
    <t>3. Mensajes calentamiento (viernes, sábado y domingo 10:00, 5:00)</t>
  </si>
  <si>
    <t>UNI1-BEAUTYPRO-AGO25</t>
  </si>
  <si>
    <t>FALTA 1 HORA-  CONS3-BEAUTYPRO-NOV25</t>
  </si>
  <si>
    <t>VENT2-BEAUTYPRO-NOV25</t>
  </si>
  <si>
    <t>Miércoles 26 de Noviembre</t>
  </si>
  <si>
    <t>WHATSAPP DOMINGO - 24-AGO25</t>
  </si>
  <si>
    <t>4. Seguimos manejando confirmación por zoom</t>
  </si>
  <si>
    <t>WHATSAPP VENTA #1 - 4 PM</t>
  </si>
  <si>
    <t>VENTA A REGISTRADOS - VENT2-BEAUTYPRO-26-NOV-25</t>
  </si>
  <si>
    <t>5. Mensaje de consumo, antes de entrar simplemente pon tu correo y estás dentro.</t>
  </si>
  <si>
    <t>WHATSAPP CALENTAMIENTO #1</t>
  </si>
  <si>
    <t>CORREO CONSUMO #1 FALTA 1 HORA</t>
  </si>
  <si>
    <t>WHATSAPP VENTA #5 - 4:00 PM</t>
  </si>
  <si>
    <t>WHATSAPP LA SALA ESTA ABIERTA 7:45P.M</t>
  </si>
  <si>
    <t>WHATSAPP LUNES 1-1</t>
  </si>
  <si>
    <t>6. Tiro 1-1 desde el lunes para que Alejo pueda enviar la base llena tu agenda y los que nos compraron en el anterior BEC.</t>
  </si>
  <si>
    <t>CAL1-BEAUTYPRO-SEP25</t>
  </si>
  <si>
    <t>FALTA 1 HORA- Email Marketing- Falta una hora</t>
  </si>
  <si>
    <t>VENT3-BEAUTYPRO-NOV25</t>
  </si>
  <si>
    <t>Miércoles 26 de Noviembre- INICIA</t>
  </si>
  <si>
    <t>WHATSAPP LUNES - 25-AGO25</t>
  </si>
  <si>
    <t>WHATSAPP VENTA #3 - 4 PM</t>
  </si>
  <si>
    <t>7. Sacar a las personas que ya nos compraron BEP.</t>
  </si>
  <si>
    <t>Martes 26 de Noviembre</t>
  </si>
  <si>
    <t>VENTA A REGISTRADOS - VENT3-BEAUTYPRO-26-NOV-25</t>
  </si>
  <si>
    <t>8. Videos de calentamiento que haya que re-grabar.</t>
  </si>
  <si>
    <t>WHATSAPP CONSUMO #3 - 9:30 AM</t>
  </si>
  <si>
    <t>WHATSAPP VENTA #5 - 7:00 PM</t>
  </si>
  <si>
    <t>WHATSAPP EN VIVO  8:00 P.M</t>
  </si>
  <si>
    <t>¡LA SALA YA ESTÁ ABIERTA!- CONS4-BEAUTYPRO-NOV25</t>
  </si>
  <si>
    <t>WHATSAPP VENTA #1 - 7 PM</t>
  </si>
  <si>
    <t>SESIÓN BIENVENIDA EN VIVO- 8:00</t>
  </si>
  <si>
    <t>CORREO VENTA #8 - 7 PM</t>
  </si>
  <si>
    <t>VENTA A REGISTRADOS- Venta # 10 /Miércoles 26 Noviembre</t>
  </si>
  <si>
    <t>WHATSAPP VENTA #5 - 9 PM</t>
  </si>
  <si>
    <t>WHATSAPP EN VIVO  8:15 P.M</t>
  </si>
  <si>
    <t>WHATSAPP CONSUMO #3 - 9:45 AM</t>
  </si>
  <si>
    <t>WHATSAPP VENTA #1 - 9 PM</t>
  </si>
  <si>
    <t>SESIÓN EN VIVO- 8:15</t>
  </si>
  <si>
    <t>WHATSAPP VENTA #4 - 7 PM</t>
  </si>
  <si>
    <t>LA SALA TIENE CUPOS LIMITADOS- CONS5-BEAUTYPRO-NOV25</t>
  </si>
  <si>
    <t>1 HORA - SESIÓN VIP - 
Miércoles 26 de Noviembre</t>
  </si>
  <si>
    <t>WHATSAPP VENTA #5 - 11 PM</t>
  </si>
  <si>
    <t>WHATSAPP EN VIVO  8:30 P.M</t>
  </si>
  <si>
    <t>UNICHAT 1-1 EN VIVO - 9:50 AM</t>
  </si>
  <si>
    <t>WHATSAPP VENTA #1 - 11 PM</t>
  </si>
  <si>
    <t>SESIÓN EN VIVO - 8:30</t>
  </si>
  <si>
    <t>WHATSAPP VENTA #5 - 7:45 PM</t>
  </si>
  <si>
    <t>UNI2-BEAUTYPRO-NOV25</t>
  </si>
  <si>
    <t>SESIÓN VIP A PUNTO DE INICIAR-Miércoles 26 de Noviembre- INICIA</t>
  </si>
  <si>
    <t>WHATSAPP EN VIVO  9:20 P.M</t>
  </si>
  <si>
    <t xml:space="preserve">7:50 am. Cambio grupos registrados EN VIVO </t>
  </si>
  <si>
    <t>WHATSAPP EN VIVO #1 - 9:55 AM</t>
  </si>
  <si>
    <t>VENT3-BEAUTYPRO-26-NOV-25</t>
  </si>
  <si>
    <t>WHATSAPP VENTA #5 - 7:55 PM</t>
  </si>
  <si>
    <t>EN VIVO-  VIVO1-BEAUTYPRO-NOV25</t>
  </si>
  <si>
    <t>SESIÓN VIP EN VIVO- 
SESIÓN VIP EN VIVO- 7:55</t>
  </si>
  <si>
    <t>VENTA A REGISTRADOS - VENT4-BEAUTYPRO-26-NOV-25</t>
  </si>
  <si>
    <t>WHATSAPP EN VIVO  11:00 P.M</t>
  </si>
  <si>
    <t>CORREO DE CAPTACIÓN #1</t>
  </si>
  <si>
    <t>CORREO DE CAPTACIÓN #2</t>
  </si>
  <si>
    <t>CORREO DE CAPTACIÓN #3</t>
  </si>
  <si>
    <t>CORREO DE RECORDACIÓN #1</t>
  </si>
  <si>
    <t>CORREO DE RECORDACIÓN #2</t>
  </si>
  <si>
    <t>CORREO CONSUMO #1 EN VIVO</t>
  </si>
  <si>
    <t>VENT4-BEAUTYPRO-26-NOV-25</t>
  </si>
  <si>
    <t>WHATSAPP VENTA #5 - 8:00 PM</t>
  </si>
  <si>
    <t>MENSAJE DE CAPTACIÓN/Lunes 11 Agosto</t>
  </si>
  <si>
    <t>MENSAJE DE CAPTACIÓN/Miercoles 13 Agosto</t>
  </si>
  <si>
    <t>MENSAJE DE CAPTACIÓN/Domingo 17 Agosto</t>
  </si>
  <si>
    <t>Recordación/Sábado 16 Agosto</t>
  </si>
  <si>
    <t>Email Recordación/Domingo 17 Agosto</t>
  </si>
  <si>
    <t>EN VIVO-  VIVO2-BEAUTYPRO-NOV25</t>
  </si>
  <si>
    <t>SESIÓN VIP EN VIVO- 
SESIÓN VIP EN VIVO- 8:00</t>
  </si>
  <si>
    <t>WHATSAPP EN VIVO  11:30 P.M</t>
  </si>
  <si>
    <t>WHATSAPP EN VIVO #2 - 10:05 AM</t>
  </si>
  <si>
    <t>WHATSAPP  11:30 P.M</t>
  </si>
  <si>
    <t>WHATSAPP VENTA #5 - 8:10 PM</t>
  </si>
  <si>
    <t>VIVO3-BEAUTYPRO-NOV25</t>
  </si>
  <si>
    <t>SESIÓN VIP EN VIVO- 8:10</t>
  </si>
  <si>
    <t>WHATSAPP EN VIVO  11:59 P.M</t>
  </si>
  <si>
    <t>WHATSAPP EN VIVO #3 - 10:10 AM</t>
  </si>
  <si>
    <t>WHATSAPP  11:59 P.M</t>
  </si>
  <si>
    <t>WHATSAPP VENTA #5 - 8:20 PM</t>
  </si>
  <si>
    <t>CLASE 1 -  VIVO4-BEAUTYPRO-NOV25</t>
  </si>
  <si>
    <t>SESIÓN VIP EN VIVO - 8:20</t>
  </si>
  <si>
    <t>WHATSAPP EN VIVO #4 - 10:20 AM</t>
  </si>
  <si>
    <t>WHATSAPP VENTA #5 - 8:30 PM</t>
  </si>
  <si>
    <t>CLASE 2 -  VIVO5-BEAUTYPRO-NOV25</t>
  </si>
  <si>
    <t>SESIÓN VIP EN VIVO - 8:30</t>
  </si>
  <si>
    <t>WHATSAPP EN VIVO #5 - 10:30 AM</t>
  </si>
  <si>
    <t>CLASE 3 - VIVO6-BEAUTYPRO-NOV25</t>
  </si>
  <si>
    <t>VENTA A REGISTRADOS- VENT3-BEAUTYPRO-NOV25</t>
  </si>
  <si>
    <t>WHATSAPP EN VIVO #6 - 10:40 AM</t>
  </si>
  <si>
    <t>CLASE 4 - VIVO7-BEAUTYPRO-NOV25</t>
  </si>
  <si>
    <t>VENTA A REGISTRADOS -  VENT4-BEAUTYPRO-NOV25</t>
  </si>
  <si>
    <t>WHATSAPP EN VIVO #3 - 10:50 AM</t>
  </si>
  <si>
    <t>CLASE 5 - VIVO8-BEAUTYPRO-NOV25</t>
  </si>
  <si>
    <t>WHATSAPP VENTA #1</t>
  </si>
  <si>
    <t>PUERTAS ABIERTAS- VENTA1-BEAUTYPRO-NOV25</t>
  </si>
  <si>
    <t>WHATSAPP VENTA #2 + 5 MIN</t>
  </si>
  <si>
    <t>VENTA2-BEAUTYPRO-NOV25</t>
  </si>
  <si>
    <t>WHATSAPP VENTA #3 + 30 MIN</t>
  </si>
  <si>
    <t>VENTA3-BEAUTYPRO-NOV25</t>
  </si>
  <si>
    <t>WHATSAPP VENTA #4 + 1 HORA</t>
  </si>
  <si>
    <t>VENT4-BEAUTYPRO-NOV25</t>
  </si>
  <si>
    <t>¿Te perdiste la clase? Aqui te dejo la grabación, da clic para solicitarla.</t>
  </si>
  <si>
    <t>Hola equipo Ivania, me perdi la clase de esta mañana, por favor me envias la grabación.</t>
  </si>
  <si>
    <t>NUEVO MENSAJE DE LAS 3</t>
  </si>
  <si>
    <t>Hola, aqui tienes el link de la grabación, estará disponible por tiempo limitado.</t>
  </si>
  <si>
    <t>WHATSAPP VENTA #5 + 7 HORAS</t>
  </si>
  <si>
    <t>VENT5-BEAUTYPRO-NOV25</t>
  </si>
  <si>
    <t>Youtube, cortar el contador, Tati: descripición con cta a la página de venta.</t>
  </si>
  <si>
    <t>WHATSAPP VENTA #6 + 10 HORAS</t>
  </si>
  <si>
    <t>VENT6-BEAUTYPRO-NOV25</t>
  </si>
  <si>
    <t>WHATSAPP VENTA #7 + 7 HORAS</t>
  </si>
  <si>
    <t>VENT7-BEAUTYPRO-NOV25</t>
  </si>
  <si>
    <t>CORREO VENTA #2 - 7 PM</t>
  </si>
  <si>
    <t>Venta/Lunes 24 Noviembre</t>
  </si>
  <si>
    <t>WHATSAPP VENTA #8 + 12 HORAS</t>
  </si>
  <si>
    <t>VENT8-BEAUTYPRO-NOV25</t>
  </si>
  <si>
    <t>Público 1.1</t>
  </si>
  <si>
    <t>Tipo: Directo. (16) Interes relacionados</t>
  </si>
  <si>
    <t>AD1-CAPT-BEP-AGOSTO-25</t>
  </si>
  <si>
    <t>Públicos</t>
  </si>
  <si>
    <t>AD2-CAPT-BEP-AGOSTO-25</t>
  </si>
  <si>
    <t>Público 1.1 – Directo</t>
  </si>
  <si>
    <t xml:space="preserve">Público 1.2 – Indirecto </t>
  </si>
  <si>
    <t>AD3-CAPT-BEP-AGOSTO-25</t>
  </si>
  <si>
    <t>Meta costo por Lead menor a $2</t>
  </si>
  <si>
    <t>AD4-CAPT-BEP-AGOSTO-25</t>
  </si>
  <si>
    <t>Emprendimiento</t>
  </si>
  <si>
    <t>Sally Beauty</t>
  </si>
  <si>
    <t>Campaña 1</t>
  </si>
  <si>
    <t>Público 1.2</t>
  </si>
  <si>
    <t>Negocios para mujeres</t>
  </si>
  <si>
    <t>OPI</t>
  </si>
  <si>
    <t xml:space="preserve">Tipo: Cliente Potencial. </t>
  </si>
  <si>
    <t>Tipo: Indirecto. (16) Marcas de productos.</t>
  </si>
  <si>
    <t>Belleza</t>
  </si>
  <si>
    <t>CND</t>
  </si>
  <si>
    <t>Marketing digital</t>
  </si>
  <si>
    <t>Mia Secret</t>
  </si>
  <si>
    <t>Uñas</t>
  </si>
  <si>
    <t>Morphe</t>
  </si>
  <si>
    <t>Salones de belleza</t>
  </si>
  <si>
    <t>L’Oréal Professionnel</t>
  </si>
  <si>
    <t>Público 1.3</t>
  </si>
  <si>
    <t>Estética</t>
  </si>
  <si>
    <t>Briller</t>
  </si>
  <si>
    <t>Advantage+</t>
  </si>
  <si>
    <t>Maquillaje</t>
  </si>
  <si>
    <t>Valentino Beauty Pure</t>
  </si>
  <si>
    <t>Cosmetología</t>
  </si>
  <si>
    <t>Glamour Nail Supply</t>
  </si>
  <si>
    <t>Manicuristas</t>
  </si>
  <si>
    <t>Amazon Handmade</t>
  </si>
  <si>
    <t>Belleza y salud</t>
  </si>
  <si>
    <t>NotPolish</t>
  </si>
  <si>
    <t>Independientes</t>
  </si>
  <si>
    <t>Nail Alliance</t>
  </si>
  <si>
    <t>Público 2.1</t>
  </si>
  <si>
    <t>Instructores de belleza</t>
  </si>
  <si>
    <t>Kiara Sky</t>
  </si>
  <si>
    <t>AD5-CAPT-BEP-AGOSTO-25</t>
  </si>
  <si>
    <t>Cursos online</t>
  </si>
  <si>
    <t>Nail Pro</t>
  </si>
  <si>
    <t>AD6-CAPT-BEP-AGOSTO-25</t>
  </si>
  <si>
    <t>Educación continua</t>
  </si>
  <si>
    <t>Cosmoprof</t>
  </si>
  <si>
    <t>AD7-CAPT-BEP-AGOSTO-25</t>
  </si>
  <si>
    <t>Spa</t>
  </si>
  <si>
    <t>Nail Mastery</t>
  </si>
  <si>
    <t>AD8-CAPT-BEP-AGOSTO-25</t>
  </si>
  <si>
    <t>Campaña 2</t>
  </si>
  <si>
    <t>Público 2.2</t>
  </si>
  <si>
    <t>Dolores</t>
  </si>
  <si>
    <t>¿Tu agenda está llena… pero tu cuenta vacía? Aprende cómo escalar tu negocio enseñando lo que ya sabes.</t>
  </si>
  <si>
    <t>Dueñas de negocio que aún usan estrategias tradicionales, lo hacen todo solas y no tienen tiempo para disfrutar su vida.</t>
  </si>
  <si>
    <t>Público 2.3</t>
  </si>
  <si>
    <t>¿Tienes los ahorros pero no sabes cómo lanzar tu negocio de belleza? Este webinar gratuito es para ti.</t>
  </si>
  <si>
    <t>Mujeres que ya tienen una mentalidad empresarial pero quieren emprender en el mundo de la belleza.</t>
  </si>
  <si>
    <t>Latam:</t>
  </si>
  <si>
    <t>Público 3.1</t>
  </si>
  <si>
    <t>Guatemala</t>
  </si>
  <si>
    <t>AD9-CAPT-BEP-AGOSTO-25</t>
  </si>
  <si>
    <t>Mexico</t>
  </si>
  <si>
    <t>AD10-CAPT-BEP-AGOSTO-25</t>
  </si>
  <si>
    <t>Republica Dominicana</t>
  </si>
  <si>
    <t>AD11-CAPT-BEP-AGOSTO-25</t>
  </si>
  <si>
    <t>Colombia</t>
  </si>
  <si>
    <t>AD12-CAPT-BEP-AGOSTO-25</t>
  </si>
  <si>
    <t>Paraguay</t>
  </si>
  <si>
    <t>Campaña 3</t>
  </si>
  <si>
    <t>Público 3.2</t>
  </si>
  <si>
    <t>Peru</t>
  </si>
  <si>
    <t>Brasil</t>
  </si>
  <si>
    <t>Público 3.3</t>
  </si>
  <si>
    <t>FUENTE</t>
  </si>
  <si>
    <t>MEDIO</t>
  </si>
  <si>
    <t>CAMPAÑA</t>
  </si>
  <si>
    <t>CONTENIDO</t>
  </si>
  <si>
    <t>LINK</t>
  </si>
  <si>
    <t>UTM BUILDER</t>
  </si>
  <si>
    <t>LINK + UTM</t>
  </si>
  <si>
    <t>URL REDIRECT</t>
  </si>
  <si>
    <t>ETIQUETA</t>
  </si>
  <si>
    <t>META-ADS</t>
  </si>
  <si>
    <t>FRIO</t>
  </si>
  <si>
    <t>bec-nov2025-fbfriousa</t>
  </si>
  <si>
    <t>FRIO V2</t>
  </si>
  <si>
    <t>https://www.berganzaivania.com/masterclass-v2</t>
  </si>
  <si>
    <t>INSTAGRAM</t>
  </si>
  <si>
    <t>ORGÁNICO</t>
  </si>
  <si>
    <t>REEL</t>
  </si>
  <si>
    <t>https://www.berganzaivania.com/cyltco-org</t>
  </si>
  <si>
    <t>https://berganzaivania.com/cyltco-registro-reel</t>
  </si>
  <si>
    <t>bec-nov2025-organico</t>
  </si>
  <si>
    <t>BIOGRAFIA</t>
  </si>
  <si>
    <t>https://berganzaivania.com/cyltco-registro-bio</t>
  </si>
  <si>
    <t>HISTORIAS</t>
  </si>
  <si>
    <t>https://berganzaivania.com/cyltco-registro-historias</t>
  </si>
  <si>
    <t>CARRUSEL</t>
  </si>
  <si>
    <t>https://berganzaivania.com/cyltco-registro-carrusel</t>
  </si>
  <si>
    <t>DM</t>
  </si>
  <si>
    <t>https://berganzaivania.com/cyltco-registro-dm</t>
  </si>
  <si>
    <t>YOUTUBE</t>
  </si>
  <si>
    <t>https://berganzaivania.com/cyltco-registro-yt-bio</t>
  </si>
  <si>
    <t>GHL</t>
  </si>
  <si>
    <t>CORREO</t>
  </si>
  <si>
    <t>https://berganzaivania.com/cyltco-registro-correo</t>
  </si>
  <si>
    <t>WHATSAPP</t>
  </si>
  <si>
    <t>GRUPOS</t>
  </si>
  <si>
    <t>COMUNIDADWHAIB</t>
  </si>
  <si>
    <t>https://berganzaivania.com/cyltco-registro-comunidadwhaib</t>
  </si>
  <si>
    <t>BD</t>
  </si>
  <si>
    <t>COMUNIDADIB</t>
  </si>
  <si>
    <t>https://berganzaivania.com/cyltco-registro-comunidadib</t>
  </si>
  <si>
    <t>MEMBRESIA</t>
  </si>
  <si>
    <t>MEMBRESIAB10K+</t>
  </si>
  <si>
    <t>https://berganzaivania.com/cyltco-registro-membresiab10k</t>
  </si>
  <si>
    <t>PÁG VENTAS</t>
  </si>
  <si>
    <t>https://berganzaivania.com/beautyeducatorpro</t>
  </si>
  <si>
    <t>CHECKOUT</t>
  </si>
  <si>
    <t>https://berganzaivania.com/checkoutbep</t>
  </si>
  <si>
    <t xml:space="preserve">SOPORTE </t>
  </si>
  <si>
    <t>https://berganzaivania.com/quieroserbep</t>
  </si>
  <si>
    <t>FORM ZOOM</t>
  </si>
  <si>
    <t>https://us06web.zoom.us/meeting/register/DwfPiYdoTbmLNWtV9iRaQQ</t>
  </si>
  <si>
    <t>https://berganzaivania.com//registro-bec-nov2025</t>
  </si>
  <si>
    <t>ZOOM</t>
  </si>
  <si>
    <r>
      <rPr>
        <color rgb="FF1155CC"/>
        <u/>
      </rPr>
      <t>https://us06web.zoom.us/j/82302512708?pwd=SZ2aWknabEHM0Fqc43qrkURrW3GWCc.1</t>
    </r>
  </si>
  <si>
    <t>https://berganzaivania.com/bec-envivo-nov2025</t>
  </si>
  <si>
    <t>GRUPOS WHA</t>
  </si>
  <si>
    <t>https://sndflw.com/i/creaylanzatucursoonline</t>
  </si>
  <si>
    <t>ENCUESTA</t>
  </si>
  <si>
    <t>https://berganzaivania.com/turegalocreaylanzatucursoonline</t>
  </si>
  <si>
    <t>REGALO</t>
  </si>
  <si>
    <t>https://berganzaivania.com/regalo-creaylanzatucursoonline</t>
  </si>
  <si>
    <t>DESCRIPCIÓN GRUPO:</t>
  </si>
  <si>
    <r>
      <rPr>
        <rFont val="Arial"/>
        <sz val="10.0"/>
      </rPr>
      <t xml:space="preserve">🎓 ¡Bienvenida al grupo oficial de Crea y Lanza tu Curso Online!🚀
Aquí recibirás toda la información exclusiva para prepararte y asistir a esta clase que puede cambiar tu negocio para siempre.
🎁 PASO 1: Reclama tu REGALO DE BIENVENIDA haciendo clic aquí:
👉 </t>
    </r>
    <r>
      <rPr>
        <rFont val="Arial"/>
        <color rgb="FF1155CC"/>
        <sz val="10.0"/>
        <u/>
      </rPr>
      <t>https://berganzaivania.com/turegalo_creaylanzatucursoonline</t>
    </r>
    <r>
      <rPr>
        <rFont val="Arial"/>
        <sz val="10.0"/>
      </rPr>
      <t xml:space="preserve">
📅 CUÁNDO: Domingo 8 Marzo
⏰ HORA: 8:00 p.m. (hora Miami)
👉 </t>
    </r>
    <r>
      <rPr>
        <rFont val="Arial"/>
        <color rgb="FF1155CC"/>
        <sz val="10.0"/>
        <u/>
      </rPr>
      <t>https://us06web.zoom.us/j/82302512708?pwd=SZ2aWknabEHM0Fqc43qrkURrW3GWCc.1</t>
    </r>
    <r>
      <rPr>
        <rFont val="Arial"/>
        <sz val="10.0"/>
      </rPr>
      <t xml:space="preserve">
📌 IMPORTANTE:
La clase será en vivo, solo por un día, y este grupo es tu canal oficial de acceso.
⚠️ Por tu seguridad, nadie te llamará a pedirte códigos, dinero o información personal.
Si alguien lo hace, repórtalo de inmediato.
Prepárate para convertir tu conocimiento en libertad.
¡Este es tu momento! 💜</t>
    </r>
  </si>
  <si>
    <t>Descripción</t>
  </si>
  <si>
    <t>Estado</t>
  </si>
  <si>
    <t>Anuncios 9:16</t>
  </si>
  <si>
    <t>Anuncios 1:1</t>
  </si>
  <si>
    <t>Título</t>
  </si>
  <si>
    <t>Captions</t>
  </si>
  <si>
    <t>AD1-BEC-CAPT-AGOSTO25</t>
  </si>
  <si>
    <t>Cargado</t>
  </si>
  <si>
    <t>https://www.dropbox.com/scl/fi/0snp9pcrr50ebdf7lekja/AD1-BEC-CAPT-AGOSTO25.mp4?rlkey=3q03kxuwdkv3x2o8jr3dzu764&amp;st=rqdjzzyr&amp;dl=0</t>
  </si>
  <si>
    <t>https://www.dropbox.com/scl/fi/59arebsdtkmik4u8uj95l/AD1-BEC-CAPT-AGOSTO25.mp4?rlkey=u3ed7h50518joszhp05fw8tr1&amp;st=ql4fpvnw&amp;dl=0</t>
  </si>
  <si>
    <t>Tu experiencia también factura</t>
  </si>
  <si>
    <t xml:space="preserve">Si ya tienes la experiencia, es momento de facturar con ella.
Mientras tú dudas, otras ya están cobrando por enseñar lo que tú haces mejor.
El conocimiento que no se vende… se desperdicia.
Regístrate gratis y aprende cómo hacerlo bien desde el día uno.
</t>
  </si>
  <si>
    <t>AD4-BEC-CAPT-AGOSTO25</t>
  </si>
  <si>
    <t>https://www.dropbox.com/scl/fi/997kshvh10y7rrlc3rqa3/AD4-BEC-CAPT-AGOSTO25.mp4?rlkey=49offejwo5ev9zrozzt9djqzr&amp;st=qa18ox9t&amp;dl=0</t>
  </si>
  <si>
    <t>https://www.dropbox.com/scl/fi/x4ewlkkigp7fqz20amn17/AD4-BEC-CAPT-AGOSTO25.mp4?rlkey=i3fleca3bupvwg43x1noxymvw&amp;st=335fmfxz&amp;dl=0</t>
  </si>
  <si>
    <t>Las críticas no pagan las cuentas</t>
  </si>
  <si>
    <t xml:space="preserve">¿Miedo al qué dirán?
Créeme, ningún comentario negativo va a llenar tu cuenta bancaria.
Tu experiencia ya tiene valor, solo falta empaquetarla bien.
Regístrate gratis al Crea y Lanza tu curso Online y empieza a crear tu curso.
</t>
  </si>
  <si>
    <t>AD5-BEC-CAPT-AGOSTO25</t>
  </si>
  <si>
    <t>https://www.dropbox.com/scl/fi/dkikhtnnunommzyu7pcvt/AD5-BEC-CAPT-AGOSTO25.mp4?rlkey=68uyf8j5aivfoiuidz7otcflw&amp;st=2pbcmnrl&amp;dl=0</t>
  </si>
  <si>
    <t>https://www.dropbox.com/scl/fi/bnuf8h58kaacxon9606th/AD5-BEC-CAPT-AGOSTO25.mp4?rlkey=f8yledta6st6dj5dc0infzczr&amp;st=qc8eg739&amp;dl=0</t>
  </si>
  <si>
    <t xml:space="preserve">Si tú paras… todo se detiene
</t>
  </si>
  <si>
    <t xml:space="preserve">Tu negocio no debería morir cada vez que tomas un descanso.
.
Depender 100% de tus manos no es libertad… es agotamiento.
.
Hay otra forma de vivir de tu talento, sin trabajar más.
.
Regístrate gratis al Crea y Lanza tu Curso Online y empieza a escalar.
</t>
  </si>
  <si>
    <t>AD6-BEC-AGOSTO25</t>
  </si>
  <si>
    <t>https://www.dropbox.com/scl/fi/t5xrmnb450kuveo5277iw/AD6-BEC-AGOSTO25.mp4?rlkey=3qbltkqytllb5q2xdhtg33wb3&amp;st=412l6zj9&amp;dl=0</t>
  </si>
  <si>
    <t>https://www.dropbox.com/scl/fi/t5xrmnb450kuveo5277iw/AD6-BEC-AGOSTO25.mp4?rlkey=3qbltkqytllb5q2xdhtg33wb3&amp;st=g2aqr2kv&amp;dl=0</t>
  </si>
  <si>
    <t xml:space="preserve">Regístrate gratis.
</t>
  </si>
  <si>
    <t xml:space="preserve">Tu conocimiento merece llegar más lejos que una cita diaria.
.
El miedo a enseñar no debería costarte miles de dólares.
.
Si ya dominas tu técnica, ahora aprende a venderla.
.
Regístrate gratis al Crea y Lanza tu curso Online y empieza hoy.
</t>
  </si>
  <si>
    <t>AD7-BEC-CAPT-AGOSTO25</t>
  </si>
  <si>
    <t>https://www.dropbox.com/scl/fi/1b44zv4r2b0sg2kgh1hmq/AD7-BEC-CAPT-AGOSTO.mp4?rlkey=9tav44hds5j712ut17l60tg9q&amp;st=typ97p4a&amp;dl=0</t>
  </si>
  <si>
    <t>https://www.dropbox.com/scl/fi/njrgkfgp4kyxe7ckwpcau/AD7-BEC-CAPT-AGOSTO25.mp4?rlkey=f2i7ty3q4lfkyz7l641nzmnwd&amp;st=07og1g6b&amp;dl=0</t>
  </si>
  <si>
    <t xml:space="preserve">De 6 alumnas… a más de 80 mil
</t>
  </si>
  <si>
    <t xml:space="preserve">Todas empezamos desde cero.
Pero lo que hoy te da miedo… mañana puede ser tu historia de éxito.
Tu conocimiento también puede impactar miles de vidas.
Regístrate gratis al Crea y Lanza tu curso Online y empieza a enseñarlo.
</t>
  </si>
  <si>
    <t>AD5.2-BEC-CAPT-NOV25-NEW</t>
  </si>
  <si>
    <t>Sin cargar</t>
  </si>
  <si>
    <t xml:space="preserve">Tu negocio no es libertad, es esclavitud
</t>
  </si>
  <si>
    <t xml:space="preserve">Si todo depende de ti, no tienes un negocio.
Tienes una condena disfrazada de éxito.
Rompe esa trampa y haz que tu conocimiento trabaje por ti.
👉 Registrate ahora al Crea y Lanza tu curso Online, gratis.
</t>
  </si>
  <si>
    <t>AD6-BEC-CAPT-NOV25-NEW</t>
  </si>
  <si>
    <t>Tu talento no nació para quedarse en un salón</t>
  </si>
  <si>
    <t xml:space="preserve">Tu conocimiento merece llegar más lejos que una cita diaria.
El miedo a enseñar no debería costarte miles de dólares.
Si ya dominas tu técnica, ahora aprende a venderla.
👉 Regístrate gratis al Crea y Lanza tu Curso Online y empieza hoy.
</t>
  </si>
  <si>
    <t>AD1-BEC-MARZO26</t>
  </si>
  <si>
    <t>https://www.dropbox.com/scl/fi/iebzqpv320j00a23ktjub/AD1-BEC-FEB26.mp4?rlkey=acbbzkguqzgwnu1j408o7hpwr&amp;st=5i22j21x&amp;dl=0</t>
  </si>
  <si>
    <t>https://www.dropbox.com/scl/fi/97vln431myh9eu3lxjpo3/AD1-BEC-FEB26.mp4?rlkey=bsqtob45imqiqpx3mlu2v9mn7&amp;st=ibql3myl&amp;dl=0</t>
  </si>
  <si>
    <t xml:space="preserve">Crea tu curso online
</t>
  </si>
  <si>
    <t>No necesitas ser experta en tecnología.
No necesitas miles de seguidoras.
Solo necesitas saber ordenar y enseñar lo que ya sabes.
👉 Regístrate gratis a Crea y Lanza tu Curso Online y da tu primer paso.</t>
  </si>
  <si>
    <t>AD2-BEC-MARZO26</t>
  </si>
  <si>
    <t>https://www.dropbox.com/scl/fi/vuwz4f58viq45hsbppavo/AD2-BEC-FEB26.mp4?rlkey=ggcndhpf9dfcco1129t10i14y&amp;st=mt5z6ge7&amp;dl=0</t>
  </si>
  <si>
    <t>https://www.dropbox.com/scl/fi/t19r2xdkx3d588e5h26vl/AD2-BEC-FEB26.mp4?rlkey=w4limsnzyzcpe1zupykmmazuq&amp;st=s9sdzlxt&amp;dl=0</t>
  </si>
  <si>
    <t xml:space="preserve">Si sabes hacerlo, puedes enseñarlo.
Y si puedes enseñarlo, puedes venderlo.
👉 Regístrate gratis a Crea y Lanza tu Curso Online.
</t>
  </si>
  <si>
    <t>AD3-BEC-MARZO26</t>
  </si>
  <si>
    <t>https://www.dropbox.com/scl/fi/w7ff7gkivkpe8qphcpljb/AD3-BEC-FEB26.mp4?rlkey=irzy05j3rt11im4i3d7v7hg02&amp;st=vdvigi1r&amp;dl=0</t>
  </si>
  <si>
    <t>https://www.dropbox.com/scl/fi/ijkmjtfylp8pfel2h7l0a/AD3-BEC-FEB26.mp4?rlkey=2iozfiweco6cuoc90x7vnd5fk&amp;st=zxcsby4g&amp;dl=0</t>
  </si>
  <si>
    <t>Si sabes hacerlo, puedes venderlo</t>
  </si>
  <si>
    <t xml:space="preserve">No es falta de talento.
Es falta de un método claro para enseñar.
Tu conocimiento ya tiene valor.
👉 Regístrate gratis a Crea y Lanza tu Curso Online.
</t>
  </si>
  <si>
    <t>AD4-BEC-MARZO26</t>
  </si>
  <si>
    <t>https://www.dropbox.com/scl/fi/leqoet2oo6k9f5gbzf4po/AD4-BEC-FEB26.mp4?rlkey=zriq89by6fe15rpagrgxzb10c&amp;st=8w6sndi3&amp;dl=0</t>
  </si>
  <si>
    <t>https://www.dropbox.com/scl/fi/bg8ks6j5l3ib54ao39lb1/AD4-BEC-FEB26.mp4?rlkey=iahh0jfvyk5fmpzdps58uxc7z&amp;st=je28cynn&amp;dl=0</t>
  </si>
  <si>
    <t>¿Te sobra la plata o qué?</t>
  </si>
  <si>
    <t>Si no estás enseñando, estás regalando tu conocimiento.
Eso también es perder dinero.
👉 Regístrate gratis a Crea y Lanza tu Curso Online.</t>
  </si>
  <si>
    <t>AD5-BEC-MARZO26</t>
  </si>
  <si>
    <t xml:space="preserve">La tecnología no es el problema
</t>
  </si>
  <si>
    <t xml:space="preserve">No es que no puedas.
Es que nadie te lo explicó fácil.
Crear un curso no tiene que ser complicado.
👉 Regístrate gratis a Crea y Lanza tu Curso Online.
</t>
  </si>
  <si>
    <t>IMG1-CYLTCO-CAPT-MARZO26</t>
  </si>
  <si>
    <t>https://www.dropbox.com/scl/fi/tggc6mjifqkc5h10flbcp/1.png?rlkey=egll6icydla4t71mnc0s45pn6&amp;st=yruieztz&amp;dl=0</t>
  </si>
  <si>
    <t>https://www.dropbox.com/scl/fi/0lrqu65lqejbheaww4q6t/1.png?rlkey=gr9m2x92k61x6w4l593tp8uvs&amp;st=snd4je8u&amp;dl=0</t>
  </si>
  <si>
    <t xml:space="preserve">👉 Regístrate gratis
</t>
  </si>
  <si>
    <t>No es magia.
No es suerte.
No es “tener contactos”.
Es aprender a vender
lo que ya sabes hacer.
👉 Regístrate gratis a Crea y Lanza tu Curso Online.</t>
  </si>
  <si>
    <t>IMG2-CYLTCO-CAPT-MARZO26</t>
  </si>
  <si>
    <t>https://www.dropbox.com/scl/fi/l9vaikvcejdnsgtzgnqxk/2.png?rlkey=i3wl1voite1v7o5ooi6q7db74&amp;st=2wx71snu&amp;dl=0</t>
  </si>
  <si>
    <t>https://www.dropbox.com/scl/fi/wdmtxlpgn9dtlsi48y99h/2.png?rlkey=g31kff69fsow3q4ea87i3iu72&amp;st=6ng891yx&amp;dl=0</t>
  </si>
  <si>
    <t>Mientras tú sigues cobrando por citas,
otras están cobrando por enseñar
lo mismo que tú ya sabes.
El conocimiento que no se vende se pierde.
👉 Regístrate gratis a Crea y Lanza tu Curso Online.</t>
  </si>
  <si>
    <t>IMG3-CYLTCO-CAPT-MARZO26</t>
  </si>
  <si>
    <t>https://www.dropbox.com/scl/fi/ahw9tudc7gbp68g86sooc/3.png?rlkey=upaymge5gis472n9d3ayou3xv&amp;st=l6xs8hu4&amp;dl=0</t>
  </si>
  <si>
    <t>https://www.dropbox.com/scl/fi/vy3wanepwfiu7d0iir7p7/3.png?rlkey=kpgsy7141e2hh42mvivn29ivh&amp;st=mq8hooya&amp;dl=0</t>
  </si>
  <si>
    <t xml:space="preserve">Esto no empezó con una academia.
Empezó con una habilidad.
Aprendí a convertir lo que ya sabía hacer en ingresos enseñando.
Si hoy trabajas en uñas, cabello, estética o cualquier área de belleza… también puedes crear una nueva fuen te de ingresos compartiendo tu conocimiento.
👇 Regístrate gratis a Crea y Lanza tu Curso Online y descubre cómo hacerlo paso a paso.
</t>
  </si>
  <si>
    <t>IMG4-CYLTCO-CAPT-MARZO26</t>
  </si>
  <si>
    <t>https://www.dropbox.com/scl/fi/ce9evvue6vllpq1n5d5qz/4.png?rlkey=5dng3tjnuwcm9t67b5ycgltda&amp;st=81tg3i5h&amp;dl=0</t>
  </si>
  <si>
    <t>https://www.dropbox.com/scl/fi/2nfem6eaap76j06523t1c/4.png?rlkey=ua2ed6pmnezrnz0lrarnmtl8g&amp;st=fmk138pd&amp;dl=0</t>
  </si>
  <si>
    <t>Durante mucho tiempo me quedé en silencio…
pensando demasiado en lo que otros podían opinar.
Hasta que entendí algo:El “qué dirán” no paga cuentas.
Pero enseñar lo que sabes sí.
Hoy muchas profesionales de belleza están creando ingresos adicionales compartiendo su experiencia sin dejar de atender clientas.
👇 Regístrate gratis a Crea y Lanza tu Curso Online y aprende cómo hacerlo paso a paso.</t>
  </si>
  <si>
    <t>IMG5-CYLTCO-CAPT-MARZO26</t>
  </si>
  <si>
    <t>https://www.dropbox.com/scl/fi/w2afj213nb2gw2nqq0pg0/5.png?rlkey=2a0oqvngn34o8hg8u7d8z0mew&amp;st=4xw8wdzq&amp;dl=0</t>
  </si>
  <si>
    <t>https://www.dropbox.com/scl/fi/5kbzb4jl9pvf7rkrdqkmh/5.png?rlkey=zj9nky4ebi1hircddzy5xinj1&amp;st=48ywz1z1&amp;dl=0</t>
  </si>
  <si>
    <t>Muchas profesionales creen que necesitan más cursos, más seguidores o más experiencia para empezar.
La realidad es otra:
Lo que ya sabes, bien organizado puede convertirse en una nueva fuente de ingresos.
Cuando hay método, hay dirección.
Y cuando hay dirección… hay resultados.
👇 Regístrate gratis a Crea y Lanza tu Curso Online y aprende cómo estructurarlo paso a paso.</t>
  </si>
  <si>
    <t xml:space="preserve">TOTALES F A C E B O O K  (FRIO USA)  </t>
  </si>
  <si>
    <t>PLATAFORMA</t>
  </si>
  <si>
    <t>IMPRESIONES</t>
  </si>
  <si>
    <t>CPM</t>
  </si>
  <si>
    <t>CLICK LINK</t>
  </si>
  <si>
    <t>CPC</t>
  </si>
  <si>
    <t>CONVERSIÓN CLICK LINK</t>
  </si>
  <si>
    <t>VISITAS LP</t>
  </si>
  <si>
    <t>COSTE VPL</t>
  </si>
  <si>
    <t>CONVERSIÓN LP</t>
  </si>
  <si>
    <t>Lead</t>
  </si>
  <si>
    <t>CPL Lead</t>
  </si>
  <si>
    <t>CTR SALIENTE</t>
  </si>
  <si>
    <t>FQ</t>
  </si>
  <si>
    <t>INVERSIÓN</t>
  </si>
  <si>
    <t xml:space="preserve">01 - Facebook </t>
  </si>
  <si>
    <t>Totales</t>
  </si>
  <si>
    <r>
      <rPr>
        <rFont val="Calibri"/>
        <b/>
        <color rgb="FFFFFFFF"/>
        <sz val="12.0"/>
      </rPr>
      <t>F A C E B O O K</t>
    </r>
    <r>
      <rPr>
        <rFont val="Calibri"/>
        <b/>
        <color rgb="FFFFFFFF"/>
      </rPr>
      <t xml:space="preserve">  (FRIO USA) </t>
    </r>
  </si>
  <si>
    <t>FECHA</t>
  </si>
  <si>
    <t>CPL LEAD</t>
  </si>
  <si>
    <t>OBSERVACIONES</t>
  </si>
  <si>
    <t>TOTALES</t>
  </si>
  <si>
    <t>Beauty Educator Challenge</t>
  </si>
  <si>
    <t>Fecha</t>
  </si>
  <si>
    <t>Hora</t>
  </si>
  <si>
    <t>9:00am</t>
  </si>
  <si>
    <t>GHL Orgánico</t>
  </si>
  <si>
    <t>GHL FB Frio LATAM</t>
  </si>
  <si>
    <t>GHL FB Frio USA</t>
  </si>
  <si>
    <t>Total GHL</t>
  </si>
  <si>
    <t>FB Frio LATAM</t>
  </si>
  <si>
    <t>FB Frio USA</t>
  </si>
  <si>
    <t>Total FB</t>
  </si>
  <si>
    <t>Conversión FB Frio LATAM</t>
  </si>
  <si>
    <t>Conversión FB Frio USA</t>
  </si>
  <si>
    <t>Inversión FB Frio LATAM</t>
  </si>
  <si>
    <t>Inversión FB Frio USA</t>
  </si>
  <si>
    <t>CPL FB Frio LATAM</t>
  </si>
  <si>
    <t>CPL FB Frio USA</t>
  </si>
  <si>
    <t>CPL GHL FB Frio LATAM</t>
  </si>
  <si>
    <t>CPL GHL FB Frio USA</t>
  </si>
  <si>
    <t>Conversión LP Frio LATAM</t>
  </si>
  <si>
    <t>Conversión LP Frio USA</t>
  </si>
  <si>
    <t>Bienvenida orgánico</t>
  </si>
  <si>
    <t>% Enviados</t>
  </si>
  <si>
    <t>% Abiertos</t>
  </si>
  <si>
    <t>Bienvenida Frio LATAM</t>
  </si>
  <si>
    <t>Bienvenida Frio USA</t>
  </si>
  <si>
    <t>Conversión Emails</t>
  </si>
  <si>
    <t>Total Grupos WA</t>
  </si>
  <si>
    <t>Conversión G WA</t>
  </si>
  <si>
    <t>contact name</t>
  </si>
  <si>
    <t>EMAIL</t>
  </si>
  <si>
    <t>phone</t>
  </si>
  <si>
    <t>utm_source | Opportunity</t>
  </si>
  <si>
    <t>utm_campaign | Opportunity</t>
  </si>
  <si>
    <t>utm medium | Opportunity</t>
  </si>
  <si>
    <t>utm_content | Opportunity</t>
  </si>
  <si>
    <t>source</t>
  </si>
  <si>
    <t>¿A qué área del mundo de la belleza te dedicas principalmente?</t>
  </si>
  <si>
    <t>¿Trabajas actualmente de forma…?</t>
  </si>
  <si>
    <t>¿Alguna vez has enseñado lo que sabes a otras personas?</t>
  </si>
  <si>
    <t>¿Tienes redes sociales activas donde compartes lo que haces?</t>
  </si>
  <si>
    <t>¿Tienes algún material educativo ya creado?</t>
  </si>
  <si>
    <t>¿Qué herramientas digitales has usado?</t>
  </si>
  <si>
    <t>¿Cuánto te gustaría ganar cada mes vendiendo tu curso?</t>
  </si>
  <si>
    <t>¿Estás dispuesta a invertir tiempo y dinero para aprender a crear tu curso?`</t>
  </si>
  <si>
    <t>¿Qué te ha detenido hasta ahora para crear tu curso?</t>
  </si>
  <si>
    <t>¿Qué pasaría si en 6 meses sigues igual, sin un curso, dependiendo solo de tu trabajo físico?</t>
  </si>
  <si>
    <t>¿Qué tan comprometida estás con lanzar tu curso este año?</t>
  </si>
  <si>
    <t>¿Cuánto dinero ganas al mes actualmente?</t>
  </si>
  <si>
    <t>¿Cómo cambiaría tu vida si lo que hoy haces con tu trabajo físico lo hagas con un producto educativo (digital, presencial) que se venda incluso mientras duermes?</t>
  </si>
  <si>
    <t>¿Cuánto dinero ahorras mensualmente?</t>
  </si>
  <si>
    <t>¿Ya estás agendada para el 8 de Marzo?</t>
  </si>
  <si>
    <t>Abigail</t>
  </si>
  <si>
    <t>evyavila9094@gimel.com</t>
  </si>
  <si>
    <t>Independiente (tengo mi propio negocio)</t>
  </si>
  <si>
    <t>Sí­, en persona</t>
  </si>
  <si>
    <t>Sí­, y tengo comunidad activa</t>
  </si>
  <si>
    <t>Sí­, ya tengo un curso</t>
  </si>
  <si>
    <t>"Zoom, WhatsApp Business, Instagram"</t>
  </si>
  <si>
    <t>Más de $3,000 USD</t>
  </si>
  <si>
    <t>Sí, estoy lista</t>
  </si>
  <si>
    <t>No sé por dónde empezar</t>
  </si>
  <si>
    <t>Tetible</t>
  </si>
  <si>
    <t>10/10 Este es mi año</t>
  </si>
  <si>
    <t>De 1.000 USD a 2.000 USD</t>
  </si>
  <si>
    <t>Favorable</t>
  </si>
  <si>
    <t>Entre 100 USD a 300 USD</t>
  </si>
  <si>
    <t>Si, agendada</t>
  </si>
  <si>
    <t>No, pero me gustarí­a</t>
  </si>
  <si>
    <t>Estoy empezando apenas</t>
  </si>
  <si>
    <t>Zoom</t>
  </si>
  <si>
    <t>Entre $1,000 y $3,000 USD</t>
  </si>
  <si>
    <t>No saldrÃ© de mi trabajo</t>
  </si>
  <si>
    <t>FantÃ¡stico</t>
  </si>
  <si>
    <t>Aimara</t>
  </si>
  <si>
    <t>aiminails2020@gmail.com</t>
  </si>
  <si>
    <t>Uñas (manicure/pedicure)</t>
  </si>
  <si>
    <t>En un salón o spa</t>
  </si>
  <si>
    <t>No tengo nada, pero quiero empezar desde cero</t>
  </si>
  <si>
    <t>Ninguna</t>
  </si>
  <si>
    <t>Me da pena mostrarme en cámara</t>
  </si>
  <si>
    <t>Estoy agotada de no tener ingresos</t>
  </si>
  <si>
    <t>De 2.000 USD a 4.000 USD</t>
  </si>
  <si>
    <t>DarÃ­a un cambio radical en mi vida</t>
  </si>
  <si>
    <t>No ahorro nada</t>
  </si>
  <si>
    <t>Alma Quihuis</t>
  </si>
  <si>
    <t>almaquihuis57@gmail.com</t>
  </si>
  <si>
    <t>AD3-BEC-MARZO26-V2PAGINA</t>
  </si>
  <si>
    <t>Cejas y pestañas</t>
  </si>
  <si>
    <t>"Canva, Zoom, Instagram"</t>
  </si>
  <si>
    <t>Nunca se llegarÃ­a a una libertad financiera</t>
  </si>
  <si>
    <t>Menos de 500 USD</t>
  </si>
  <si>
    <t>TendrÃ­a mÃ¡s libertad y oportunidad de ayudar a cambiar las vidas de otras mujeres</t>
  </si>
  <si>
    <t>Amalfi amarante</t>
  </si>
  <si>
    <t>wapissima@msn.com</t>
  </si>
  <si>
    <t>Peluquerí­a / Colorimetrí­a</t>
  </si>
  <si>
    <t>Sí­, pero con bajo presupuesto</t>
  </si>
  <si>
    <t>No lo se</t>
  </si>
  <si>
    <t>De 6.000 USD a 8.000 USD</t>
  </si>
  <si>
    <t>SerÃ­a ideal</t>
  </si>
  <si>
    <t>Amanda</t>
  </si>
  <si>
    <t>amandaotero15@yahoo.com</t>
  </si>
  <si>
    <t>17866781394</t>
  </si>
  <si>
    <t>AD6-BEC-AGOSTO25-V2PAGINA</t>
  </si>
  <si>
    <t>Sí, pero no publico mucho</t>
  </si>
  <si>
    <t>Solo tengo algunos apuntes / ideas en mi cabeza</t>
  </si>
  <si>
    <t>"Canva, Zoom, WhatsApp Business, Instagram, Plataformas para cursos (Hotmart, Kajabi, Teachableâ€¦)"</t>
  </si>
  <si>
    <t>EstarÃ­a en el mismo lugar que hoy</t>
  </si>
  <si>
    <t>Pasaria mas tiempo con mi familia y comoraria mi primera casa para mis hijos</t>
  </si>
  <si>
    <t>Menos de 100 USD</t>
  </si>
  <si>
    <t>Ana Kantarero</t>
  </si>
  <si>
    <t>lilyhernandez0619@gmail.com</t>
  </si>
  <si>
    <t>AD3-CYLTCO-CAPT-MARZ2026-ADV-USA-FRIO 2</t>
  </si>
  <si>
    <t>Freelance (voy a domicilio o por encargo)</t>
  </si>
  <si>
    <t>Buenocreo que usted me da un empujoncito mi vida va a cambiar</t>
  </si>
  <si>
    <t>Más de 10.000 USD</t>
  </si>
  <si>
    <t>Si usted me ayuda creo perderÃ­a la vergÃ¼enza frente a las redes sociales</t>
  </si>
  <si>
    <t>Ana Laura Tejeda</t>
  </si>
  <si>
    <t>analauratejeda6469@icloud.com</t>
  </si>
  <si>
    <t>AD4-CYLTCO-CAPT-MARZ2026-ADV-USA-FRIO-FORM</t>
  </si>
  <si>
    <t>Massage</t>
  </si>
  <si>
    <t>No, y no es algo que me interese ahora</t>
  </si>
  <si>
    <t>Instagram</t>
  </si>
  <si>
    <t>No estoy segura aún</t>
  </si>
  <si>
    <t>Seguir is igual</t>
  </si>
  <si>
    <t>4/10 Estoy dudosa, pero me interesa</t>
  </si>
  <si>
    <t>Abra que intentarlo</t>
  </si>
  <si>
    <t>Anadailys</t>
  </si>
  <si>
    <t>anadailysrizo89@gmail.com</t>
  </si>
  <si>
    <t>Estoy comenzando en el mundo de la belleza</t>
  </si>
  <si>
    <t>"Canva, Instagram"</t>
  </si>
  <si>
    <t>Si me gustarÃ­a</t>
  </si>
  <si>
    <t>SerÃ­a genial</t>
  </si>
  <si>
    <t>Más de 1.000 USD</t>
  </si>
  <si>
    <t>Andrea</t>
  </si>
  <si>
    <t>andreahoyos2009@hotmail.com</t>
  </si>
  <si>
    <t>17867071346</t>
  </si>
  <si>
    <t>IMG1-CYLTCO-CAPT-MARZO26-FORM-USAFRIO</t>
  </si>
  <si>
    <t>Bronceado</t>
  </si>
  <si>
    <t>"WhatsApp Business, Instagram"</t>
  </si>
  <si>
    <t>Entre $500 y $1,000 USD</t>
  </si>
  <si>
    <t>Estoy perdiendo el tie</t>
  </si>
  <si>
    <t>De 500 USD a 1.000 USD</t>
  </si>
  <si>
    <t>Tranquilidad</t>
  </si>
  <si>
    <t>Angela</t>
  </si>
  <si>
    <t>layladulce123@gmail.com</t>
  </si>
  <si>
    <t>AD1-BEC-MARZO26-V2PAGINA</t>
  </si>
  <si>
    <t>"Canva, Zoom, WhatsApp Business, Instagram"</t>
  </si>
  <si>
    <t>EstarÃ­a mas estancada</t>
  </si>
  <si>
    <t>100% mi vida</t>
  </si>
  <si>
    <t>Araceli Rivera</t>
  </si>
  <si>
    <t>aurara@live.com</t>
  </si>
  <si>
    <t>Seguir estancada donde estoy</t>
  </si>
  <si>
    <t>7/10 Lo quiero, pero necesito claridad</t>
  </si>
  <si>
    <t>TransformarÃ­a mi vida por completo</t>
  </si>
  <si>
    <t>Berenice ochoa</t>
  </si>
  <si>
    <t>bere8ar101516@gamil.com</t>
  </si>
  <si>
    <t>15104262279</t>
  </si>
  <si>
    <t>Tengo dudas</t>
  </si>
  <si>
    <t>No tengo dinero</t>
  </si>
  <si>
    <t>Seguiria buscando camino trabajando desde casa</t>
  </si>
  <si>
    <t>1/10 Solo estoy explorando</t>
  </si>
  <si>
    <t>Seria muy bueno me ayudaria economicamente y emicionalmente</t>
  </si>
  <si>
    <t>Bessy</t>
  </si>
  <si>
    <t>riverabessy75@gmail.com</t>
  </si>
  <si>
    <t>17026397849</t>
  </si>
  <si>
    <t>Nada</t>
  </si>
  <si>
    <t>MuchÃ­simo , no estarÃ­a tan estresada</t>
  </si>
  <si>
    <t>Betty</t>
  </si>
  <si>
    <t>bettycrispin0202@yahoo.com</t>
  </si>
  <si>
    <t>No tengo redes enfocadas en belleza</t>
  </si>
  <si>
    <t>"Zoom, Plataformas para cursos (Hotmart, Kajabi, Teachableâ€¦)"</t>
  </si>
  <si>
    <t>No tengo tiempo</t>
  </si>
  <si>
    <t>SerÃ­a bueno</t>
  </si>
  <si>
    <t>Bibi Beltran</t>
  </si>
  <si>
    <t>beltranbibi@gmail.com</t>
  </si>
  <si>
    <t>16022995500</t>
  </si>
  <si>
    <t>AD4-BEC-MARZO26-V2PAGINA</t>
  </si>
  <si>
    <t>Tengo un borrador o idea de curso</t>
  </si>
  <si>
    <t>"Canva, WhatsApp Business, Instagram"</t>
  </si>
  <si>
    <t>EstarÃ­a perdiendo dinero</t>
  </si>
  <si>
    <t>Fuera la mujer mÃ¡s orgullosa de mi misma</t>
  </si>
  <si>
    <t>Bionesy PÃ©rez</t>
  </si>
  <si>
    <t>Biony0205@gmai.com</t>
  </si>
  <si>
    <t>12014868703</t>
  </si>
  <si>
    <t>No lo sÃ©</t>
  </si>
  <si>
    <t>Mucho</t>
  </si>
  <si>
    <t>Carina SantivaÃ±ez</t>
  </si>
  <si>
    <t>mscarifaj@gmail.com</t>
  </si>
  <si>
    <t>51967060070</t>
  </si>
  <si>
    <t>{{ad.name}}</t>
  </si>
  <si>
    <t>Estética facial o corporal</t>
  </si>
  <si>
    <t>"Ninguna, Zoom"</t>
  </si>
  <si>
    <t>Me abruma la tecnologí­a</t>
  </si>
  <si>
    <t>Seguiria estancada y solo con ideas dÃ¡ndola vuelta en mi cabeza, necesito acciÃ³n.</t>
  </si>
  <si>
    <t>Me sentirÃ­a realizada y con independencia.</t>
  </si>
  <si>
    <t>Carla</t>
  </si>
  <si>
    <t>relax2214@gmail.com</t>
  </si>
  <si>
    <t>13052157421</t>
  </si>
  <si>
    <t>"Zoom, Instagram"</t>
  </si>
  <si>
    <t>No voy a avanzar</t>
  </si>
  <si>
    <t>Carmen yungaicela</t>
  </si>
  <si>
    <t>tweetyyadi@yahoo.como</t>
  </si>
  <si>
    <t>19144344373</t>
  </si>
  <si>
    <t>"Instagram, WhatsApp Business"</t>
  </si>
  <si>
    <t>Seguridad en lo mismo</t>
  </si>
  <si>
    <t>De 4.000 USD a 6.000 USD</t>
  </si>
  <si>
    <t>Bastante</t>
  </si>
  <si>
    <t>Carol</t>
  </si>
  <si>
    <t>carolorell18@gmail.com</t>
  </si>
  <si>
    <t>17863760847</t>
  </si>
  <si>
    <t>A ninguno</t>
  </si>
  <si>
    <t>Genial</t>
  </si>
  <si>
    <t>Cecilia</t>
  </si>
  <si>
    <t>cessy.n00@gmail.com</t>
  </si>
  <si>
    <t>15105133836</t>
  </si>
  <si>
    <t>No estoy segura</t>
  </si>
  <si>
    <t>CambiarÃ¡ vida muchÃ­simo</t>
  </si>
  <si>
    <t>Cherline get</t>
  </si>
  <si>
    <t>chelineget30@gmail.com</t>
  </si>
  <si>
    <t>17742391212</t>
  </si>
  <si>
    <t>"Canva, WhatsApp Business"</t>
  </si>
  <si>
    <t>La verdad nose que desir</t>
  </si>
  <si>
    <t>Maravilloso</t>
  </si>
  <si>
    <t>Christel Vasquez</t>
  </si>
  <si>
    <t>vas.christel@gmail.com</t>
  </si>
  <si>
    <t>19296366373</t>
  </si>
  <si>
    <t>AD11-CYLTCO-CAPT-MARZ2026-ADV-USA-FRIO</t>
  </si>
  <si>
    <t>"Instagram, Zoom, Canva"</t>
  </si>
  <si>
    <t>Talvez aumentarÃ­a estrÃ©s</t>
  </si>
  <si>
    <t>SeguirÃ­a estudiando tranquila sin preocuparme del dinero</t>
  </si>
  <si>
    <t>Cindy Juarez</t>
  </si>
  <si>
    <t>cindyjuarez1998@icloud.com</t>
  </si>
  <si>
    <t>17708754291</t>
  </si>
  <si>
    <t>WhatsApp Business</t>
  </si>
  <si>
    <t>No quiero eso para mi mi hijo,</t>
  </si>
  <si>
    <t>SerÃ­a muy bueno podrÃ­a cuidar yo misma de mi bebÃ© podrÃ© estar con Ã©l y aÃºn asÃ­ tener ganancias</t>
  </si>
  <si>
    <t>Clara Cardenas</t>
  </si>
  <si>
    <t>claracardenas102@gmail.com</t>
  </si>
  <si>
    <t>12067349596</t>
  </si>
  <si>
    <t>Micropigmentacion</t>
  </si>
  <si>
    <t>Mucho desgaste</t>
  </si>
  <si>
    <t>Muy bueno</t>
  </si>
  <si>
    <t>Clara MarÃ­n</t>
  </si>
  <si>
    <t>domifrutas@hotmail.com</t>
  </si>
  <si>
    <t>17866066684</t>
  </si>
  <si>
    <t>SeguirÃ­a trabajando con mis clientas pensando en ideas nuevas para crecer mejor negocio</t>
  </si>
  <si>
    <t>ðŸ’¯ me encantarÃ­a</t>
  </si>
  <si>
    <t>Claudia Acevedo</t>
  </si>
  <si>
    <t>claupablygaby@gmail.com</t>
  </si>
  <si>
    <t>Quiero aprender</t>
  </si>
  <si>
    <t>Crisser</t>
  </si>
  <si>
    <t>cdar2127@gmail.com</t>
  </si>
  <si>
    <t>MÃ¡s cansada y ganando lo mismo</t>
  </si>
  <si>
    <t>Mucho independencia econÃ³mica</t>
  </si>
  <si>
    <t>Cristina Desir</t>
  </si>
  <si>
    <t>cristinadesir@gmail.com</t>
  </si>
  <si>
    <t>SerÃ­a maravilloso</t>
  </si>
  <si>
    <t>Totalmente</t>
  </si>
  <si>
    <t>Dailen Hernandez</t>
  </si>
  <si>
    <t>dailen.hm@gmail.com</t>
  </si>
  <si>
    <t>17862559350</t>
  </si>
  <si>
    <t>"Instagram, Canva"</t>
  </si>
  <si>
    <t>Si no me capacito, seguirÃ© cambiando tiempo por dinero. Un curso me puede ayudar a escalar, atraer mÃ¡s clientes y generar ingresos adicionales.</t>
  </si>
  <si>
    <t>CambiarÃ­a totalmente mi vida porque dejarÃ­a de depender solo de mi tiempo fÃ­sico. PodrÃ­a generar ingresos incluso mientras duermo, tener mÃ¡s estabilidad econÃ³mica y menos desgaste fÃ­sico</t>
  </si>
  <si>
    <t>Daireth Rodriguez</t>
  </si>
  <si>
    <t>maridai1404@gmail.com</t>
  </si>
  <si>
    <t>PerderÃ­a mi casa porque ahora mismo la economÃ­a no estÃ¡ muy bien para mi y mis hijos</t>
  </si>
  <si>
    <t>PodrÃ­a solucionar tantas cosas y tendrÃ­a mÃ¡s tiempo para mis hijos</t>
  </si>
  <si>
    <t>Dani Ramos</t>
  </si>
  <si>
    <t>vasquezdani437@gmail.com</t>
  </si>
  <si>
    <t>17865168274</t>
  </si>
  <si>
    <t>SeguirÃ­a frustrada porque quiero educarme y transformar mi vida</t>
  </si>
  <si>
    <t>uuuffff un giro total , tendrÃ­a libertad y pensarÃ­a mÃ¡s en mi</t>
  </si>
  <si>
    <t>Daysi GarcÃ­a</t>
  </si>
  <si>
    <t>daysigarcia85@hotmail.com</t>
  </si>
  <si>
    <t>12026427817</t>
  </si>
  <si>
    <t>AD3-BEC-MARZO26-FORM-USAFRIO</t>
  </si>
  <si>
    <t>??</t>
  </si>
  <si>
    <t>Delmy Noemy Alfaro Santos</t>
  </si>
  <si>
    <t>Dellmy85@gmail.com</t>
  </si>
  <si>
    <t>AD1-BEC-CAPT-AGOSTO25-V2PAGINA</t>
  </si>
  <si>
    <t>Lo intentaria una y otra vez</t>
  </si>
  <si>
    <t>Cambio radical.</t>
  </si>
  <si>
    <t>Dianet Acosta</t>
  </si>
  <si>
    <t>dianetacosta501@hmsil.com</t>
  </si>
  <si>
    <t>No se</t>
  </si>
  <si>
    <t>Drysnaya RodrÃ­guez</t>
  </si>
  <si>
    <t>drysnayarodriguez6@gmail.com</t>
  </si>
  <si>
    <t>12484457866</t>
  </si>
  <si>
    <t>Técnico Especialista en alisado orgánico y regeneración de la hebra capilar</t>
  </si>
  <si>
    <t>"Canva, Instagram, Plataformas para cursos (Hotmart, Kajabi, Teachableâ€¦), Zoom"</t>
  </si>
  <si>
    <t>Fracasada me sentirÃ­a ðŸ« ðŸ™ˆ</t>
  </si>
  <si>
    <t>SerÃ­a genial poder generar ingresos hasta cuando este dormida ðŸ¤­seria increÃ­ble</t>
  </si>
  <si>
    <t>Edilania</t>
  </si>
  <si>
    <t>edilaniapeguero@gmail.com</t>
  </si>
  <si>
    <t>"Instagram, WhatsApp Business, Zoom"</t>
  </si>
  <si>
    <t>TendrÃ­a que trabajar mÃ¡s</t>
  </si>
  <si>
    <t>MÃ¡s calidad de vida y tiempo con mi familia</t>
  </si>
  <si>
    <t>Edy</t>
  </si>
  <si>
    <t>yudith974@hotmail.com</t>
  </si>
  <si>
    <t>17402902635</t>
  </si>
  <si>
    <t>"WhatsApp Business, Zoom, Instagram"</t>
  </si>
  <si>
    <t>El mismo resultado</t>
  </si>
  <si>
    <t>Eglis</t>
  </si>
  <si>
    <t>chirinoseglis663@gmail.com</t>
  </si>
  <si>
    <t>13477348692</t>
  </si>
  <si>
    <t>No avanzarÃ­a</t>
  </si>
  <si>
    <t>Me encantarÃ­a</t>
  </si>
  <si>
    <t>Elitzabeth</t>
  </si>
  <si>
    <t>elitzabethmijaresr@gmail.com</t>
  </si>
  <si>
    <t>14072832602</t>
  </si>
  <si>
    <t>Hj</t>
  </si>
  <si>
    <t>Jjjj</t>
  </si>
  <si>
    <t>Elizabeth RamÃ­rez RamÃ­rez</t>
  </si>
  <si>
    <t>elizabethacuario23@gmail.com</t>
  </si>
  <si>
    <t>tengo mi trabajo pero quiero aprender de la informaciÃ³n que ofreces</t>
  </si>
  <si>
    <t>SerÃ­a lo ideal</t>
  </si>
  <si>
    <t>Entre 300 USD a 500 USD</t>
  </si>
  <si>
    <t>Eloisa</t>
  </si>
  <si>
    <t>pupoeloisa@yaoo.com</t>
  </si>
  <si>
    <t>17864028306</t>
  </si>
  <si>
    <t>No estarÃ­a contenta</t>
  </si>
  <si>
    <t>Opino que mucho soy instructora de Cosmetologia hace 20 y tengo</t>
  </si>
  <si>
    <t>Estefany quiroz</t>
  </si>
  <si>
    <t>estefanyquiroz338@gmail.com</t>
  </si>
  <si>
    <t>Quiero mejorar mis ingresos y crecer, pero de manera estratÃ©gica y sostenible.</t>
  </si>
  <si>
    <t>CambiarÃ­a muchÃ­simo</t>
  </si>
  <si>
    <t>Esther Reverol</t>
  </si>
  <si>
    <t>estherreverol24@gmail.con</t>
  </si>
  <si>
    <t>13523210724</t>
  </si>
  <si>
    <t>Fino</t>
  </si>
  <si>
    <t>Evelin Azuaje</t>
  </si>
  <si>
    <t>jorneidaazuaje@gmail.com</t>
  </si>
  <si>
    <t>19543105604</t>
  </si>
  <si>
    <t>Fabiola De La Torre</t>
  </si>
  <si>
    <t>fabioladelatorre0305@gmail.com</t>
  </si>
  <si>
    <t>19093657982</t>
  </si>
  <si>
    <t>"Instagram, Plataformas para cursos (Hotmart, Kajabi, Teachableâ€¦), Zoom, WhatsApp Business"</t>
  </si>
  <si>
    <t>Frustrada y estancada</t>
  </si>
  <si>
    <t>SerÃ­a un sueÃ±o hecho realidad</t>
  </si>
  <si>
    <t>Felicia Rosario</t>
  </si>
  <si>
    <t>feliciarosario0101@gmil.com</t>
  </si>
  <si>
    <t>13022423164</t>
  </si>
  <si>
    <t>Belleza integral</t>
  </si>
  <si>
    <t>No creo tener lo suficiente para enseñar</t>
  </si>
  <si>
    <t>Estoy lista para empezar ahora</t>
  </si>
  <si>
    <t>Mucho por supuesto</t>
  </si>
  <si>
    <t>Francys Padilla</t>
  </si>
  <si>
    <t>francyspadilla26@gmail.com</t>
  </si>
  <si>
    <t>573184251520</t>
  </si>
  <si>
    <t>Orgánico</t>
  </si>
  <si>
    <t>CambiarÃ­a mucho</t>
  </si>
  <si>
    <t>Gabriela sanchez</t>
  </si>
  <si>
    <t>sanchezzuritagabriela@gmail.com</t>
  </si>
  <si>
    <t>ContinuarÃ­a siendo dependiente</t>
  </si>
  <si>
    <t>Me quitarÃ­a el cansancio fÃ­sico</t>
  </si>
  <si>
    <t>Gladys Betemit</t>
  </si>
  <si>
    <t>glamzbeautynails@gmail.com</t>
  </si>
  <si>
    <t>No quiero seguir haci me siento muy estancada</t>
  </si>
  <si>
    <t>Cumpliria todas mis metas Que es crear un negocio MAs grande con todos los servicios</t>
  </si>
  <si>
    <t>Gloria toro</t>
  </si>
  <si>
    <t>elenamachado0105@gmail.com</t>
  </si>
  <si>
    <t>19546958070</t>
  </si>
  <si>
    <t>EstarÃ­a cansada.</t>
  </si>
  <si>
    <t>Cambios</t>
  </si>
  <si>
    <t>Grace</t>
  </si>
  <si>
    <t>greischabla.gc@gmail.com</t>
  </si>
  <si>
    <t>"Zoom, Instagram, Plataformas para cursos (Hotmart, Kajabi, Teachableâ€¦)"</t>
  </si>
  <si>
    <t>Frustracion</t>
  </si>
  <si>
    <t>Mejoraria enormemente,sobre todo mejoraria mi salud</t>
  </si>
  <si>
    <t>Depilacion</t>
  </si>
  <si>
    <t>No, pero me gustarÃ­a</t>
  </si>
  <si>
    <t>Frustrada</t>
  </si>
  <si>
    <t>Mejoraria enormemente, sobre todo en mi salud.</t>
  </si>
  <si>
    <t>Graciela HernÃ¡ndez</t>
  </si>
  <si>
    <t>graci.magal@yahoo.com</t>
  </si>
  <si>
    <t>EstarÃ­a batallando cada mes para cubrir mis gastos .</t>
  </si>
  <si>
    <t>SolucionarÃ­a gran parte de mis problemas y tendrÃ­a mucha paz mental .</t>
  </si>
  <si>
    <t>Hazel Davila</t>
  </si>
  <si>
    <t>hazdr77@outlook.com</t>
  </si>
  <si>
    <t>"Canva, Instagram, Zoom"</t>
  </si>
  <si>
    <t>No tendrÃ­a ingresos suficientes para mantener mi negocio</t>
  </si>
  <si>
    <t>SerÃ­a genial, me sentirÃ­a mÃ¡s segura con mi trabajo</t>
  </si>
  <si>
    <t>Idoris Gonzalez</t>
  </si>
  <si>
    <t>idorisruiz@gmail.com</t>
  </si>
  <si>
    <t>Estoy y estarÃ­a estancada</t>
  </si>
  <si>
    <t>Libertad financiera</t>
  </si>
  <si>
    <t>Isssrah</t>
  </si>
  <si>
    <t>issarahc@yahoo.com</t>
  </si>
  <si>
    <t>12016824312</t>
  </si>
  <si>
    <t>No tendria suficientes ingresos para mi hogar</t>
  </si>
  <si>
    <t>Radicalmente</t>
  </si>
  <si>
    <t>Ivonne ortiz</t>
  </si>
  <si>
    <t>ivonne.ortiz72@yahoo.com</t>
  </si>
  <si>
    <t>12039972233</t>
  </si>
  <si>
    <t>Igual</t>
  </si>
  <si>
    <t>MAs tiempo para mi familia</t>
  </si>
  <si>
    <t>Entre 500 USD a 1.000 USD</t>
  </si>
  <si>
    <t>Jacquelin Serrano</t>
  </si>
  <si>
    <t>jg.2430@hotmail.com</t>
  </si>
  <si>
    <t>12019361491</t>
  </si>
  <si>
    <t>Agota</t>
  </si>
  <si>
    <t>Perfecto</t>
  </si>
  <si>
    <t>Jannina</t>
  </si>
  <si>
    <t>janninagonzales@hotmail.com</t>
  </si>
  <si>
    <t>17723092437</t>
  </si>
  <si>
    <t>Me mudé hace 7 meses empezar de nuevo</t>
  </si>
  <si>
    <t>Quedo endeudada</t>
  </si>
  <si>
    <t>Me ayudarÃ­a muchÃ­simo</t>
  </si>
  <si>
    <t>Jessica casna</t>
  </si>
  <si>
    <t>Josnalimcnavac90@gmail.com</t>
  </si>
  <si>
    <t>12536179293</t>
  </si>
  <si>
    <t>SeguirÃ­a donde mismo sin avanzar</t>
  </si>
  <si>
    <t>Grandemente en todos los aspectos</t>
  </si>
  <si>
    <t>Jessica rosales</t>
  </si>
  <si>
    <t>Jessrosalesb1@gmail.com</t>
  </si>
  <si>
    <t>14352879059</t>
  </si>
  <si>
    <t>Dejo de generar mÃ¡s ingresos</t>
  </si>
  <si>
    <t>Me.encantaria.</t>
  </si>
  <si>
    <t>Juana Frias</t>
  </si>
  <si>
    <t>juanafrias1124@gmail.com</t>
  </si>
  <si>
    <t>Me enferme con Dermatomyositis y estoy dedabilitada so es tiempo para enseÃ±ar me gustaria de verdad</t>
  </si>
  <si>
    <t>Cambiaria mucho y me ayudaria a tener Paz y felicidad saber k dejare algo k ayuda a otras Cali de la belleza y me ayudaria a pagar El tratamiento k aplico cada 8 semanas .</t>
  </si>
  <si>
    <t>Juana PiÃ±a</t>
  </si>
  <si>
    <t>jpina4706@gmail.com</t>
  </si>
  <si>
    <t>19566177169</t>
  </si>
  <si>
    <t>Ni idea</t>
  </si>
  <si>
    <t>SerÃ­a exelente</t>
  </si>
  <si>
    <t>Judith</t>
  </si>
  <si>
    <t>Judithreyes49@gmail.com</t>
  </si>
  <si>
    <t>Arruinada</t>
  </si>
  <si>
    <t>SerÃ­a excelente</t>
  </si>
  <si>
    <t>Karen PeÃ±a</t>
  </si>
  <si>
    <t>antonellamartinezpena25@gmail.com</t>
  </si>
  <si>
    <t>SeguirÃ­a igual cansada pensando que quiero renunciar</t>
  </si>
  <si>
    <t>Fuera fenomenal</t>
  </si>
  <si>
    <t>Karimar FrÃ­as</t>
  </si>
  <si>
    <t>karimarfrias@gmail.com</t>
  </si>
  <si>
    <t>17864903811</t>
  </si>
  <si>
    <t>"Zoom, Canva, Instagram"</t>
  </si>
  <si>
    <t>Fracaso</t>
  </si>
  <si>
    <t>Extraordinario</t>
  </si>
  <si>
    <t>Karina Azamar</t>
  </si>
  <si>
    <t>karina.ka780@gmail.com</t>
  </si>
  <si>
    <t>Uñas,maquillaje permanente,faciales,peinado,maqui entre otras</t>
  </si>
  <si>
    <t>SentirÃ­a no seguir avanzando</t>
  </si>
  <si>
    <t>SerÃ­a un cambio radical, para mÃ­ y mi familia tendrÃ­a de donde cubrir los gastos sin descuidarlos a ellos</t>
  </si>
  <si>
    <t>Karina Montoya</t>
  </si>
  <si>
    <t>karinalara7771@gmail.com</t>
  </si>
  <si>
    <t>Aprendiendo peluqueria</t>
  </si>
  <si>
    <t>Menos de $500 USD</t>
  </si>
  <si>
    <t>Me senatorial estancada</t>
  </si>
  <si>
    <t>Generation las</t>
  </si>
  <si>
    <t>Karla Armenta</t>
  </si>
  <si>
    <t>karlitaarmenta@outlook.com</t>
  </si>
  <si>
    <t>15202657207</t>
  </si>
  <si>
    <t>"Zoom, Canva, WhatsApp Business, Instagram"</t>
  </si>
  <si>
    <t>Seguiria igual que ahora, posponiendo e imaginando como serÃ­a..</t>
  </si>
  <si>
    <t>Cambio radical</t>
  </si>
  <si>
    <t>Karla Cabrera</t>
  </si>
  <si>
    <t>kcabreraanez@gmail.com</t>
  </si>
  <si>
    <t>16105082540</t>
  </si>
  <si>
    <t>"Instagram, WhatsApp Business, Canva"</t>
  </si>
  <si>
    <t>Me seguirÃ­a sintiendo estancado</t>
  </si>
  <si>
    <t>CambiarÃ­a mucho mi autoestima y mi seguridad</t>
  </si>
  <si>
    <t>Katherine Zelaya</t>
  </si>
  <si>
    <t>kaoz03.17@gmail.com</t>
  </si>
  <si>
    <t>12524709701</t>
  </si>
  <si>
    <t>Me da miedo no tener resultados</t>
  </si>
  <si>
    <t>SeguirÃ­a decepcionada de mi por no lograr uno de mis sueÃ±os</t>
  </si>
  <si>
    <t>EstarÃ­a mas tranquila saber que ge hecho algo valioso por mi vida y la de mis hijos</t>
  </si>
  <si>
    <t>Katia</t>
  </si>
  <si>
    <t>katicubas@gmail.com</t>
  </si>
  <si>
    <t>Principiante</t>
  </si>
  <si>
    <t>"Instagram, Plataformas para cursos (Hotmart, Kajabi, Teachableâ€¦), Canva"</t>
  </si>
  <si>
    <t>Es frustrante</t>
  </si>
  <si>
    <t>De mucho actualmente estoy con ansiedad</t>
  </si>
  <si>
    <t>Keilly</t>
  </si>
  <si>
    <t>keillylg2009@gmail.com</t>
  </si>
  <si>
    <t>19208081708</t>
  </si>
  <si>
    <t>Todo</t>
  </si>
  <si>
    <t>Kenia Ramirez</t>
  </si>
  <si>
    <t>keniaramirez7925@gmail.com</t>
  </si>
  <si>
    <t>18262039140</t>
  </si>
  <si>
    <t>No sabrÃ­a cambio y nesecito mejorar</t>
  </si>
  <si>
    <t>SerÃ¡ excelente</t>
  </si>
  <si>
    <t>Kerstin</t>
  </si>
  <si>
    <t>kgarcialopez15@gmail.com</t>
  </si>
  <si>
    <t>13057809744</t>
  </si>
  <si>
    <t>Super</t>
  </si>
  <si>
    <t>Kimberly Borjas</t>
  </si>
  <si>
    <t>kanel1226@hotmail.com</t>
  </si>
  <si>
    <t>"Canva, Instagram, WhatsApp Business"</t>
  </si>
  <si>
    <t>No quiero esperar a pasar 6 meses sin mi curso.. quiero empezar ta</t>
  </si>
  <si>
    <t>Muchisimo!</t>
  </si>
  <si>
    <t>Liliana</t>
  </si>
  <si>
    <t>lvlilivilla@gmail.com</t>
  </si>
  <si>
    <t>Nada cambiaria</t>
  </si>
  <si>
    <t>Es mi sueÃ±o</t>
  </si>
  <si>
    <t>Lismar valles</t>
  </si>
  <si>
    <t>lismarv30@gmail.com</t>
  </si>
  <si>
    <t>seguirÃ­a intentandolo</t>
  </si>
  <si>
    <t>CambiarÃ­a muchÃ­simo le dedicarÃ­a mas tiempo a mi hija</t>
  </si>
  <si>
    <t>Lisseth</t>
  </si>
  <si>
    <t>danilis456@gmail.com</t>
  </si>
  <si>
    <t>No estara avanzado</t>
  </si>
  <si>
    <t>Daria un cambio increible</t>
  </si>
  <si>
    <t>Lissette</t>
  </si>
  <si>
    <t>lissetteherrer@gmail.com</t>
  </si>
  <si>
    <t>19547099297</t>
  </si>
  <si>
    <t>"Canva, Zoom"</t>
  </si>
  <si>
    <t>SÃ³lo genero lo sufficient para pagar la renta de mi suite.</t>
  </si>
  <si>
    <t>Seria grandioso.</t>
  </si>
  <si>
    <t>Luisa alme</t>
  </si>
  <si>
    <t>luisaalmengo09@gmail.com</t>
  </si>
  <si>
    <t>TendrÃ­a mis mismos ingresos</t>
  </si>
  <si>
    <t>Dramaticamente</t>
  </si>
  <si>
    <t>Luz grimaldo</t>
  </si>
  <si>
    <t>lgrimaldo@yahoo.com</t>
  </si>
  <si>
    <t>12242450088</t>
  </si>
  <si>
    <t>Nose</t>
  </si>
  <si>
    <t>Feliz</t>
  </si>
  <si>
    <t>Luzmary</t>
  </si>
  <si>
    <t>lucisofia18@gmail.com</t>
  </si>
  <si>
    <t>"Canva, Zoom, Instagram, Plataformas para cursos (Hotmart, Kajabi, Teachableâ€¦)"</t>
  </si>
  <si>
    <t>Sigo estresada buscando oportunidades</t>
  </si>
  <si>
    <t>Mucho me sentirÃ­a realizada</t>
  </si>
  <si>
    <t>Madeline</t>
  </si>
  <si>
    <t>shantel837@gmail.com</t>
  </si>
  <si>
    <t>Buscar soluciÃ³n</t>
  </si>
  <si>
    <t>Exactly</t>
  </si>
  <si>
    <t>MAIRUBY GALVIS</t>
  </si>
  <si>
    <t>mairubygalvis@gmail.com</t>
  </si>
  <si>
    <t>"Canva, WhatsApp Business, Instagram, Plataformas para cursos (Hotmart, Kajabi, Teachableâ€¦)"</t>
  </si>
  <si>
    <t>Exito</t>
  </si>
  <si>
    <t>MarÃ­a</t>
  </si>
  <si>
    <t>mary061337@gmail.com</t>
  </si>
  <si>
    <t>Figueroa igual</t>
  </si>
  <si>
    <t>SeguirÃ­a igual</t>
  </si>
  <si>
    <t>MarÃ­a Fernanda PeÃ±a PÃ©rez</t>
  </si>
  <si>
    <t>mfernandaperez2004@gmail.com</t>
  </si>
  <si>
    <t>50246556372</t>
  </si>
  <si>
    <t>No rendirme asÃ­ me tomÃ© tiempo, siempre tratarÃ­a de salir adelante y luchar hasta tener resultados</t>
  </si>
  <si>
    <t>Ayudar a mÃ¡s personas que por muy difÃ­cil que sea siempre ha que salir adelante y aprender siempre es la mejor inversiÃ³n de uno y Me ayudarÃ­a econÃ³micamente en todo</t>
  </si>
  <si>
    <t>Maria almonte</t>
  </si>
  <si>
    <t>maluisaalmonte@hotmail.com</t>
  </si>
  <si>
    <t>17797710795</t>
  </si>
  <si>
    <t>Maria E Lora B</t>
  </si>
  <si>
    <t>marialora2869@gmail.com</t>
  </si>
  <si>
    <t>14072469283</t>
  </si>
  <si>
    <t>"WhatsApp Business, Instagram, Zoom, Canva"</t>
  </si>
  <si>
    <t>TerminarÃ­a cansada</t>
  </si>
  <si>
    <t>Todas las anteriores</t>
  </si>
  <si>
    <t>EstarÃ­a muy cansada</t>
  </si>
  <si>
    <t>DormirÃ¡ con mÃ¡s paz</t>
  </si>
  <si>
    <t>Marian</t>
  </si>
  <si>
    <t>mariangrandett104@gmail.con</t>
  </si>
  <si>
    <t>14232804720</t>
  </si>
  <si>
    <t>Estaria igual sin avanzar</t>
  </si>
  <si>
    <t>Dejaria de estresarme tanto</t>
  </si>
  <si>
    <t>Mariangelis Balleste</t>
  </si>
  <si>
    <t>nailsbymara2020@yahoo.com</t>
  </si>
  <si>
    <t>14076078350</t>
  </si>
  <si>
    <t>SeguirÃ­a repitiendo lo mismo dÃ­a a dÃ­a con clientas y haciendo lo mismo mes a mes .</t>
  </si>
  <si>
    <t>Demaciado ya que soy mamÃ¡ de 4 niÃ±os 2 con necesidades especiales y lucho dÃ­a a dÃ­a con lograr generar mÃ¡s allÃ¡ con mi conocimiento y con mÃ¡s tiempo libre .</t>
  </si>
  <si>
    <t>Marina lopez</t>
  </si>
  <si>
    <t>marinamelgar20@gmail.com</t>
  </si>
  <si>
    <t>16092138028</t>
  </si>
  <si>
    <t>"Instagram, Ninguna"</t>
  </si>
  <si>
    <t>No bueno</t>
  </si>
  <si>
    <t>Marines</t>
  </si>
  <si>
    <t>maryinesben@gmail.co</t>
  </si>
  <si>
    <t>Marioxi</t>
  </si>
  <si>
    <t>nimariox88@gmail.com</t>
  </si>
  <si>
    <t>13526937796</t>
  </si>
  <si>
    <t>â€¦</t>
  </si>
  <si>
    <t>Realizada, feliz</t>
  </si>
  <si>
    <t>Maritza Garcia</t>
  </si>
  <si>
    <t>niasis@yahoo.com</t>
  </si>
  <si>
    <t>No cresco</t>
  </si>
  <si>
    <t>Otro nivel</t>
  </si>
  <si>
    <t>Martha Duarte</t>
  </si>
  <si>
    <t>darieladuarte3@gmail.com</t>
  </si>
  <si>
    <t>16465972942</t>
  </si>
  <si>
    <t>Tibio-AD11-CAPT-CIB-OCT25-ST</t>
  </si>
  <si>
    <t>Agotamiento fÃ­sico y mental</t>
  </si>
  <si>
    <t>MejorarÃ­a mucho mÃ¡s</t>
  </si>
  <si>
    <t>Mary Lidia Colon Garcia</t>
  </si>
  <si>
    <t>marycolonge894@gmail.com</t>
  </si>
  <si>
    <t>No pasarÃ­a nada pero seguirÃ­a en el mismo lugar sin avanzar</t>
  </si>
  <si>
    <t>Feliz de lograr lo que he soÃ±ado</t>
  </si>
  <si>
    <t>Meitxy</t>
  </si>
  <si>
    <t>meitxy@yahoo.com</t>
  </si>
  <si>
    <t>14077090073</t>
  </si>
  <si>
    <t>Michelle Arango</t>
  </si>
  <si>
    <t>michelle20460@gmail.com</t>
  </si>
  <si>
    <t>19729779046</t>
  </si>
  <si>
    <t>SeguirÃ­a buscando la manera de crecer</t>
  </si>
  <si>
    <t>PodrÃ­a tener mÃ¡s ingresos y planear abrir un spa grande para generar empleo</t>
  </si>
  <si>
    <t>Michelle castillo</t>
  </si>
  <si>
    <t>mcastillo23@live.com</t>
  </si>
  <si>
    <t>12014566513</t>
  </si>
  <si>
    <t>No podria salir de mis deudas</t>
  </si>
  <si>
    <t>Estaria menos preocupada por el ingreso</t>
  </si>
  <si>
    <t>Mirella GarcÃ­a</t>
  </si>
  <si>
    <t>mireya.stylist@gmail.com</t>
  </si>
  <si>
    <t>"Ninguna, Canva"</t>
  </si>
  <si>
    <t>Mirna Rosalia torres</t>
  </si>
  <si>
    <t>mirnatorres461@gmail.com</t>
  </si>
  <si>
    <t>16782544263</t>
  </si>
  <si>
    <t>AD5-FAM-SEPT-OLD-ABIERTO</t>
  </si>
  <si>
    <t>SeguirÃ© igual</t>
  </si>
  <si>
    <t>Monica Sanchez</t>
  </si>
  <si>
    <t>salonsoleunique.ms@gmail.com</t>
  </si>
  <si>
    <t>"WhatsApp Business, Instagram, Zoom"</t>
  </si>
  <si>
    <t>Solamente seguirÃ­a en lo mismo y ya quiero dejar de trabajar fÃ­sicamente</t>
  </si>
  <si>
    <t>Es algo que vengo trabajando desde hace un aÃ±o</t>
  </si>
  <si>
    <t>Nadia Beltran</t>
  </si>
  <si>
    <t>professionalnailsdesigner@gmail.com</t>
  </si>
  <si>
    <t>AD11-CAPT-CIB-ENE2026-V10-LV1-SA-TIBIO</t>
  </si>
  <si>
    <t>Pues no exprlotaria al maximo mi conosimiento que se que puede compartir con las demas chicas interesadas en este hermoso mundo artistico de las uÃ±as</t>
  </si>
  <si>
    <t>Pues genial me daria mas libertad de tiempo y ganando incluso hasta cuando duermo</t>
  </si>
  <si>
    <t>Nancy Bastos</t>
  </si>
  <si>
    <t>bastosnancy@hotmail.com</t>
  </si>
  <si>
    <t>Mal</t>
  </si>
  <si>
    <t>Genial mi salud y mi vida cambiarÃ­a</t>
  </si>
  <si>
    <t>Naomi</t>
  </si>
  <si>
    <t>ndnailboutique@gmail.com</t>
  </si>
  <si>
    <t>Dolor de espalda</t>
  </si>
  <si>
    <t>TendrÃ­as mÃ¡s tiempo libre</t>
  </si>
  <si>
    <t>Nayarilendi</t>
  </si>
  <si>
    <t>nayaricastillo89@gmail.com</t>
  </si>
  <si>
    <t>Trenzas</t>
  </si>
  <si>
    <t>"WhatsApp Business, Zoom, Instagram, Canva"</t>
  </si>
  <si>
    <t>No me irÃ­a como yo quiero</t>
  </si>
  <si>
    <t>CambiarÃ­a al mÃ¡ximo</t>
  </si>
  <si>
    <t>Nervis Morales RÃ­os</t>
  </si>
  <si>
    <t>nervismorales1981@gmail.com</t>
  </si>
  <si>
    <t>573116633352</t>
  </si>
  <si>
    <t>Creo que tirarÃ­a la toalla estÃ¡ muy pesado el mercado</t>
  </si>
  <si>
    <t>SerÃ­a genial ya estoy muy agotada presencialmente</t>
  </si>
  <si>
    <t>Nilda Brito</t>
  </si>
  <si>
    <t>lybtransportny@gmail.com</t>
  </si>
  <si>
    <t>En mi trabajo me va bien por el momento, pero me gustarÃ­a ser educadora</t>
  </si>
  <si>
    <t>Serial una buena oportunidad de ingreso</t>
  </si>
  <si>
    <t>Ninoska</t>
  </si>
  <si>
    <t>sojoninoska3@gmail.com</t>
  </si>
  <si>
    <t>18178450671</t>
  </si>
  <si>
    <t>SeguirÃ­a insistiendo hasta lograrlo</t>
  </si>
  <si>
    <t>SerÃ­a genial y lo disfrutarÃ­a al mÃ¡ximo esa recompensa de Dios</t>
  </si>
  <si>
    <t>Olga Pacheco</t>
  </si>
  <si>
    <t>olgrob87@gmail.com</t>
  </si>
  <si>
    <t>Lo mismo que tengo hoy , solo ganas de superarme</t>
  </si>
  <si>
    <t>Todtalmente</t>
  </si>
  <si>
    <t>Patricia</t>
  </si>
  <si>
    <t>gonzalez.patricia83@aol.com</t>
  </si>
  <si>
    <t>13472561889</t>
  </si>
  <si>
    <t>AD1-CYLTCO-CAPT-MARZ2026-ADV-USA-FRIO</t>
  </si>
  <si>
    <t>Cambiaria mucho</t>
  </si>
  <si>
    <t>Peggy Alamilla</t>
  </si>
  <si>
    <t>katyusca63@hotmail.com</t>
  </si>
  <si>
    <t>Raquel Vasquez</t>
  </si>
  <si>
    <t>raquelvasquez53@gmail.com</t>
  </si>
  <si>
    <t>Mis ingresos serian muy pocos</t>
  </si>
  <si>
    <t>Seria un cambio total</t>
  </si>
  <si>
    <t>Rogelia</t>
  </si>
  <si>
    <t>rogeliasantiago27@gmail.com</t>
  </si>
  <si>
    <t>14842738770</t>
  </si>
  <si>
    <t>AD2-BEC-MARZO26-V2PAGINA</t>
  </si>
  <si>
    <t>Canva</t>
  </si>
  <si>
    <t>Me retiro</t>
  </si>
  <si>
    <t>Rosa</t>
  </si>
  <si>
    <t>rosareinoso333@yahoo.com</t>
  </si>
  <si>
    <t>18622814838</t>
  </si>
  <si>
    <t>Agotada Estaria</t>
  </si>
  <si>
    <t>Lo Maximo</t>
  </si>
  <si>
    <t>Rosa martinez</t>
  </si>
  <si>
    <t>Rosamartinez6455@gmail.com</t>
  </si>
  <si>
    <t>Enormemente</t>
  </si>
  <si>
    <t>Rosy molina</t>
  </si>
  <si>
    <t>rossycmolina@gmail.com</t>
  </si>
  <si>
    <t>Claro hay que probar otras tÃ©cnicas diferentes hoy dias para crear ideas nuevas.</t>
  </si>
  <si>
    <t>Estaria mas relajada.</t>
  </si>
  <si>
    <t>Roxana cruz</t>
  </si>
  <si>
    <t>Cruzderiberararoxana@gmail.com</t>
  </si>
  <si>
    <t>Sí­, online (videos, talleres, redes)</t>
  </si>
  <si>
    <t>Nomegustaria</t>
  </si>
  <si>
    <t>Me encantaria</t>
  </si>
  <si>
    <t>Sandra</t>
  </si>
  <si>
    <t>sandrayuliethgil@hgmail.com</t>
  </si>
  <si>
    <t>SentirÃ­a que no avanzo y</t>
  </si>
  <si>
    <t>AmarÃ­a saber que tengo mÃ¡s tiempo para mi sin necesidad de simpler estar ahÃ­ en mesa casi 12 horas al dÃ­a .</t>
  </si>
  <si>
    <t>Sandra Aguilar</t>
  </si>
  <si>
    <t>sandraaguilarg24@gmail.com</t>
  </si>
  <si>
    <t>19563226688</t>
  </si>
  <si>
    <t>TerminarÃ© mas cansada</t>
  </si>
  <si>
    <t>Seria genial mi sueÃ±o buelto realidad poder compartir lo que se con aquellas mujeres y hombres que quieren pero no pueden ir a una escuela fÃ­sica para aprender</t>
  </si>
  <si>
    <t>Sandra chavez</t>
  </si>
  <si>
    <t>sandychVez1986@gmail.com</t>
  </si>
  <si>
    <t>PodrÃ­a perder mi casa</t>
  </si>
  <si>
    <t>MejorarÃ­a mi economia</t>
  </si>
  <si>
    <t>Sandra Medina</t>
  </si>
  <si>
    <t>sandiaverde1@hotmail.com</t>
  </si>
  <si>
    <t>19292396240</t>
  </si>
  <si>
    <t>me quedarÃ­a asÃ­ como ahora estoy</t>
  </si>
  <si>
    <t>justo eso es lo que quiero, ver resultados</t>
  </si>
  <si>
    <t>Sandy Reinas</t>
  </si>
  <si>
    <t>syrgd369@gmail.com</t>
  </si>
  <si>
    <t>"Instagram, Plataformas para cursos (Hotmart, Kajabi, Teachableâ€¦), Zoom"</t>
  </si>
  <si>
    <t>EstarÃ­a en el mismo lugar</t>
  </si>
  <si>
    <t>Me motivarÃ­a a seguir creando mÃ¡s productos educativos para ayudar a mÃ¡s personas a lograr sus sueÃ±os.</t>
  </si>
  <si>
    <t>Sary oviedo</t>
  </si>
  <si>
    <t>saryflower7@gmail.com</t>
  </si>
  <si>
    <t>Sigo dando clases fÃ­sicas pero quiero aserlo afuera tambiÃ©n</t>
  </si>
  <si>
    <t>Exelente</t>
  </si>
  <si>
    <t>Silvia Mangi</t>
  </si>
  <si>
    <t>silviawbm20@gmail.com</t>
  </si>
  <si>
    <t>13219487150</t>
  </si>
  <si>
    <t>Y es exactamente por eso que estoy aquÃ­: para aprender y dar forma a mi futuro profesional.</t>
  </si>
  <si>
    <t>A la posiciÃ³n en la que quiero estar.</t>
  </si>
  <si>
    <t>SofÃ­a</t>
  </si>
  <si>
    <t>shoskel@yahoo.com</t>
  </si>
  <si>
    <t>16267820648</t>
  </si>
  <si>
    <t>.</t>
  </si>
  <si>
    <t>Para bien</t>
  </si>
  <si>
    <t>Valeria</t>
  </si>
  <si>
    <t>valeriagalarza1989@gmail.com</t>
  </si>
  <si>
    <t>Completamente</t>
  </si>
  <si>
    <t>Valeska</t>
  </si>
  <si>
    <t>valeska_castellanos@hotmail.com</t>
  </si>
  <si>
    <t>No quiero continuar asi</t>
  </si>
  <si>
    <t>Vanessa Martinez</t>
  </si>
  <si>
    <t>vanemar0824@gmail.com</t>
  </si>
  <si>
    <t>17868659295</t>
  </si>
  <si>
    <t>All evitÃ³</t>
  </si>
  <si>
    <t>Veronica Simancas</t>
  </si>
  <si>
    <t>veronicnailartist@gmail.com</t>
  </si>
  <si>
    <t>"Instagram, Zoom"</t>
  </si>
  <si>
    <t>Seguro atada a I negocio sin discover de tiempo</t>
  </si>
  <si>
    <t>Seguro tendria MAs ingreso y ma tempo para mi familia</t>
  </si>
  <si>
    <t>Vimnery</t>
  </si>
  <si>
    <t>vimnery89@gmail.com</t>
  </si>
  <si>
    <t>ðŸ˜­</t>
  </si>
  <si>
    <t>Virginia Gonzalez</t>
  </si>
  <si>
    <t>gonzalezvi2675@gmali.com</t>
  </si>
  <si>
    <t>14705256321</t>
  </si>
  <si>
    <t>"Zoom, WhatsApp Business"</t>
  </si>
  <si>
    <t>No llegarÃ­a ganar ingresos mÃ¡s alto</t>
  </si>
  <si>
    <t>SerÃ­a muy genial</t>
  </si>
  <si>
    <t>Waleska morales</t>
  </si>
  <si>
    <t>waleskamorales65@gmail.com</t>
  </si>
  <si>
    <t>AD4-CYLTCO-CAPT-MARZ2026-ADV-USA-FRIO 2</t>
  </si>
  <si>
    <t>Pues no se</t>
  </si>
  <si>
    <t>Seria genial</t>
  </si>
  <si>
    <t>Wendy Dos Santos</t>
  </si>
  <si>
    <t>wendycamila2007@gmail.com</t>
  </si>
  <si>
    <t>PMU</t>
  </si>
  <si>
    <t>"Canva, Zoom, WhatsApp Business"</t>
  </si>
  <si>
    <t>Mis ingresos no aumentarian</t>
  </si>
  <si>
    <t>Es lo que deseo, producir y facturar mientras estoy de vacaciones</t>
  </si>
  <si>
    <t>Wilmaris Arteaga</t>
  </si>
  <si>
    <t>wilmarisarteaga@gmail.com</t>
  </si>
  <si>
    <t>17072071693</t>
  </si>
  <si>
    <t>TendrÃ­a que buscar otra fuente de ingresos</t>
  </si>
  <si>
    <t>PasarÃ­a mÃ¡s tiempo con mi familia.</t>
  </si>
  <si>
    <t>Xiomara soto</t>
  </si>
  <si>
    <t>danilomendez15@gmail.com</t>
  </si>
  <si>
    <t>16319330521</t>
  </si>
  <si>
    <t>Ahora mismo estÃ¡ bien difÃ­cil la vida y yo quiero estar dando cursos en lÃ­nea por que haci tengo tiempo para cuidar de mi hijo especial por q estarÃ­a en casa</t>
  </si>
  <si>
    <t>Demasiado por quÃ© eso es lo que estoy buscando mejor mis ingresos</t>
  </si>
  <si>
    <t>Yadira de la cruz</t>
  </si>
  <si>
    <t>ydelacruzjavier@gmail.com</t>
  </si>
  <si>
    <t>19739389634</t>
  </si>
  <si>
    <t>Falta de decision</t>
  </si>
  <si>
    <t>No generaria los ingresos que quiero</t>
  </si>
  <si>
    <t>Al Maximo</t>
  </si>
  <si>
    <t>Yamile</t>
  </si>
  <si>
    <t>yamilashes419@gmail.com</t>
  </si>
  <si>
    <t>17865381053</t>
  </si>
  <si>
    <t>No avanzo</t>
  </si>
  <si>
    <t>Yamilkreramirez@gmail.com</t>
  </si>
  <si>
    <t>yamilkreramirez@gmail.com</t>
  </si>
  <si>
    <t>17863953733</t>
  </si>
  <si>
    <t>Depilación láser</t>
  </si>
  <si>
    <t>"Plataformas para cursos (Hotmart, Kajabi, Teachableâ€¦), Instagram, WhatsApp Business, Zoom, Canva"</t>
  </si>
  <si>
    <t>EstarÃ­a estancada sin avance en el mismo lugar</t>
  </si>
  <si>
    <t>De 8.000 USD a 10.000 USD</t>
  </si>
  <si>
    <t>TendrÃ­a un impacto positivo</t>
  </si>
  <si>
    <t>Yarielis Taveras</t>
  </si>
  <si>
    <t>nikolegeymon@icloud.com</t>
  </si>
  <si>
    <t>19398817277</t>
  </si>
  <si>
    <t>Pues realmente seguirÃ­a donde mismo estoy ahora.!</t>
  </si>
  <si>
    <t>Mucho , me gustarÃ­a</t>
  </si>
  <si>
    <t>Yoemilis</t>
  </si>
  <si>
    <t>yoemilis28@gmail.com</t>
  </si>
  <si>
    <t>34633851497</t>
  </si>
  <si>
    <t>"Canva, WhatsApp Business, Zoom, Instagram, Plataformas para cursos (Hotmart, Kajabi, Teachableâ€¦)"</t>
  </si>
  <si>
    <t>Me frustrarÃ­a</t>
  </si>
  <si>
    <t>A 180 grados</t>
  </si>
  <si>
    <t>Yohady Franco</t>
  </si>
  <si>
    <t>yohady_vicioso@hotmail.com</t>
  </si>
  <si>
    <t>Agotamiento fÃ­sico</t>
  </si>
  <si>
    <t>SerÃ­a una maravilla</t>
  </si>
  <si>
    <t>Yohelin vanessa martinez</t>
  </si>
  <si>
    <t>Yohelinmartinez5@gmail.com</t>
  </si>
  <si>
    <t>14694921959</t>
  </si>
  <si>
    <t>AD7-BEC-CAPT-AGOSTO25-V2PAGINA</t>
  </si>
  <si>
    <t>Me sentirÃ­a realizada profesionalmente</t>
  </si>
  <si>
    <t>yolanda</t>
  </si>
  <si>
    <t>baez_yoly@hotmail.com</t>
  </si>
  <si>
    <t>15203608313</t>
  </si>
  <si>
    <t>Non</t>
  </si>
  <si>
    <t>Yolymar Rivera</t>
  </si>
  <si>
    <t>riverayolymar01@gmail.com</t>
  </si>
  <si>
    <t>17876434374</t>
  </si>
  <si>
    <t>Tengo que buscar trabajar mÃ¡s</t>
  </si>
  <si>
    <t>Me ayudarÃ­a a educarme mÃ¡s y seguir teniendo buenos resultados</t>
  </si>
  <si>
    <t>Yusel Galindo</t>
  </si>
  <si>
    <t>yusel88056@yahoo.es</t>
  </si>
  <si>
    <t>"Zoom, WhatsApp Business, Instagram, Plataformas para cursos (Hotmart, Kajabi, Teachableâ€¦)"</t>
  </si>
  <si>
    <t>Poco dinero</t>
  </si>
  <si>
    <t>Zoraida Valido</t>
  </si>
  <si>
    <t>laboricua1984@hotmail.com</t>
  </si>
  <si>
    <t>13053040570</t>
  </si>
  <si>
    <t>Salud y bienestar</t>
  </si>
  <si>
    <t>No pasaria nada</t>
  </si>
  <si>
    <t>Seria fantastico poder sonÌˆar que es cierto, ya verlo realizado seria otra cosa!</t>
  </si>
  <si>
    <t>CLASE 8 DE MARZO</t>
  </si>
  <si>
    <t>LISTA</t>
  </si>
  <si>
    <t>METAS</t>
  </si>
  <si>
    <t>HORA</t>
  </si>
  <si>
    <t># CONECTADOS</t>
  </si>
  <si>
    <t>Asistencia</t>
  </si>
  <si>
    <t>REGULAR</t>
  </si>
  <si>
    <t>BUENA</t>
  </si>
  <si>
    <t>EXCELENTE</t>
  </si>
  <si>
    <t>Agosto</t>
  </si>
  <si>
    <t>Registrados</t>
  </si>
  <si>
    <t>Conectados</t>
  </si>
  <si>
    <t>Conect rate</t>
  </si>
  <si>
    <t>Ventas</t>
  </si>
  <si>
    <t>% registrados</t>
  </si>
  <si>
    <t>% PLC</t>
  </si>
  <si>
    <t>Septiembre</t>
  </si>
  <si>
    <t>Noviembre</t>
  </si>
  <si>
    <t>First Name</t>
  </si>
  <si>
    <t>Last Name</t>
  </si>
  <si>
    <t>Phone</t>
  </si>
  <si>
    <t>Email</t>
  </si>
  <si>
    <t>utm_content</t>
  </si>
  <si>
    <t>Sary</t>
  </si>
  <si>
    <t>morenitaribera03@gmail.com</t>
  </si>
  <si>
    <t>AD5.2-BEC-CAPT-AGOSTO25-DIRECTO-USA-FRIO</t>
  </si>
  <si>
    <t>Barbara</t>
  </si>
  <si>
    <t>Parada</t>
  </si>
  <si>
    <t>ibarbara68@gmail.com</t>
  </si>
  <si>
    <t>Yeimy</t>
  </si>
  <si>
    <t>yeimy2444@gmail.com</t>
  </si>
  <si>
    <t>Flor</t>
  </si>
  <si>
    <t>Lucia poma</t>
  </si>
  <si>
    <t>pomaordonezflorlucia@gmail.com</t>
  </si>
  <si>
    <t>AD6-BEC-CAPT-AGOSTO25-DIRECTO-USA-FRIO</t>
  </si>
  <si>
    <t>Gloria</t>
  </si>
  <si>
    <t>goyis20@hotmail.com</t>
  </si>
  <si>
    <t>Jackeline</t>
  </si>
  <si>
    <t>Saavedra</t>
  </si>
  <si>
    <t>saavedrarivasjackeline@gmail.com</t>
  </si>
  <si>
    <t>Jeiny</t>
  </si>
  <si>
    <t>Garavito</t>
  </si>
  <si>
    <t>jeiny.g@gmail.com</t>
  </si>
  <si>
    <t>Ingrid</t>
  </si>
  <si>
    <t>Almanza</t>
  </si>
  <si>
    <t>inlial14@gmail.com</t>
  </si>
  <si>
    <t>Marcela</t>
  </si>
  <si>
    <t>Aranda</t>
  </si>
  <si>
    <t>maricelaaranda34@gmail.com</t>
  </si>
  <si>
    <t>Cindy</t>
  </si>
  <si>
    <t>Cortes</t>
  </si>
  <si>
    <t>cindycortes920@gmail.com</t>
  </si>
  <si>
    <t>Dany</t>
  </si>
  <si>
    <t>arellanozavaladanny@gimail.com</t>
  </si>
  <si>
    <t>Mayra</t>
  </si>
  <si>
    <t>Soto</t>
  </si>
  <si>
    <t>patriciamayra38@gmail.com</t>
  </si>
  <si>
    <t>Nadia</t>
  </si>
  <si>
    <t>Diaz</t>
  </si>
  <si>
    <t>nadiadiaz760@yahoo.com</t>
  </si>
  <si>
    <t>Cristina</t>
  </si>
  <si>
    <t>cristinarubio08ok@gmail.com</t>
  </si>
  <si>
    <t>Helen</t>
  </si>
  <si>
    <t>Daniela silva rios</t>
  </si>
  <si>
    <t>helendanielasilvarios183@gmail.com</t>
  </si>
  <si>
    <t>Meylin</t>
  </si>
  <si>
    <t>Matute</t>
  </si>
  <si>
    <t>matutemeylin944@gmail.com</t>
  </si>
  <si>
    <t>BÃ¡rbara</t>
  </si>
  <si>
    <t>DurÃ¡n</t>
  </si>
  <si>
    <t>barbaraduran1426@gmail.com</t>
  </si>
  <si>
    <t>Maria</t>
  </si>
  <si>
    <t>Gonzalez</t>
  </si>
  <si>
    <t>rosariogonzalwz75@yahoo.com</t>
  </si>
  <si>
    <t>Norma</t>
  </si>
  <si>
    <t>Pacheco</t>
  </si>
  <si>
    <t>elisabethpacheco46@gmx.com</t>
  </si>
  <si>
    <t>Jenny</t>
  </si>
  <si>
    <t>G xochitiotzi</t>
  </si>
  <si>
    <t>jenny_psi1@hotmail.com</t>
  </si>
  <si>
    <t>Josmary</t>
  </si>
  <si>
    <t>Estrada</t>
  </si>
  <si>
    <t>josmaryestrada@gmail.com</t>
  </si>
  <si>
    <t>Paola</t>
  </si>
  <si>
    <t>Villegas</t>
  </si>
  <si>
    <t>paolaevm2909@hotmail.com</t>
  </si>
  <si>
    <t>Carmen</t>
  </si>
  <si>
    <t>Rosa verano marin</t>
  </si>
  <si>
    <t>carmenrosaveranomarin1@gamil.vom</t>
  </si>
  <si>
    <t>sandraplatasdecarranza@gmail.com</t>
  </si>
  <si>
    <t>Angeles</t>
  </si>
  <si>
    <t>smeraldyblu@gmail.com</t>
  </si>
  <si>
    <t>Magali</t>
  </si>
  <si>
    <t>Arias</t>
  </si>
  <si>
    <t>magapaty85@outlook.com</t>
  </si>
  <si>
    <t>Michelly</t>
  </si>
  <si>
    <t>Vega</t>
  </si>
  <si>
    <t>michelly06vega@gmail.com</t>
  </si>
  <si>
    <t>Virginia</t>
  </si>
  <si>
    <t>Ramirez</t>
  </si>
  <si>
    <t>virginia_ramirez15@yahoo.com</t>
  </si>
  <si>
    <t>Marjorie</t>
  </si>
  <si>
    <t>Almenara</t>
  </si>
  <si>
    <t>marjorie_gamarra83@yahoo.com</t>
  </si>
  <si>
    <t>Katy</t>
  </si>
  <si>
    <t>Ossa</t>
  </si>
  <si>
    <t>katy_ossa@hotmail.com</t>
  </si>
  <si>
    <t>Rosny</t>
  </si>
  <si>
    <t>Pena</t>
  </si>
  <si>
    <t>etzelnailsartist@gmail.com</t>
  </si>
  <si>
    <t>Yanely</t>
  </si>
  <si>
    <t>Almonte</t>
  </si>
  <si>
    <t>yanelydominicansalon@gmail.vom</t>
  </si>
  <si>
    <t>Estefani vÃ¡squez ruano</t>
  </si>
  <si>
    <t>lilianavasquez26@icloud.com</t>
  </si>
  <si>
    <t>Delfariera</t>
  </si>
  <si>
    <t>delfariera0620@gamail.com</t>
  </si>
  <si>
    <t>Marbella</t>
  </si>
  <si>
    <t>hernanredondo13@gmail.com</t>
  </si>
  <si>
    <t>Wendy</t>
  </si>
  <si>
    <t>wendyochoa161@gmail.com</t>
  </si>
  <si>
    <t>Brenda</t>
  </si>
  <si>
    <t>Martes</t>
  </si>
  <si>
    <t>cassobalbuenab@gmail.com</t>
  </si>
  <si>
    <t>lovepaz36@gmail.com</t>
  </si>
  <si>
    <t>Victorina</t>
  </si>
  <si>
    <t>Aquino</t>
  </si>
  <si>
    <t>victoriaaquino38@gmail.com</t>
  </si>
  <si>
    <t>Flores</t>
  </si>
  <si>
    <t>carlag209@gmail.com</t>
  </si>
  <si>
    <t>Marlene</t>
  </si>
  <si>
    <t>Canarte</t>
  </si>
  <si>
    <t>marlenefm0107@hotmail.com</t>
  </si>
  <si>
    <t>Luz</t>
  </si>
  <si>
    <t>Vargas</t>
  </si>
  <si>
    <t>luzmaryvargascolorado@gmail.com</t>
  </si>
  <si>
    <t>AD5-BEC-CAPT-AGOSTO25-DIRECTO-USA-FRIO</t>
  </si>
  <si>
    <t>Lisett</t>
  </si>
  <si>
    <t>Ruiz perez</t>
  </si>
  <si>
    <t>lisett_ruiz@live.com</t>
  </si>
  <si>
    <t>gloriavazquez66@hotmail.com</t>
  </si>
  <si>
    <t>AD1.3-BEC-CAPT-AGOSTO25-DIRECTO-USA-FRIO</t>
  </si>
  <si>
    <t>Yaritza</t>
  </si>
  <si>
    <t>Poumier cintra</t>
  </si>
  <si>
    <t>yaritzapoumiercintra@gmail.com</t>
  </si>
  <si>
    <t>rosamaria17@gmail.com</t>
  </si>
  <si>
    <t>Karla</t>
  </si>
  <si>
    <t>Meza</t>
  </si>
  <si>
    <t>karlabeltran585@gmail.com</t>
  </si>
  <si>
    <t>Lili gomez</t>
  </si>
  <si>
    <t>mllashes8@gmail.com</t>
  </si>
  <si>
    <t>Rivera</t>
  </si>
  <si>
    <t>chabella222@hotmail.com</t>
  </si>
  <si>
    <t>Celeste</t>
  </si>
  <si>
    <t>D mariona torres</t>
  </si>
  <si>
    <t>azulmarino1112@gmail.com</t>
  </si>
  <si>
    <t>Yuneisy</t>
  </si>
  <si>
    <t>Martinez</t>
  </si>
  <si>
    <t>yuneisymartinezaguila21@gmail.com</t>
  </si>
  <si>
    <t>Catalina</t>
  </si>
  <si>
    <t>LÃ³pez</t>
  </si>
  <si>
    <t>catalinalopez.skin@gmail.com</t>
  </si>
  <si>
    <t>Maite</t>
  </si>
  <si>
    <t>Dominguez</t>
  </si>
  <si>
    <t>maitedizq@gmail.com</t>
  </si>
  <si>
    <t>Ã_x0081_ngela</t>
  </si>
  <si>
    <t>Navarrete</t>
  </si>
  <si>
    <t>angelldais@hormail.com</t>
  </si>
  <si>
    <t>Lisbeth</t>
  </si>
  <si>
    <t>Gavilanez</t>
  </si>
  <si>
    <t>liss_1996@icloud.com</t>
  </si>
  <si>
    <t>Myra</t>
  </si>
  <si>
    <t>Silva</t>
  </si>
  <si>
    <t>silvamayra013@gmail.com</t>
  </si>
  <si>
    <t>Patriciaramirez0911@gmail.</t>
  </si>
  <si>
    <t>Com</t>
  </si>
  <si>
    <t>patriciaramirez0911@gmail.com</t>
  </si>
  <si>
    <t>Denia</t>
  </si>
  <si>
    <t>Beatriz seren polanco</t>
  </si>
  <si>
    <t>beatrizcorrales90@email.com</t>
  </si>
  <si>
    <t>P gÃ³mez</t>
  </si>
  <si>
    <t>stylingbycarmen@gmail.com</t>
  </si>
  <si>
    <t>Gladis</t>
  </si>
  <si>
    <t>gladisestela857@gmail.com</t>
  </si>
  <si>
    <t>Deysi</t>
  </si>
  <si>
    <t>Calvo</t>
  </si>
  <si>
    <t>deysicalvo1990@gmail.com</t>
  </si>
  <si>
    <t>Yenny</t>
  </si>
  <si>
    <t>L alonzo</t>
  </si>
  <si>
    <t>yenny_alo7@hotmail.com</t>
  </si>
  <si>
    <t>Bibi</t>
  </si>
  <si>
    <t>Beltran</t>
  </si>
  <si>
    <t>Alejandra</t>
  </si>
  <si>
    <t>Urrutia</t>
  </si>
  <si>
    <t>motaalejandra1371@gmail.com</t>
  </si>
  <si>
    <t>Ayala</t>
  </si>
  <si>
    <t>omarelys6326@gmail.com</t>
  </si>
  <si>
    <t>Carolina</t>
  </si>
  <si>
    <t>Garcia</t>
  </si>
  <si>
    <t>rafaelcarolina16@gmail.com</t>
  </si>
  <si>
    <t>Corina hernandez</t>
  </si>
  <si>
    <t>jemanuelvalle914@gmail.com</t>
  </si>
  <si>
    <t>Keilin</t>
  </si>
  <si>
    <t>Hernndez</t>
  </si>
  <si>
    <t>hkeilin175@gmail.com</t>
  </si>
  <si>
    <t>Yolainy</t>
  </si>
  <si>
    <t>Valdez</t>
  </si>
  <si>
    <t>yolainyvaldez123@gmail.com</t>
  </si>
  <si>
    <t>Monica</t>
  </si>
  <si>
    <t>sweetymonik4@gmail.com</t>
  </si>
  <si>
    <t>Noemi</t>
  </si>
  <si>
    <t>Husted</t>
  </si>
  <si>
    <t>nhusted11730@my.pmi.edu</t>
  </si>
  <si>
    <t>Lexaliz</t>
  </si>
  <si>
    <t>SepÃºlveda</t>
  </si>
  <si>
    <t>lexalizsepulveda@gmail.com</t>
  </si>
  <si>
    <t>Evanely</t>
  </si>
  <si>
    <t>Resendiz</t>
  </si>
  <si>
    <t>malakneftaly7@gmail.com</t>
  </si>
  <si>
    <t>Jaramillo</t>
  </si>
  <si>
    <t>cristinajaramillobf@gmail.com</t>
  </si>
  <si>
    <t>Alexa</t>
  </si>
  <si>
    <t>Castellon</t>
  </si>
  <si>
    <t>calexa266@gmail.com</t>
  </si>
  <si>
    <t>alejandradeherbert13@gmail.com</t>
  </si>
  <si>
    <t>Iraidis</t>
  </si>
  <si>
    <t>Blanco</t>
  </si>
  <si>
    <t>iraidisb71@yahoo.com</t>
  </si>
  <si>
    <t>Kenia</t>
  </si>
  <si>
    <t>ks3107553@gmail.com</t>
  </si>
  <si>
    <t>Heidy</t>
  </si>
  <si>
    <t>Godoy</t>
  </si>
  <si>
    <t>heidygodoy7@gmail.com</t>
  </si>
  <si>
    <t>Johanna</t>
  </si>
  <si>
    <t>Salinas</t>
  </si>
  <si>
    <t>joesalinas710@hotmail.com</t>
  </si>
  <si>
    <t>Erika</t>
  </si>
  <si>
    <t>Casillas</t>
  </si>
  <si>
    <t>kikaliliana1517@gmail.com</t>
  </si>
  <si>
    <t>Lucy</t>
  </si>
  <si>
    <t>lucyvalencia.o1@gmail.com</t>
  </si>
  <si>
    <t>Yarisleidis</t>
  </si>
  <si>
    <t>Hernandez</t>
  </si>
  <si>
    <t>yarisleidis@outlook.com</t>
  </si>
  <si>
    <t>Gloribeth</t>
  </si>
  <si>
    <t>Cruz</t>
  </si>
  <si>
    <t>miarican07@icloud.com</t>
  </si>
  <si>
    <t>Mariam</t>
  </si>
  <si>
    <t>Pino</t>
  </si>
  <si>
    <t>mariampino27701@gmail.com</t>
  </si>
  <si>
    <t>M</t>
  </si>
  <si>
    <t>Amalia vallejo</t>
  </si>
  <si>
    <t>amaliafoseh@gmail.com</t>
  </si>
  <si>
    <t>Elisa</t>
  </si>
  <si>
    <t>Lozano</t>
  </si>
  <si>
    <t>elissalozzano@gmail.com</t>
  </si>
  <si>
    <t>Amalia</t>
  </si>
  <si>
    <t>Bonilla</t>
  </si>
  <si>
    <t>amaliabonilla31@gmail.com</t>
  </si>
  <si>
    <t>Santina</t>
  </si>
  <si>
    <t>biondo59@gmail.com</t>
  </si>
  <si>
    <t>AD6-BEC-CAPT-AGOSTO25 V2</t>
  </si>
  <si>
    <t>Provy</t>
  </si>
  <si>
    <t>Rodriguez</t>
  </si>
  <si>
    <t>provy30.pr@gmail.com</t>
  </si>
  <si>
    <t>Margot</t>
  </si>
  <si>
    <t>Tejada</t>
  </si>
  <si>
    <t>margaretnailsalon@gmail.com</t>
  </si>
  <si>
    <t>Socorro</t>
  </si>
  <si>
    <t>Gallegos</t>
  </si>
  <si>
    <t>sogaar71@gmail.com</t>
  </si>
  <si>
    <t>Stephanie</t>
  </si>
  <si>
    <t>Venegas alvarez</t>
  </si>
  <si>
    <t>stepalexandrava@gmail.com</t>
  </si>
  <si>
    <t>SuÃ¡rez</t>
  </si>
  <si>
    <t>virgi8312@gmail.com</t>
  </si>
  <si>
    <t>Perla</t>
  </si>
  <si>
    <t>perla.lozano9@icloud.con</t>
  </si>
  <si>
    <t>Zen</t>
  </si>
  <si>
    <t>CastilÃ±o</t>
  </si>
  <si>
    <t>zenyaze.rdzz@hotmail.com</t>
  </si>
  <si>
    <t>Sanchez</t>
  </si>
  <si>
    <t>samchezkarla78@gmail.com</t>
  </si>
  <si>
    <t>Leticia</t>
  </si>
  <si>
    <t>lettydelar6969@yahoo.com</t>
  </si>
  <si>
    <t>Michelle</t>
  </si>
  <si>
    <t>michelle.garcia.barrios@gmail.com</t>
  </si>
  <si>
    <t>Keyla</t>
  </si>
  <si>
    <t>Genao</t>
  </si>
  <si>
    <t>keycris.closet@gmail.com</t>
  </si>
  <si>
    <t>Yuleisy</t>
  </si>
  <si>
    <t>Armbruster</t>
  </si>
  <si>
    <t>yuleisyarmbruster@gmail.com</t>
  </si>
  <si>
    <t>Fajardo</t>
  </si>
  <si>
    <t>yerikas-694@hotmail.es</t>
  </si>
  <si>
    <t>Lilian</t>
  </si>
  <si>
    <t>GarcÃ­a</t>
  </si>
  <si>
    <t>garciaximenav19@gmail.com</t>
  </si>
  <si>
    <t>Yenisleydis</t>
  </si>
  <si>
    <t>Tasse</t>
  </si>
  <si>
    <t>yenistasse@gmail.com</t>
  </si>
  <si>
    <t>Esperanza</t>
  </si>
  <si>
    <t>De</t>
  </si>
  <si>
    <t>valdezesperanza528@gmail.com</t>
  </si>
  <si>
    <t>AD1.2-BEC-CAPT-AGOSTO25-DIRECTO-USA-FRIO</t>
  </si>
  <si>
    <t>Lidia</t>
  </si>
  <si>
    <t>Calderon</t>
  </si>
  <si>
    <t>calderonlodia315@gmail.com</t>
  </si>
  <si>
    <t>Nancy</t>
  </si>
  <si>
    <t>accua03@gmail.com</t>
  </si>
  <si>
    <t>Adilita</t>
  </si>
  <si>
    <t>Pico</t>
  </si>
  <si>
    <t>sandy.pico69@gmail.com</t>
  </si>
  <si>
    <t>Sylka</t>
  </si>
  <si>
    <t>sylkapr@gmail.com</t>
  </si>
  <si>
    <t>Maya</t>
  </si>
  <si>
    <t>leonbussiness21@gmail.com</t>
  </si>
  <si>
    <t>Beatriz</t>
  </si>
  <si>
    <t>beatriz_mija@hotmail.com</t>
  </si>
  <si>
    <t>Kiabeth</t>
  </si>
  <si>
    <t>Chorasmo</t>
  </si>
  <si>
    <t>chorasmok@gmail.com</t>
  </si>
  <si>
    <t>Mery</t>
  </si>
  <si>
    <t>Mendoza</t>
  </si>
  <si>
    <t>merylyngonzalez@yahoo.com</t>
  </si>
  <si>
    <t>Nieves</t>
  </si>
  <si>
    <t>Velecela</t>
  </si>
  <si>
    <t>rociovelecela7@gmail.com</t>
  </si>
  <si>
    <t>Novas</t>
  </si>
  <si>
    <t>kenianovas4@gmail.com</t>
  </si>
  <si>
    <t>Aurora</t>
  </si>
  <si>
    <t>Leon gudino</t>
  </si>
  <si>
    <t>violeta010175@gmail.com</t>
  </si>
  <si>
    <t>Lizette</t>
  </si>
  <si>
    <t>Marquez</t>
  </si>
  <si>
    <t>lizette.maro@yahoo.com</t>
  </si>
  <si>
    <t>mjsl2628@gmail.com</t>
  </si>
  <si>
    <t>MÃ³nica</t>
  </si>
  <si>
    <t>Barrera</t>
  </si>
  <si>
    <t>monik.barrerabarrera@gmail.com</t>
  </si>
  <si>
    <t>Elena pavon</t>
  </si>
  <si>
    <t>cucodelgado1934@gmail.com</t>
  </si>
  <si>
    <t>Elizabeth</t>
  </si>
  <si>
    <t>Solis</t>
  </si>
  <si>
    <t>elizasolis654@gmail.com</t>
  </si>
  <si>
    <t>Reyes</t>
  </si>
  <si>
    <t>sluz2892@gmail.com</t>
  </si>
  <si>
    <t>Jess</t>
  </si>
  <si>
    <t>P</t>
  </si>
  <si>
    <t>padronsgarage@gmail.com</t>
  </si>
  <si>
    <t>Gaines</t>
  </si>
  <si>
    <t>gainesbrenda68@gmail.com</t>
  </si>
  <si>
    <t>Ivete</t>
  </si>
  <si>
    <t>Cezario</t>
  </si>
  <si>
    <t>ivetecenterbella@hotmail.com</t>
  </si>
  <si>
    <t>Rubi</t>
  </si>
  <si>
    <t>Perez almonte</t>
  </si>
  <si>
    <t>rubiperezlmonte@gmail.com</t>
  </si>
  <si>
    <t>Martha</t>
  </si>
  <si>
    <t>Tintinago</t>
  </si>
  <si>
    <t>tintinago26@gmail.com</t>
  </si>
  <si>
    <t>Raquel</t>
  </si>
  <si>
    <t>raqcv8485@gmail.com</t>
  </si>
  <si>
    <t>Ana</t>
  </si>
  <si>
    <t>M alvarez cabral</t>
  </si>
  <si>
    <t>miaalvarez140@gmail.com</t>
  </si>
  <si>
    <t>Zarit</t>
  </si>
  <si>
    <t>zarithy@gmail.com</t>
  </si>
  <si>
    <t>Lludy</t>
  </si>
  <si>
    <t>Ravines</t>
  </si>
  <si>
    <t>lludyravines@icloud.com</t>
  </si>
  <si>
    <t>Evelyn</t>
  </si>
  <si>
    <t>Chicaiza</t>
  </si>
  <si>
    <t>evelynchicaizastudio2025@gmail.com</t>
  </si>
  <si>
    <t>Yaimet</t>
  </si>
  <si>
    <t>Martin</t>
  </si>
  <si>
    <t>yaimetmartin93@yahoo.com</t>
  </si>
  <si>
    <t>Diana</t>
  </si>
  <si>
    <t>Aguilar</t>
  </si>
  <si>
    <t>andiely2513@gmail.com</t>
  </si>
  <si>
    <t>Ogaz</t>
  </si>
  <si>
    <t>carladerenteria@gmail.com</t>
  </si>
  <si>
    <t>Guadalupe</t>
  </si>
  <si>
    <t>Navarro</t>
  </si>
  <si>
    <t>gnavarroy812@gmail.com</t>
  </si>
  <si>
    <t>Anny</t>
  </si>
  <si>
    <t>Perez</t>
  </si>
  <si>
    <t>perez_anny@hotmail.com</t>
  </si>
  <si>
    <t>Romero</t>
  </si>
  <si>
    <t>alegna0227@gmail.com</t>
  </si>
  <si>
    <t>Robert</t>
  </si>
  <si>
    <t>let.robert94@gmail.com</t>
  </si>
  <si>
    <t>Danny</t>
  </si>
  <si>
    <t>Guerrero</t>
  </si>
  <si>
    <t>dannyajela@yahoo.com</t>
  </si>
  <si>
    <t>marialemarquez12071994@gmail.com</t>
  </si>
  <si>
    <t>Tania</t>
  </si>
  <si>
    <t>iriartetania1988@gmail.com</t>
  </si>
  <si>
    <t>Victoria</t>
  </si>
  <si>
    <t>victoriarodriguez410@yahoo.com</t>
  </si>
  <si>
    <t>Olivia</t>
  </si>
  <si>
    <t>PeÃ±a</t>
  </si>
  <si>
    <t>oliviapenaperez@gmail.com</t>
  </si>
  <si>
    <t>Nathalia</t>
  </si>
  <si>
    <t>Lopez</t>
  </si>
  <si>
    <t>grosonatalia@gmail.com</t>
  </si>
  <si>
    <t>Bustos garcia</t>
  </si>
  <si>
    <t>lilianabgarcia25@gmail.com</t>
  </si>
  <si>
    <t>Angelica</t>
  </si>
  <si>
    <t>sambar19.92@icloud.com</t>
  </si>
  <si>
    <t>Favela</t>
  </si>
  <si>
    <t>olifavela11@gmail.com</t>
  </si>
  <si>
    <t>esperanzavargash@hotmail.com</t>
  </si>
  <si>
    <t>valeguizamon03@gmail.com</t>
  </si>
  <si>
    <t>Yashira</t>
  </si>
  <si>
    <t>Santiago</t>
  </si>
  <si>
    <t>imperfectlyglam@gmail.com</t>
  </si>
  <si>
    <t>Puerto casas</t>
  </si>
  <si>
    <t>nathaliapuertocasas.npc@gmail.com</t>
  </si>
  <si>
    <t>Irma</t>
  </si>
  <si>
    <t>irmasevilla2020@yahoo.com</t>
  </si>
  <si>
    <t>Dayana</t>
  </si>
  <si>
    <t>Cardona</t>
  </si>
  <si>
    <t>dayanacardona526@gmail.com</t>
  </si>
  <si>
    <t>Stephani</t>
  </si>
  <si>
    <t>De leon</t>
  </si>
  <si>
    <t>landi1.sd@gmail.com</t>
  </si>
  <si>
    <t>Daisy</t>
  </si>
  <si>
    <t>Vasquez</t>
  </si>
  <si>
    <t>devc2050@gmail.com</t>
  </si>
  <si>
    <t>Deisy</t>
  </si>
  <si>
    <t>johannalozano1987@hotmail.com</t>
  </si>
  <si>
    <t>Maestre</t>
  </si>
  <si>
    <t>rosamaestre006@gmail.com</t>
  </si>
  <si>
    <t>Dunia</t>
  </si>
  <si>
    <t>Alvarado</t>
  </si>
  <si>
    <t>dunia_yanara16@hotmail.com</t>
  </si>
  <si>
    <t>Yessenia</t>
  </si>
  <si>
    <t>Molinaro</t>
  </si>
  <si>
    <t>yessmolinaro@gmail.com</t>
  </si>
  <si>
    <t>Yahilyn</t>
  </si>
  <si>
    <t>Cifres</t>
  </si>
  <si>
    <t>yahilyn.m.cifres@ail.com</t>
  </si>
  <si>
    <t>Yusgleidy</t>
  </si>
  <si>
    <t>ariasyusgleidy14@gmail.com</t>
  </si>
  <si>
    <t>Bishop</t>
  </si>
  <si>
    <t>bishop.mari@gmail.com</t>
  </si>
  <si>
    <t>Jeny</t>
  </si>
  <si>
    <t>beautyqueenproducts@outlook.com</t>
  </si>
  <si>
    <t>Silvia</t>
  </si>
  <si>
    <t>Noyola</t>
  </si>
  <si>
    <t>silvianoyola00@gmail.com</t>
  </si>
  <si>
    <t>Lorena</t>
  </si>
  <si>
    <t>Casas</t>
  </si>
  <si>
    <t>cllorena75@gmail.com</t>
  </si>
  <si>
    <t>Dina</t>
  </si>
  <si>
    <t>Lara</t>
  </si>
  <si>
    <t>browsbydina@gmail.com</t>
  </si>
  <si>
    <t>Faty</t>
  </si>
  <si>
    <t>alanizalvarezfatima@gmail.com</t>
  </si>
  <si>
    <t>Vanessa</t>
  </si>
  <si>
    <t>Gutierrez</t>
  </si>
  <si>
    <t>nessa.gee61989@gmail.com</t>
  </si>
  <si>
    <t>Marvelys</t>
  </si>
  <si>
    <t>villegasflormarvelis@gmail.com</t>
  </si>
  <si>
    <t>AD7-BEC-CAPT-AGOSTO25-ADVANTAGE-USA-FRIO</t>
  </si>
  <si>
    <t>Eve</t>
  </si>
  <si>
    <t>Ruiz</t>
  </si>
  <si>
    <t>evaline09@hotmail.com</t>
  </si>
  <si>
    <t>Mauldin</t>
  </si>
  <si>
    <t>ceciliamauldin@gmail.com</t>
  </si>
  <si>
    <t>Aly</t>
  </si>
  <si>
    <t>R</t>
  </si>
  <si>
    <t>razoali0724@gmail.com</t>
  </si>
  <si>
    <t>Mirna</t>
  </si>
  <si>
    <t>Zamudio</t>
  </si>
  <si>
    <t>mirnazamudio70@gmail.com</t>
  </si>
  <si>
    <t>Sanjuana</t>
  </si>
  <si>
    <t>E moreno</t>
  </si>
  <si>
    <t>janiem1984@gmail.com</t>
  </si>
  <si>
    <t>Farez</t>
  </si>
  <si>
    <t>farezchaconmariajose@gmail.com</t>
  </si>
  <si>
    <t>Xiobeica</t>
  </si>
  <si>
    <t>viequesxio@gmail.com</t>
  </si>
  <si>
    <t>Francisca</t>
  </si>
  <si>
    <t>francishc1995@gmail.com</t>
  </si>
  <si>
    <t>Shushan</t>
  </si>
  <si>
    <t>shoshanaorozko@gmail.com</t>
  </si>
  <si>
    <t>Ramos</t>
  </si>
  <si>
    <t>bellamia1026@icloud.com</t>
  </si>
  <si>
    <t>Adriana</t>
  </si>
  <si>
    <t>S. correa</t>
  </si>
  <si>
    <t>adri_correa70@hotmail.com</t>
  </si>
  <si>
    <t>Jessica</t>
  </si>
  <si>
    <t>rubiia@icloud.com</t>
  </si>
  <si>
    <t>Jordana</t>
  </si>
  <si>
    <t>jordanam607@gmail.com</t>
  </si>
  <si>
    <t>C viera</t>
  </si>
  <si>
    <t>pviera040297@gmail.com</t>
  </si>
  <si>
    <t>Jeannette</t>
  </si>
  <si>
    <t>cosme.jenet@gmail.con</t>
  </si>
  <si>
    <t>Joselyn</t>
  </si>
  <si>
    <t>Pisco</t>
  </si>
  <si>
    <t>briy_1995@hotmail.com</t>
  </si>
  <si>
    <t>Reyna</t>
  </si>
  <si>
    <t>nangreyna.10@gmail.com</t>
  </si>
  <si>
    <t>Mary</t>
  </si>
  <si>
    <t>Mejia</t>
  </si>
  <si>
    <t>marymejia2008@gimail.com</t>
  </si>
  <si>
    <t>Resto</t>
  </si>
  <si>
    <t>angelicatesto5@gmail.com</t>
  </si>
  <si>
    <t>Hortencia</t>
  </si>
  <si>
    <t>martinezhortencia333@gmail.com</t>
  </si>
  <si>
    <t>De jesus</t>
  </si>
  <si>
    <t>michbeauty07@gmail.com</t>
  </si>
  <si>
    <t>Boritza</t>
  </si>
  <si>
    <t>Tamayo</t>
  </si>
  <si>
    <t>danitayboritza@gmail.com</t>
  </si>
  <si>
    <t>Castillo</t>
  </si>
  <si>
    <t>carmenca2582@gmail.com</t>
  </si>
  <si>
    <t>Maribel</t>
  </si>
  <si>
    <t>Aguirre</t>
  </si>
  <si>
    <t>beaugrooming@gmail.com</t>
  </si>
  <si>
    <t>Astrid</t>
  </si>
  <si>
    <t>Funes</t>
  </si>
  <si>
    <t>astridalicia02@icloud.com</t>
  </si>
  <si>
    <t>Jenniffer</t>
  </si>
  <si>
    <t>jenniffergarcia19912@gmail.com</t>
  </si>
  <si>
    <t>lissettcruz@hotmail.com</t>
  </si>
  <si>
    <t>Veronica</t>
  </si>
  <si>
    <t>RodrÃ­guez</t>
  </si>
  <si>
    <t>veronicalabios03@icloud.com</t>
  </si>
  <si>
    <t>Laura</t>
  </si>
  <si>
    <t>Castrejon</t>
  </si>
  <si>
    <t>l20castrejon15@gmail.com</t>
  </si>
  <si>
    <t>Stefany</t>
  </si>
  <si>
    <t>arielstefany@hotmail.com</t>
  </si>
  <si>
    <t>Diare</t>
  </si>
  <si>
    <t>Rivas</t>
  </si>
  <si>
    <t>diarerivqs@gmail.com</t>
  </si>
  <si>
    <t>Malagris</t>
  </si>
  <si>
    <t>amalagris@icloud.com</t>
  </si>
  <si>
    <t>Shirley</t>
  </si>
  <si>
    <t>albenostephanie@gmail.com</t>
  </si>
  <si>
    <t>Miriam</t>
  </si>
  <si>
    <t>Antelo</t>
  </si>
  <si>
    <t>miriamnailboutique@gmail.com</t>
  </si>
  <si>
    <t>Agudelo</t>
  </si>
  <si>
    <t>ansa0809@gmail.com</t>
  </si>
  <si>
    <t>Zulmy</t>
  </si>
  <si>
    <t>vasquezzulmy555@gmail.com</t>
  </si>
  <si>
    <t>190493arieseht@gmail.com</t>
  </si>
  <si>
    <t>vgch.2398@gmail.com</t>
  </si>
  <si>
    <t>Nathaly</t>
  </si>
  <si>
    <t>Pita</t>
  </si>
  <si>
    <t>beautybynathalypita@gmail.com</t>
  </si>
  <si>
    <t>carolrodriguezojeda@gmail.com</t>
  </si>
  <si>
    <t>Heisher</t>
  </si>
  <si>
    <t>heisheryelimar1923@gmail.com</t>
  </si>
  <si>
    <t>Chavez</t>
  </si>
  <si>
    <t>manjomaja@hotmail.com</t>
  </si>
  <si>
    <t>Yepez</t>
  </si>
  <si>
    <t>ordunopao@hotmail.com</t>
  </si>
  <si>
    <t>andru.023008@gmail.com</t>
  </si>
  <si>
    <t>Aylin</t>
  </si>
  <si>
    <t>its.yadiigee@gmail.com</t>
  </si>
  <si>
    <t>Luisa</t>
  </si>
  <si>
    <t>Marisol garcÃ­a</t>
  </si>
  <si>
    <t>mg12011983@gmail.com</t>
  </si>
  <si>
    <t>erikaestrada21@icloud.com</t>
  </si>
  <si>
    <t>Yolanny</t>
  </si>
  <si>
    <t>Batista</t>
  </si>
  <si>
    <t>yolannynails1@gmail.com</t>
  </si>
  <si>
    <t>Molero</t>
  </si>
  <si>
    <t>molerooberto@gmail.com</t>
  </si>
  <si>
    <t>AD1-BEC-CAPT-AGOSTO25 V2</t>
  </si>
  <si>
    <t>Sofia</t>
  </si>
  <si>
    <t>lsofialarios@yahoo.com</t>
  </si>
  <si>
    <t>Dianela</t>
  </si>
  <si>
    <t>Consuegra</t>
  </si>
  <si>
    <t>dconsuegrabucobo@gmail.com</t>
  </si>
  <si>
    <t>Talia</t>
  </si>
  <si>
    <t>taliapinos23@gmail.com</t>
  </si>
  <si>
    <t>Alexis</t>
  </si>
  <si>
    <t>alexisellington336@yahoo.com</t>
  </si>
  <si>
    <t>Del carmen</t>
  </si>
  <si>
    <t>carmen.cruuz67@gamil.com</t>
  </si>
  <si>
    <t>AD7-BEC-CAPT-AGOSTO25-DIRECTO-USA-FRIO</t>
  </si>
  <si>
    <t>Saira</t>
  </si>
  <si>
    <t>Grande</t>
  </si>
  <si>
    <t>sairagrande93@gmail.com</t>
  </si>
  <si>
    <t>Genessis</t>
  </si>
  <si>
    <t>Barahona</t>
  </si>
  <si>
    <t>www.joyce_93@hotmail.es</t>
  </si>
  <si>
    <t>Herrera</t>
  </si>
  <si>
    <t>bellelyn20@hotmail.com</t>
  </si>
  <si>
    <t>Niubis</t>
  </si>
  <si>
    <t>Jardines</t>
  </si>
  <si>
    <t>jardinesniubis@gmail.com</t>
  </si>
  <si>
    <t>Kelly</t>
  </si>
  <si>
    <t>kymestizo88@gmail.com</t>
  </si>
  <si>
    <t>yeimyrealtor07@gmail.com</t>
  </si>
  <si>
    <t>elimarbu01@gmail.com</t>
  </si>
  <si>
    <t>Siomara</t>
  </si>
  <si>
    <t>siomara.rivas@tahoo.com</t>
  </si>
  <si>
    <t>Canel</t>
  </si>
  <si>
    <t>ncanel1989@gmail.com</t>
  </si>
  <si>
    <t>Amada</t>
  </si>
  <si>
    <t>amadacarolinad@gmail.com</t>
  </si>
  <si>
    <t>Isela</t>
  </si>
  <si>
    <t>Velez</t>
  </si>
  <si>
    <t>iselitavelez23@gmail.com</t>
  </si>
  <si>
    <t>Vegas</t>
  </si>
  <si>
    <t>mabelystudios@gmail.com</t>
  </si>
  <si>
    <t>AD2-CIB-CAPT-JULIO25</t>
  </si>
  <si>
    <t>Jacinta cullanco guerra</t>
  </si>
  <si>
    <t>erikacullanco@gmail.com</t>
  </si>
  <si>
    <t>Vilma</t>
  </si>
  <si>
    <t>Zegarra</t>
  </si>
  <si>
    <t>vilam951612@gmail.com</t>
  </si>
  <si>
    <t>mariachuqui86@icloud.com</t>
  </si>
  <si>
    <t>Carlibeth</t>
  </si>
  <si>
    <t>Lunar</t>
  </si>
  <si>
    <t>carlibeth011119@gmail.com</t>
  </si>
  <si>
    <t>Dixon dixon</t>
  </si>
  <si>
    <t>ana.dixon1969@gmail.com</t>
  </si>
  <si>
    <t>Moratino</t>
  </si>
  <si>
    <t>elizabth0204@gmail.com</t>
  </si>
  <si>
    <t>Cristabel</t>
  </si>
  <si>
    <t>Nunez</t>
  </si>
  <si>
    <t>cbnhusa@gmail.com</t>
  </si>
  <si>
    <t>Cecilia aguilar suarez</t>
  </si>
  <si>
    <t>aguilarsuarezmariacecilia@gmail.com</t>
  </si>
  <si>
    <t>Ivone</t>
  </si>
  <si>
    <t>sami_1714@hotmail.com</t>
  </si>
  <si>
    <t>Teresa</t>
  </si>
  <si>
    <t>Hernandez hernandez</t>
  </si>
  <si>
    <t>stylebybar1@gmail.com</t>
  </si>
  <si>
    <t>Yesenia</t>
  </si>
  <si>
    <t>Galarza escamilla</t>
  </si>
  <si>
    <t>psic_yesi@hotmail.com</t>
  </si>
  <si>
    <t>De la o</t>
  </si>
  <si>
    <t>erikadelao36@gmail.com</t>
  </si>
  <si>
    <t>Paty</t>
  </si>
  <si>
    <t>patypatito14@gmail.com</t>
  </si>
  <si>
    <t>Claudia</t>
  </si>
  <si>
    <t>claudiamartinez@1678gmail.com</t>
  </si>
  <si>
    <t>Paula</t>
  </si>
  <si>
    <t>Osorio osorio</t>
  </si>
  <si>
    <t>axza378@gmail.com</t>
  </si>
  <si>
    <t>Ortiz</t>
  </si>
  <si>
    <t>ortizlupita61@gmail.com</t>
  </si>
  <si>
    <t>Sonia</t>
  </si>
  <si>
    <t>Maldonado</t>
  </si>
  <si>
    <t>soniamh01@gmail.com</t>
  </si>
  <si>
    <t>Stiefel</t>
  </si>
  <si>
    <t>reynalili267@gmail.com</t>
  </si>
  <si>
    <t>Franchesca</t>
  </si>
  <si>
    <t>Castro</t>
  </si>
  <si>
    <t>hurricanecastro05@gmail.com</t>
  </si>
  <si>
    <t>Eva</t>
  </si>
  <si>
    <t>evaluciasanchez@gmail.com</t>
  </si>
  <si>
    <t>M de los santos</t>
  </si>
  <si>
    <t>proyectovida004@gmail.com</t>
  </si>
  <si>
    <t>Aracely</t>
  </si>
  <si>
    <t>Galvan</t>
  </si>
  <si>
    <t>marygalfi@gmail.com</t>
  </si>
  <si>
    <t>Dipre</t>
  </si>
  <si>
    <t>wendydipre01@gmail.com</t>
  </si>
  <si>
    <t>Espinosa</t>
  </si>
  <si>
    <t>e.lisbeth@yahoo.es</t>
  </si>
  <si>
    <t>Jann</t>
  </si>
  <si>
    <t>Carlos</t>
  </si>
  <si>
    <t>mariacubas0279@gmail.com</t>
  </si>
  <si>
    <t>Ismenia</t>
  </si>
  <si>
    <t>jkcastor980@gmail.com</t>
  </si>
  <si>
    <t>Orfa</t>
  </si>
  <si>
    <t>Cerda</t>
  </si>
  <si>
    <t>orfacerda77093@gmail.com</t>
  </si>
  <si>
    <t>Karina</t>
  </si>
  <si>
    <t>karinadrs03@outlook.com</t>
  </si>
  <si>
    <t>Karime</t>
  </si>
  <si>
    <t>Perez-q</t>
  </si>
  <si>
    <t>kperezquintela@gmail.com</t>
  </si>
  <si>
    <t>mkarinamendozaa@gmail.com</t>
  </si>
  <si>
    <t>Janet</t>
  </si>
  <si>
    <t>yforigua@hotmail.com</t>
  </si>
  <si>
    <t>zanielsoto@gmail.com</t>
  </si>
  <si>
    <t>Odelaisis</t>
  </si>
  <si>
    <t>oderoyero@gmail.com</t>
  </si>
  <si>
    <t>Yolanda</t>
  </si>
  <si>
    <t>Gamboa</t>
  </si>
  <si>
    <t>gamyolis.14@gmail.com</t>
  </si>
  <si>
    <t>Leydis</t>
  </si>
  <si>
    <t>Meneses</t>
  </si>
  <si>
    <t>bebymonik24@gmail.com</t>
  </si>
  <si>
    <t>Yoly</t>
  </si>
  <si>
    <t>Larrazabal</t>
  </si>
  <si>
    <t>yolyamesty44@gmail.com</t>
  </si>
  <si>
    <t>Digna</t>
  </si>
  <si>
    <t>Riofrio</t>
  </si>
  <si>
    <t>rdigna189@gmail.com</t>
  </si>
  <si>
    <t>Genny</t>
  </si>
  <si>
    <t>gennycarrillo09@gmail.com</t>
  </si>
  <si>
    <t>Chimborazo</t>
  </si>
  <si>
    <t>ramona.chimborazo88@gmail.com</t>
  </si>
  <si>
    <t>Janis</t>
  </si>
  <si>
    <t>Valenzuela</t>
  </si>
  <si>
    <t>janisvalenzuelafuentes@gmail.com</t>
  </si>
  <si>
    <t>Godinez</t>
  </si>
  <si>
    <t>amandadf2004@yahoo.com</t>
  </si>
  <si>
    <t>Gabriela</t>
  </si>
  <si>
    <t>2901mendozagaby@gmail.com</t>
  </si>
  <si>
    <t>Sandez</t>
  </si>
  <si>
    <t>dianamelissa0812@gmail.com</t>
  </si>
  <si>
    <t>Kety</t>
  </si>
  <si>
    <t>Parra</t>
  </si>
  <si>
    <t>kettyparra5269@gmail.com</t>
  </si>
  <si>
    <t>Alexandra</t>
  </si>
  <si>
    <t>Shelton</t>
  </si>
  <si>
    <t>gabriela-363@hotmail.com</t>
  </si>
  <si>
    <t>Rosmiria</t>
  </si>
  <si>
    <t>Barrios</t>
  </si>
  <si>
    <t>sweetbarrios14@gmail.com</t>
  </si>
  <si>
    <t>Arguello</t>
  </si>
  <si>
    <t>silviromero125@gmail.com</t>
  </si>
  <si>
    <t>Lazo</t>
  </si>
  <si>
    <t>lazopaty806@gmail.com</t>
  </si>
  <si>
    <t>Lilia</t>
  </si>
  <si>
    <t>Magana</t>
  </si>
  <si>
    <t>anirak1107@gmail.com</t>
  </si>
  <si>
    <t>Ysa</t>
  </si>
  <si>
    <t>Torres</t>
  </si>
  <si>
    <t>ysa14045@gmail.com</t>
  </si>
  <si>
    <t>Geraldine</t>
  </si>
  <si>
    <t>miamgelemiliano54@gmail.com</t>
  </si>
  <si>
    <t>luzdelgado970@gmail.com</t>
  </si>
  <si>
    <t>Argueta</t>
  </si>
  <si>
    <t>johannapalcios546@gmail.com</t>
  </si>
  <si>
    <t>Katherlyn</t>
  </si>
  <si>
    <t>katherlyn1210@gmail.com</t>
  </si>
  <si>
    <t>Hermida</t>
  </si>
  <si>
    <t>barbiehermida12@gmail.com</t>
  </si>
  <si>
    <t>Salazar</t>
  </si>
  <si>
    <t>enmasalazar97@igloud.com</t>
  </si>
  <si>
    <t>Leonor</t>
  </si>
  <si>
    <t>Gasca</t>
  </si>
  <si>
    <t>leojimmy@icloud.com</t>
  </si>
  <si>
    <t>Morayma</t>
  </si>
  <si>
    <t>Medina</t>
  </si>
  <si>
    <t>mdcmedinam@hotmail.com</t>
  </si>
  <si>
    <t>Israldis</t>
  </si>
  <si>
    <t>Ascanio</t>
  </si>
  <si>
    <t>israldisascanio@hotmail.com</t>
  </si>
  <si>
    <t>gloriab1804@icloud.com</t>
  </si>
  <si>
    <t>Geainy</t>
  </si>
  <si>
    <t>Zamora</t>
  </si>
  <si>
    <t>geainyjean@gmail.com</t>
  </si>
  <si>
    <t>leticia.reyes101@icloud.com</t>
  </si>
  <si>
    <t>Marivel</t>
  </si>
  <si>
    <t>mariveltrejo1048@gmail.com</t>
  </si>
  <si>
    <t>AD4-BEC-CAPT-AGOSTO25 V2</t>
  </si>
  <si>
    <t>Sarah</t>
  </si>
  <si>
    <t>Sell</t>
  </si>
  <si>
    <t>sarahksell@gmail.com</t>
  </si>
  <si>
    <t>Loida</t>
  </si>
  <si>
    <t>Reese</t>
  </si>
  <si>
    <t>loida141125@gmail.com</t>
  </si>
  <si>
    <t>V billiot</t>
  </si>
  <si>
    <t>evabilliot24@gmail.com</t>
  </si>
  <si>
    <t>Joss</t>
  </si>
  <si>
    <t>Bejarano</t>
  </si>
  <si>
    <t>joss19922830@gmail.com</t>
  </si>
  <si>
    <t>madnoh1@gmail.com</t>
  </si>
  <si>
    <t>Jennifer</t>
  </si>
  <si>
    <t>Romero martinez</t>
  </si>
  <si>
    <t>romahblasercenter@gmail.com</t>
  </si>
  <si>
    <t>Yuly</t>
  </si>
  <si>
    <t>GutiÃ©rrez</t>
  </si>
  <si>
    <t>yulyngm@gmail.com</t>
  </si>
  <si>
    <t>Cota</t>
  </si>
  <si>
    <t>cotamaria464@gmail.com</t>
  </si>
  <si>
    <t>vargas_vicky0818@yahoo.com</t>
  </si>
  <si>
    <t>Llago</t>
  </si>
  <si>
    <t>claudiallago1991@gmail.com</t>
  </si>
  <si>
    <t>Katherine</t>
  </si>
  <si>
    <t>daniela920413@gmail.com</t>
  </si>
  <si>
    <t>Graciela</t>
  </si>
  <si>
    <t>GonzÃ¡lez</t>
  </si>
  <si>
    <t>gracielagonzalez2211@gmail.com</t>
  </si>
  <si>
    <t>vramirez695@gmail.com</t>
  </si>
  <si>
    <t>Valentina</t>
  </si>
  <si>
    <t>Garibello</t>
  </si>
  <si>
    <t>valegaribello22@gmail.com</t>
  </si>
  <si>
    <t>Leanes</t>
  </si>
  <si>
    <t>leanesmedina3@gmail.com</t>
  </si>
  <si>
    <t>Linette</t>
  </si>
  <si>
    <t>rodzlinette21@gmail.com</t>
  </si>
  <si>
    <t>Csbrera</t>
  </si>
  <si>
    <t>nsanlourdes@gmail.com</t>
  </si>
  <si>
    <t>Alma</t>
  </si>
  <si>
    <t>Alonso</t>
  </si>
  <si>
    <t>alonso87alma@icloud.com</t>
  </si>
  <si>
    <t>Jacqueline</t>
  </si>
  <si>
    <t>Ochoa</t>
  </si>
  <si>
    <t>jackyochoa926@gmail.com</t>
  </si>
  <si>
    <t>Antonia</t>
  </si>
  <si>
    <t>antonia87flores@yahoo.com</t>
  </si>
  <si>
    <t>Leidy</t>
  </si>
  <si>
    <t>Burdier</t>
  </si>
  <si>
    <t>l.burdierj@gmail.com</t>
  </si>
  <si>
    <t>Beverly</t>
  </si>
  <si>
    <t>Claudio-candelario</t>
  </si>
  <si>
    <t>bevcandelario29@gmail.com</t>
  </si>
  <si>
    <t>Dallannelys</t>
  </si>
  <si>
    <t>dallannelystorresrivero@gmail.com</t>
  </si>
  <si>
    <t>Deyanira</t>
  </si>
  <si>
    <t>Loor</t>
  </si>
  <si>
    <t>loordeyanira7@gmail.com</t>
  </si>
  <si>
    <t>Elvia</t>
  </si>
  <si>
    <t>elviamtz@gimail.com</t>
  </si>
  <si>
    <t>Genesis</t>
  </si>
  <si>
    <t>Katherine torres</t>
  </si>
  <si>
    <t>gkt.1628@gmail.com</t>
  </si>
  <si>
    <t>AD5-BEC-CAPT-AGOSTO25-DIRECTO-USA-FRIO-PUBLICO-SIMILAR-COMPRADORES</t>
  </si>
  <si>
    <t>Dulce</t>
  </si>
  <si>
    <t>cortesd2029@gmail.com</t>
  </si>
  <si>
    <t>Nohemi</t>
  </si>
  <si>
    <t>Santillano</t>
  </si>
  <si>
    <t>nohemi.santillano@gmail.com</t>
  </si>
  <si>
    <t>C</t>
  </si>
  <si>
    <t>schavez255@gmail.com</t>
  </si>
  <si>
    <t>Berrezueta</t>
  </si>
  <si>
    <t>erikaberre1414@gmail.com</t>
  </si>
  <si>
    <t>Natalia</t>
  </si>
  <si>
    <t>CastaÃ±eda</t>
  </si>
  <si>
    <t>nataliacr0610@gmail.com</t>
  </si>
  <si>
    <t>Diego</t>
  </si>
  <si>
    <t>brausalondebellezayspa@gmail.com</t>
  </si>
  <si>
    <t>Mariana</t>
  </si>
  <si>
    <t>Gonzales</t>
  </si>
  <si>
    <t>marianabeautycare@gmail.com</t>
  </si>
  <si>
    <t>Valencja</t>
  </si>
  <si>
    <t>cumuatillo@icloud.com</t>
  </si>
  <si>
    <t>Hedika</t>
  </si>
  <si>
    <t>Lovera</t>
  </si>
  <si>
    <t>loverahedika@gmail.com</t>
  </si>
  <si>
    <t>Sindy</t>
  </si>
  <si>
    <t>Enamorado</t>
  </si>
  <si>
    <t>sindyeh4@gmail.com</t>
  </si>
  <si>
    <t>Yokasta</t>
  </si>
  <si>
    <t>Villalona</t>
  </si>
  <si>
    <t>yokastavillalona2318@hotmail.com</t>
  </si>
  <si>
    <t>Quinfia</t>
  </si>
  <si>
    <t>wuendyquinfia41@gmail.com</t>
  </si>
  <si>
    <t>Jackie</t>
  </si>
  <si>
    <t>jackiemarquezdelaplata@hotmail.com</t>
  </si>
  <si>
    <t>Emily</t>
  </si>
  <si>
    <t>Ulloa</t>
  </si>
  <si>
    <t>eaguirre3@unica.edu.ni</t>
  </si>
  <si>
    <t>Rosales</t>
  </si>
  <si>
    <t>alerosalesguti@hotmail.com</t>
  </si>
  <si>
    <t>Lizbeth</t>
  </si>
  <si>
    <t>Dorronsoro</t>
  </si>
  <si>
    <t>lvd484@gmail.com</t>
  </si>
  <si>
    <t>G</t>
  </si>
  <si>
    <t>Franco rosales</t>
  </si>
  <si>
    <t>guadalupef92@gmail.com</t>
  </si>
  <si>
    <t>Iris</t>
  </si>
  <si>
    <t>Elizabeth salmeron carmona</t>
  </si>
  <si>
    <t>ellysalmeron89@gmail.com</t>
  </si>
  <si>
    <t>brendarodriguez121887@gmail.com</t>
  </si>
  <si>
    <t>Meilyn</t>
  </si>
  <si>
    <t>meilynv42@gmail.com</t>
  </si>
  <si>
    <t>Moreno</t>
  </si>
  <si>
    <t>morenomarilis5@gmail.com</t>
  </si>
  <si>
    <t>Morales</t>
  </si>
  <si>
    <t>leydymorales2103@gmail.com</t>
  </si>
  <si>
    <t>Mari</t>
  </si>
  <si>
    <t>brattyklawzofficial@gmail.com</t>
  </si>
  <si>
    <t>Perladayana58@gmail.com</t>
  </si>
  <si>
    <t>perladayana58@gmail.com</t>
  </si>
  <si>
    <t>Sulaiman</t>
  </si>
  <si>
    <t>gracielasulaiman@gmail.com</t>
  </si>
  <si>
    <t>Yeny</t>
  </si>
  <si>
    <t>flores9312@hotmail.com</t>
  </si>
  <si>
    <t>Donna</t>
  </si>
  <si>
    <t>donna_mendoza@me.com</t>
  </si>
  <si>
    <t>Jemima</t>
  </si>
  <si>
    <t>Molina</t>
  </si>
  <si>
    <t>yemimolina@hotmail.com</t>
  </si>
  <si>
    <t>Gumucio</t>
  </si>
  <si>
    <t>monicgu5@gmail.com</t>
  </si>
  <si>
    <t>Arianny</t>
  </si>
  <si>
    <t>Chirinos</t>
  </si>
  <si>
    <t>arianny3001@gmail.com</t>
  </si>
  <si>
    <t>Genisis</t>
  </si>
  <si>
    <t>Celis</t>
  </si>
  <si>
    <t>genesiscelis91@gmail.com</t>
  </si>
  <si>
    <t>Jimena</t>
  </si>
  <si>
    <t>Taborda</t>
  </si>
  <si>
    <t>jimenataborda84@gmail.com</t>
  </si>
  <si>
    <t>Lucero</t>
  </si>
  <si>
    <t>Juarez</t>
  </si>
  <si>
    <t>lucerojuarez2009@gmal.com</t>
  </si>
  <si>
    <t>jesicafloresva@gmail.com</t>
  </si>
  <si>
    <t>Yasmin</t>
  </si>
  <si>
    <t>yasminquintanilla53@gmail.comy</t>
  </si>
  <si>
    <t>Ingri</t>
  </si>
  <si>
    <t>Montanez infante</t>
  </si>
  <si>
    <t>ingri.tatianamon1623@gmail.com</t>
  </si>
  <si>
    <t>Karen</t>
  </si>
  <si>
    <t>Eguez</t>
  </si>
  <si>
    <t>eguezkaren8@gmail.com</t>
  </si>
  <si>
    <t>jamaicabeauty01@gmail.com</t>
  </si>
  <si>
    <t>bmolze192@gmail.com</t>
  </si>
  <si>
    <t>Fuentes</t>
  </si>
  <si>
    <t>ivonnefernanda10@hotmail.com</t>
  </si>
  <si>
    <t>Canales</t>
  </si>
  <si>
    <t>luna112314@gmail.com</t>
  </si>
  <si>
    <t>Sobeida</t>
  </si>
  <si>
    <t>Villa</t>
  </si>
  <si>
    <t>monsekim2@gmail.com</t>
  </si>
  <si>
    <t>Patricia olaya</t>
  </si>
  <si>
    <t>patotx72@gmail.com</t>
  </si>
  <si>
    <t>Maday</t>
  </si>
  <si>
    <t>madayochoa1126@gmail.com</t>
  </si>
  <si>
    <t>Dianny</t>
  </si>
  <si>
    <t>Radairis santana</t>
  </si>
  <si>
    <t>santanadianny111594@gmail.com</t>
  </si>
  <si>
    <t>Jessica jaramillo de alarcÃ³n</t>
  </si>
  <si>
    <t>jessydeys@gmail.com</t>
  </si>
  <si>
    <t>CÃ¡ndida</t>
  </si>
  <si>
    <t>candidas77suarez@gamli.com</t>
  </si>
  <si>
    <t>Ravelo</t>
  </si>
  <si>
    <t>iselaravelo@gmail.com</t>
  </si>
  <si>
    <t>Yenniffer</t>
  </si>
  <si>
    <t>Galindo</t>
  </si>
  <si>
    <t>yenniffergalindo@gmail.com</t>
  </si>
  <si>
    <t>Olga</t>
  </si>
  <si>
    <t>Mendez</t>
  </si>
  <si>
    <t>olgamendez1415@gmail.com</t>
  </si>
  <si>
    <t>AD6.1-BEC-CAPT-AGOSTO25-DIRECTO-USA-FRIO</t>
  </si>
  <si>
    <t>Irizarry</t>
  </si>
  <si>
    <t>babymaryo41@gmail.com</t>
  </si>
  <si>
    <t>Angie</t>
  </si>
  <si>
    <t>angieblanc19@gmail.com</t>
  </si>
  <si>
    <t>Yanelix</t>
  </si>
  <si>
    <t>yanelixlopez0706@gmail.com</t>
  </si>
  <si>
    <t>Salgado</t>
  </si>
  <si>
    <t>olgavidrio@gmail.com</t>
  </si>
  <si>
    <t>Olguin</t>
  </si>
  <si>
    <t>kikin7523@gmail.com</t>
  </si>
  <si>
    <t>Breceda</t>
  </si>
  <si>
    <t>maribelbreceda@gmail.com</t>
  </si>
  <si>
    <t>Sherlyyy</t>
  </si>
  <si>
    <t>ivonnelopez180204@gmail.com</t>
  </si>
  <si>
    <t>Yairismar</t>
  </si>
  <si>
    <t>yairismarvalenzuela@gmail.com</t>
  </si>
  <si>
    <t>Libia</t>
  </si>
  <si>
    <t>tatyka1203@gmail.com</t>
  </si>
  <si>
    <t>Ylyemar</t>
  </si>
  <si>
    <t>Henao</t>
  </si>
  <si>
    <t>ylyemar@gmail.com</t>
  </si>
  <si>
    <t>Sibrian</t>
  </si>
  <si>
    <t>jessicasibrian77@gmail.com</t>
  </si>
  <si>
    <t>uranias19@gmail.com</t>
  </si>
  <si>
    <t>vikycruzm@gmail.com</t>
  </si>
  <si>
    <t>Nia</t>
  </si>
  <si>
    <t>Villamizar</t>
  </si>
  <si>
    <t>yuleidyvillamizar67@gmail.com</t>
  </si>
  <si>
    <t>Contreras</t>
  </si>
  <si>
    <t>vanessacosmetologistspa@gmail.com</t>
  </si>
  <si>
    <t>erika08242007@hotmail.com</t>
  </si>
  <si>
    <t>Krismar</t>
  </si>
  <si>
    <t>kriisrodri1999@gmail.com</t>
  </si>
  <si>
    <t>Granados</t>
  </si>
  <si>
    <t>karenlsstt@gmail.com</t>
  </si>
  <si>
    <t>Romaneth</t>
  </si>
  <si>
    <t>romaneth1121@gmail.com</t>
  </si>
  <si>
    <t>Janivel</t>
  </si>
  <si>
    <t>Adames</t>
  </si>
  <si>
    <t>adames061889@gmail.com</t>
  </si>
  <si>
    <t>Anet</t>
  </si>
  <si>
    <t>De la paz</t>
  </si>
  <si>
    <t>anettaimy1986@gmail.com</t>
  </si>
  <si>
    <t>Juana</t>
  </si>
  <si>
    <t>Villalobos</t>
  </si>
  <si>
    <t>anais16ruby@hotmail.com</t>
  </si>
  <si>
    <t>Marisol</t>
  </si>
  <si>
    <t>Colon</t>
  </si>
  <si>
    <t>msmartinezus@yahoo.com</t>
  </si>
  <si>
    <t>Dorotis</t>
  </si>
  <si>
    <t>Montano</t>
  </si>
  <si>
    <t>coryfa1@hotmail.com</t>
  </si>
  <si>
    <t>paulapais153@gmail.com</t>
  </si>
  <si>
    <t>durangopina@hotmail.com</t>
  </si>
  <si>
    <t>lovanym1789@gmail.com</t>
  </si>
  <si>
    <t>Amarilys</t>
  </si>
  <si>
    <t>Cruz-soto</t>
  </si>
  <si>
    <t>mygoal747@gmail.com</t>
  </si>
  <si>
    <t>Doris</t>
  </si>
  <si>
    <t>makeupbydoris18@hotmail.com</t>
  </si>
  <si>
    <t>Alba</t>
  </si>
  <si>
    <t>albamartinez38@hotmail.com</t>
  </si>
  <si>
    <t>AD1.1-BEC-CAPT-AGOSTO25-DIRECTO-USA-FRIO</t>
  </si>
  <si>
    <t>Anabel</t>
  </si>
  <si>
    <t>Duran</t>
  </si>
  <si>
    <t>labelduran@gmail.com</t>
  </si>
  <si>
    <t>Yda</t>
  </si>
  <si>
    <t>guerreroyda@yahoo.com</t>
  </si>
  <si>
    <t>Marshy</t>
  </si>
  <si>
    <t>marshyg5000@gmail.comm</t>
  </si>
  <si>
    <t>Rebeca</t>
  </si>
  <si>
    <t>Magallon</t>
  </si>
  <si>
    <t>rebeca.magallon@hotmail.com</t>
  </si>
  <si>
    <t>Zairath</t>
  </si>
  <si>
    <t>zairathc@gmail.com</t>
  </si>
  <si>
    <t>Zuleyka</t>
  </si>
  <si>
    <t>zperez0139@gmail.com</t>
  </si>
  <si>
    <t>Melissa</t>
  </si>
  <si>
    <t>Caro</t>
  </si>
  <si>
    <t>missycarohair@gmail.com</t>
  </si>
  <si>
    <t>Roger</t>
  </si>
  <si>
    <t>amandarogerv0379@gmail.com</t>
  </si>
  <si>
    <t>Thania</t>
  </si>
  <si>
    <t>tramirezjijon@gmail.com</t>
  </si>
  <si>
    <t>amen210@hotmail.com</t>
  </si>
  <si>
    <t>Lifia</t>
  </si>
  <si>
    <t>lidiapachecochamorro872@gmail.com</t>
  </si>
  <si>
    <t>D mendez</t>
  </si>
  <si>
    <t>ym98312@gmail.com</t>
  </si>
  <si>
    <t>Nataly</t>
  </si>
  <si>
    <t>Rosa matos</t>
  </si>
  <si>
    <t>natalirosa42@gmail.com</t>
  </si>
  <si>
    <t>NoemÃ­</t>
  </si>
  <si>
    <t>Mandujano</t>
  </si>
  <si>
    <t>nomai72@yahoo.com</t>
  </si>
  <si>
    <t>Yusniri</t>
  </si>
  <si>
    <t>diazyusniri8@gmail.com</t>
  </si>
  <si>
    <t>Feiker</t>
  </si>
  <si>
    <t>sbfeiker@live.com</t>
  </si>
  <si>
    <t>marianahv0209@gmail.com</t>
  </si>
  <si>
    <t>Yenni</t>
  </si>
  <si>
    <t>yennirodriguez37@hormail.com</t>
  </si>
  <si>
    <t>Terzolo</t>
  </si>
  <si>
    <t>andreavterzolo@gmail.com</t>
  </si>
  <si>
    <t>Y orofino-rafael</t>
  </si>
  <si>
    <t>yasmic@yahoo.com</t>
  </si>
  <si>
    <t>Purcell</t>
  </si>
  <si>
    <t>dpurce71@yahoo.com</t>
  </si>
  <si>
    <t>Linda</t>
  </si>
  <si>
    <t>Vergara</t>
  </si>
  <si>
    <t>lgvergara19@gmail.com</t>
  </si>
  <si>
    <t>Magna</t>
  </si>
  <si>
    <t>Beauty</t>
  </si>
  <si>
    <t>auri@magnabeauty.net</t>
  </si>
  <si>
    <t>Adela</t>
  </si>
  <si>
    <t>Zambrano</t>
  </si>
  <si>
    <t>adeza864@hotmail.com</t>
  </si>
  <si>
    <t>claudiasilvaamable@gmail.com</t>
  </si>
  <si>
    <t>Madelin</t>
  </si>
  <si>
    <t>Mitiel</t>
  </si>
  <si>
    <t>madizenrd@gmail.com</t>
  </si>
  <si>
    <t>Gaby</t>
  </si>
  <si>
    <t>gabby08.agrl@gmail.com</t>
  </si>
  <si>
    <t>Emileydis</t>
  </si>
  <si>
    <t>emelynail1310@gmail.com</t>
  </si>
  <si>
    <t>Glenda</t>
  </si>
  <si>
    <t>jpatricia43@gmail.com</t>
  </si>
  <si>
    <t>Sucely</t>
  </si>
  <si>
    <t>sucelylopezaquino58@gmail.com</t>
  </si>
  <si>
    <t>Yokaren</t>
  </si>
  <si>
    <t>Rosario</t>
  </si>
  <si>
    <t>marveline90@hotmail.com</t>
  </si>
  <si>
    <t>Carolina villahermosa</t>
  </si>
  <si>
    <t>dianakarola186@gmail.com</t>
  </si>
  <si>
    <t>Hoyos</t>
  </si>
  <si>
    <t>isai002@hotmail.com</t>
  </si>
  <si>
    <t>Lucrecia</t>
  </si>
  <si>
    <t>lucreciagalvanzavala@gmail.com</t>
  </si>
  <si>
    <t>AD6.3-BEC-CAPT-AGOSTO25-DIRECTO-USA-FRIO</t>
  </si>
  <si>
    <t>Vargas valdÃ©s</t>
  </si>
  <si>
    <t>vargaskarla9708@gmail.com</t>
  </si>
  <si>
    <t>Liz</t>
  </si>
  <si>
    <t>Padilla</t>
  </si>
  <si>
    <t>lizettepad@msn.com</t>
  </si>
  <si>
    <t>Jane</t>
  </si>
  <si>
    <t>janetrs03@yahoo.com</t>
  </si>
  <si>
    <t>Ilenia</t>
  </si>
  <si>
    <t>Vergara cermeÃ±o</t>
  </si>
  <si>
    <t>ilenia57@hotmail.com</t>
  </si>
  <si>
    <t>Yanelys</t>
  </si>
  <si>
    <t>Huerga</t>
  </si>
  <si>
    <t>yanelyshuerga@gmail.com</t>
  </si>
  <si>
    <t>Nelly</t>
  </si>
  <si>
    <t>Seyller</t>
  </si>
  <si>
    <t>nellyseyller@gmail.com</t>
  </si>
  <si>
    <t>Ysabel</t>
  </si>
  <si>
    <t>mariacarpio7532@gmail.com</t>
  </si>
  <si>
    <t>almaa.drop1@gmail.com</t>
  </si>
  <si>
    <t>AnalÃ­</t>
  </si>
  <si>
    <t>RodrÃ­guez hernandez</t>
  </si>
  <si>
    <t>analirodriguez70@gmail.com</t>
  </si>
  <si>
    <t>Maricela</t>
  </si>
  <si>
    <t>marieli.p323@gmael.com</t>
  </si>
  <si>
    <t>agirlnamedmaribel@gmail.com</t>
  </si>
  <si>
    <t>Estrella</t>
  </si>
  <si>
    <t>Saldivar</t>
  </si>
  <si>
    <t>estrellasaldivar67@gmail.com</t>
  </si>
  <si>
    <t>Mercedalia</t>
  </si>
  <si>
    <t>Vazquez sanchez</t>
  </si>
  <si>
    <t>rdzana763@gmail.com</t>
  </si>
  <si>
    <t>carolina3135@gmail.com</t>
  </si>
  <si>
    <t>Susana</t>
  </si>
  <si>
    <t>Santander</t>
  </si>
  <si>
    <t>lunaskinc@yahoo.com</t>
  </si>
  <si>
    <t>Arlena</t>
  </si>
  <si>
    <t>nenasnails25@gmail.com</t>
  </si>
  <si>
    <t>corintiosjess84@gmail.com</t>
  </si>
  <si>
    <t>Eliana</t>
  </si>
  <si>
    <t>eliana.891903@gmail.com</t>
  </si>
  <si>
    <t>Reydarlin</t>
  </si>
  <si>
    <t>duranreydarlin@gmail.com</t>
  </si>
  <si>
    <t>Yarai</t>
  </si>
  <si>
    <t>Gil zambrana</t>
  </si>
  <si>
    <t>yarizambrana13@gmail.com</t>
  </si>
  <si>
    <t>Marlin</t>
  </si>
  <si>
    <t>Marroquin</t>
  </si>
  <si>
    <t>marlynmoran24@gmail.com</t>
  </si>
  <si>
    <t>Shakira</t>
  </si>
  <si>
    <t>extremeboricua@gmail.com</t>
  </si>
  <si>
    <t>Yolimar</t>
  </si>
  <si>
    <t>yalemanr13@gmail.com</t>
  </si>
  <si>
    <t>Cathy</t>
  </si>
  <si>
    <t>cmnava78@yahoo.com</t>
  </si>
  <si>
    <t>zmrgarcia@hotmail.com</t>
  </si>
  <si>
    <t>Maritza</t>
  </si>
  <si>
    <t>Bencon</t>
  </si>
  <si>
    <t>maritzabencon@gmail.com</t>
  </si>
  <si>
    <t>Gallego</t>
  </si>
  <si>
    <t>gallegoangela950@gmail.com</t>
  </si>
  <si>
    <t>Yoleini</t>
  </si>
  <si>
    <t>Creache</t>
  </si>
  <si>
    <t>ycm801230@icloud.com</t>
  </si>
  <si>
    <t>Roimar</t>
  </si>
  <si>
    <t>HernÃ¡ndez</t>
  </si>
  <si>
    <t>roimarh495@gmail.com</t>
  </si>
  <si>
    <t>Ashley</t>
  </si>
  <si>
    <t>Prado prado</t>
  </si>
  <si>
    <t>ashleey.janicee@gmail.com</t>
  </si>
  <si>
    <t>Janeth</t>
  </si>
  <si>
    <t>JordÃ¡n</t>
  </si>
  <si>
    <t>janethjordan426@gmail.com</t>
  </si>
  <si>
    <t>Auroramarlen</t>
  </si>
  <si>
    <t>Gervacio</t>
  </si>
  <si>
    <t>auroramarlengervacio@gmail.com</t>
  </si>
  <si>
    <t>Ofelia</t>
  </si>
  <si>
    <t>inzanefitness7@gmail.com</t>
  </si>
  <si>
    <t>Rosmery</t>
  </si>
  <si>
    <t>Veitia</t>
  </si>
  <si>
    <t>veitiarosmery@gmail.com</t>
  </si>
  <si>
    <t>vanessap1102@gmail.com</t>
  </si>
  <si>
    <t>Gomez</t>
  </si>
  <si>
    <t>bgonezcubillan@gmail.com</t>
  </si>
  <si>
    <t>CastaÃ±o</t>
  </si>
  <si>
    <t>castanomaria206@gmail.com</t>
  </si>
  <si>
    <t>anatejada17@gmail.com</t>
  </si>
  <si>
    <t>Madelein</t>
  </si>
  <si>
    <t>Macias</t>
  </si>
  <si>
    <t>mademacias153@yahoo.com</t>
  </si>
  <si>
    <t>Elena</t>
  </si>
  <si>
    <t>espinosaelena19@gmail.com</t>
  </si>
  <si>
    <t>Rojas</t>
  </si>
  <si>
    <t>rovelizeli@gmail.com</t>
  </si>
  <si>
    <t>alcocer1029@gmail.com</t>
  </si>
  <si>
    <t>Leimy</t>
  </si>
  <si>
    <t>Guajardo</t>
  </si>
  <si>
    <t>leimyguajardo@gmail.com</t>
  </si>
  <si>
    <t>Picon</t>
  </si>
  <si>
    <t>michellepicon82@gmail.com</t>
  </si>
  <si>
    <t>Mayte</t>
  </si>
  <si>
    <t>maypke65@gmail.com</t>
  </si>
  <si>
    <t>Figueroa</t>
  </si>
  <si>
    <t>sairagigueroa@hotmail.com</t>
  </si>
  <si>
    <t>Aleni</t>
  </si>
  <si>
    <t>alenivv23@gmail.com</t>
  </si>
  <si>
    <t>Gicela</t>
  </si>
  <si>
    <t>Brito</t>
  </si>
  <si>
    <t>gisbelsantana@hotmail.com</t>
  </si>
  <si>
    <t>Torres ortega</t>
  </si>
  <si>
    <t>elizabethtorresortega02@gmail.com</t>
  </si>
  <si>
    <t>Yira</t>
  </si>
  <si>
    <t>Negron</t>
  </si>
  <si>
    <t>yirasnails@gmail.com</t>
  </si>
  <si>
    <t>Diana ruiz</t>
  </si>
  <si>
    <t>dianaaraceliruiz@gmail.com</t>
  </si>
  <si>
    <t>franciszamora1965@gmail.com</t>
  </si>
  <si>
    <t>luisaguti1512@gmail.com</t>
  </si>
  <si>
    <t>mayritamendoza28@gmail.com</t>
  </si>
  <si>
    <t>Berthude</t>
  </si>
  <si>
    <t>St felix</t>
  </si>
  <si>
    <t>berthudelindor4@gmail.com</t>
  </si>
  <si>
    <t>veroquinterogra@gmail.com</t>
  </si>
  <si>
    <t>Darilina</t>
  </si>
  <si>
    <t>Polanco</t>
  </si>
  <si>
    <t>xianimarie@hotmail.com</t>
  </si>
  <si>
    <t>H</t>
  </si>
  <si>
    <t>nenaamh@hotmail.com</t>
  </si>
  <si>
    <t>jenny74674@gmail.com</t>
  </si>
  <si>
    <t>Paulina</t>
  </si>
  <si>
    <t>pavalo_37@hotmail.com</t>
  </si>
  <si>
    <t>Yarina</t>
  </si>
  <si>
    <t>Ricardo</t>
  </si>
  <si>
    <t>yarinaricardo@gmail.com</t>
  </si>
  <si>
    <t>anagp216@gmail.com</t>
  </si>
  <si>
    <t>Jessyka</t>
  </si>
  <si>
    <t>Laney</t>
  </si>
  <si>
    <t>jehhlopes92@gmail.com</t>
  </si>
  <si>
    <t>Cinthya</t>
  </si>
  <si>
    <t>Santana</t>
  </si>
  <si>
    <t>cinthyasantana0409@gmail.com</t>
  </si>
  <si>
    <t>Ileysha</t>
  </si>
  <si>
    <t>ileyshaloren23@gmail.com</t>
  </si>
  <si>
    <t>normavillalobos293@gmail.com</t>
  </si>
  <si>
    <t>Marioly</t>
  </si>
  <si>
    <t>Cepeda</t>
  </si>
  <si>
    <t>mariolycp03@gmail.com</t>
  </si>
  <si>
    <t>stephaniesantana2008@yahoo.com</t>
  </si>
  <si>
    <t>Neidy</t>
  </si>
  <si>
    <t>neydi.hernandez@icloud.com</t>
  </si>
  <si>
    <t>anitamd12@hotmail.com</t>
  </si>
  <si>
    <t>Maigualida</t>
  </si>
  <si>
    <t>Escobar</t>
  </si>
  <si>
    <t>maigualidaescobar8@gmail.com</t>
  </si>
  <si>
    <t>Cabrera</t>
  </si>
  <si>
    <t>carmencabrera261@yahoo.com</t>
  </si>
  <si>
    <t>Guillermina</t>
  </si>
  <si>
    <t>Espinoza</t>
  </si>
  <si>
    <t>guillermina165@icloud.com</t>
  </si>
  <si>
    <t>marycell28@hotmail.com</t>
  </si>
  <si>
    <t>Gricelda</t>
  </si>
  <si>
    <t>Dilvs</t>
  </si>
  <si>
    <t>griceldasilva9864@gmil.com</t>
  </si>
  <si>
    <t>courage.33@icloud.com</t>
  </si>
  <si>
    <t>Anamaria</t>
  </si>
  <si>
    <t>anamarianicolas596@gmail.com</t>
  </si>
  <si>
    <t>Mena</t>
  </si>
  <si>
    <t>valeriamena1509@hotmail.com</t>
  </si>
  <si>
    <t>Lucia</t>
  </si>
  <si>
    <t>Guarnizo</t>
  </si>
  <si>
    <t>luciaguarnizoabad@gmail.com</t>
  </si>
  <si>
    <t>AD6.2-BEC-CAPT-AGOSTO25-DIRECTO-USA-FRIO</t>
  </si>
  <si>
    <t>Briggith</t>
  </si>
  <si>
    <t>Lopez gutierrez</t>
  </si>
  <si>
    <t>alzatelopez0702@gmail.com</t>
  </si>
  <si>
    <t>Testa</t>
  </si>
  <si>
    <t>ramirestesla@gmail.com</t>
  </si>
  <si>
    <t>Digmar</t>
  </si>
  <si>
    <t>Goyo</t>
  </si>
  <si>
    <t>dgmakeup.2015@gmail.com</t>
  </si>
  <si>
    <t>Ramona</t>
  </si>
  <si>
    <t>kathyhicianoabad44@gmail.com</t>
  </si>
  <si>
    <t>Mangum osornio</t>
  </si>
  <si>
    <t>mangum.myli@yahoo.com</t>
  </si>
  <si>
    <t>alvaradoanita@live.com</t>
  </si>
  <si>
    <t>Eleidys</t>
  </si>
  <si>
    <t>Utria</t>
  </si>
  <si>
    <t>eleidysutriacarrascoutria@gmail.com</t>
  </si>
  <si>
    <t>Clelia</t>
  </si>
  <si>
    <t>Abregu</t>
  </si>
  <si>
    <t>abreguclelia@gmail.com</t>
  </si>
  <si>
    <t>Marilyn</t>
  </si>
  <si>
    <t>getthesweetlook@gmail.com</t>
  </si>
  <si>
    <t>Yaneth chacÃ³n</t>
  </si>
  <si>
    <t>mariaych@icloud.com</t>
  </si>
  <si>
    <t>Cristian</t>
  </si>
  <si>
    <t>gocristygo@gmail.com</t>
  </si>
  <si>
    <t>Berenice</t>
  </si>
  <si>
    <t>Carrillo</t>
  </si>
  <si>
    <t>bere.carrillo@hotmail.com</t>
  </si>
  <si>
    <t>Amaro</t>
  </si>
  <si>
    <t>divafacebypatriciaa@gmail.com</t>
  </si>
  <si>
    <t>Prada</t>
  </si>
  <si>
    <t>jazminprada218@gmail.com</t>
  </si>
  <si>
    <t>Katheryne</t>
  </si>
  <si>
    <t>Isabel polania</t>
  </si>
  <si>
    <t>idapola01@gmail.com</t>
  </si>
  <si>
    <t>adelaromero899@gmail.com</t>
  </si>
  <si>
    <t>Yulizza</t>
  </si>
  <si>
    <t>Oseguera</t>
  </si>
  <si>
    <t>osmeyn94@gmail.com</t>
  </si>
  <si>
    <t>Jarilenny</t>
  </si>
  <si>
    <t>Payano</t>
  </si>
  <si>
    <t>jarilenny_167@hotmail.com</t>
  </si>
  <si>
    <t>Yosdania</t>
  </si>
  <si>
    <t>mezclaperfectabeautystudio@gmail.com</t>
  </si>
  <si>
    <t>rodricindy846@gmail.com</t>
  </si>
  <si>
    <t>Urdaneta</t>
  </si>
  <si>
    <t>wendy.carolina.urdaneta@gmail.com</t>
  </si>
  <si>
    <t>Duque</t>
  </si>
  <si>
    <t>aduque5462@gmail.com</t>
  </si>
  <si>
    <t>Tey</t>
  </si>
  <si>
    <t>fatima010199@yahoo.comm</t>
  </si>
  <si>
    <t>Olivares</t>
  </si>
  <si>
    <t>polaolivares80@gmail.com</t>
  </si>
  <si>
    <t>Izaguirre</t>
  </si>
  <si>
    <t>erika198721@icloud.com</t>
  </si>
  <si>
    <t>Palma</t>
  </si>
  <si>
    <t>deliabohorquez1234@mail.com</t>
  </si>
  <si>
    <t>Giovanna</t>
  </si>
  <si>
    <t>Cejo</t>
  </si>
  <si>
    <t>cejo1@hotmail.com</t>
  </si>
  <si>
    <t>Elsy</t>
  </si>
  <si>
    <t>Alejandra machado</t>
  </si>
  <si>
    <t>elsymartinezz07@gmail.com</t>
  </si>
  <si>
    <t>Karem</t>
  </si>
  <si>
    <t>studioone14@gmail.com</t>
  </si>
  <si>
    <t>AD3-BEC-CAPT-AGOSTO25 V2</t>
  </si>
  <si>
    <t>Arlet</t>
  </si>
  <si>
    <t>Aquiles</t>
  </si>
  <si>
    <t>arlet960919@gmail.com</t>
  </si>
  <si>
    <t>Varela</t>
  </si>
  <si>
    <t>karina1980varela@gmail.com</t>
  </si>
  <si>
    <t>Claudeth</t>
  </si>
  <si>
    <t>Quiroz</t>
  </si>
  <si>
    <t>quirozclau2017@gmail.com</t>
  </si>
  <si>
    <t>carmen.c40@gmail.com</t>
  </si>
  <si>
    <t>Alina</t>
  </si>
  <si>
    <t>GarcÃ©s</t>
  </si>
  <si>
    <t>paulayaneth28@gmail.com</t>
  </si>
  <si>
    <t>PÃ©rez</t>
  </si>
  <si>
    <t>yesuminatura23@gmail.com</t>
  </si>
  <si>
    <t>Junelly</t>
  </si>
  <si>
    <t>Ramos maestre</t>
  </si>
  <si>
    <t>junellymaestre@gmail.com</t>
  </si>
  <si>
    <t>Theily</t>
  </si>
  <si>
    <t>GÃ³mez</t>
  </si>
  <si>
    <t>gomeztheily@gmail.com</t>
  </si>
  <si>
    <t>Issamar</t>
  </si>
  <si>
    <t>Lopez lopez</t>
  </si>
  <si>
    <t>issalopez1703@gmail.com</t>
  </si>
  <si>
    <t>Yosnari</t>
  </si>
  <si>
    <t>Santos</t>
  </si>
  <si>
    <t>abys3022@gmail.com</t>
  </si>
  <si>
    <t>Rossemary</t>
  </si>
  <si>
    <t>Sequera</t>
  </si>
  <si>
    <t>sequeraleiba@gmail.com</t>
  </si>
  <si>
    <t>M abreu capellan</t>
  </si>
  <si>
    <t>mariamabreu@yahoo.com</t>
  </si>
  <si>
    <t>penielsbs810@gmail.com</t>
  </si>
  <si>
    <t>Ninfa</t>
  </si>
  <si>
    <t>ninfa.sanchez@live.com</t>
  </si>
  <si>
    <t>Oliva</t>
  </si>
  <si>
    <t>Mendez nava</t>
  </si>
  <si>
    <t>oliva.mendez1409@gmail.com</t>
  </si>
  <si>
    <t>Ernestina</t>
  </si>
  <si>
    <t>CastaÃ±eda gonzalez</t>
  </si>
  <si>
    <t>gzzhbl50@yahoo.com</t>
  </si>
  <si>
    <t>Margarita</t>
  </si>
  <si>
    <t>MartÃ­nez</t>
  </si>
  <si>
    <t>margaret0790@gmail.com</t>
  </si>
  <si>
    <t>Ara</t>
  </si>
  <si>
    <t>Arellano</t>
  </si>
  <si>
    <t>ara.arellano.2009@gmail.com</t>
  </si>
  <si>
    <t>Arevalo</t>
  </si>
  <si>
    <t>lashdollsspa@gmail.com</t>
  </si>
  <si>
    <t>ms7937861@gimail.com</t>
  </si>
  <si>
    <t>Solanyi</t>
  </si>
  <si>
    <t>LondoÃ±o</t>
  </si>
  <si>
    <t>solanyilondono9@gmail.com</t>
  </si>
  <si>
    <t>Nelis</t>
  </si>
  <si>
    <t>marianelis16@icloud.com</t>
  </si>
  <si>
    <t>Alaniz</t>
  </si>
  <si>
    <t>dalaniz560@gmail.com</t>
  </si>
  <si>
    <t>Suany</t>
  </si>
  <si>
    <t>Trejo</t>
  </si>
  <si>
    <t>suanytrejo9@gmail.com</t>
  </si>
  <si>
    <t>Briceno</t>
  </si>
  <si>
    <t>alejambc1990@gmail.com</t>
  </si>
  <si>
    <t>Yuli</t>
  </si>
  <si>
    <t>Carrillo carrillo</t>
  </si>
  <si>
    <t>yulicarrillo345@gmail.com</t>
  </si>
  <si>
    <t>Johanalith</t>
  </si>
  <si>
    <t>johanalidr@gmail.com</t>
  </si>
  <si>
    <t>rosseduran01@gmail.com</t>
  </si>
  <si>
    <t>Blanca</t>
  </si>
  <si>
    <t>blancatenorio1980@gmail.com</t>
  </si>
  <si>
    <t>lopezcaballero7@hotmail.com</t>
  </si>
  <si>
    <t>BelÃ©n</t>
  </si>
  <si>
    <t>mabelpenafiel271991@gmail.com</t>
  </si>
  <si>
    <t>Catherine</t>
  </si>
  <si>
    <t>Alpirez</t>
  </si>
  <si>
    <t>catherinealpirez7@gmail.com</t>
  </si>
  <si>
    <t>Aura</t>
  </si>
  <si>
    <t>lopezaura599@gmeil.com</t>
  </si>
  <si>
    <t>Tatiana</t>
  </si>
  <si>
    <t>reyestati@icloud.com</t>
  </si>
  <si>
    <t>Castro silva</t>
  </si>
  <si>
    <t>jesica.cs2019@gmail.com</t>
  </si>
  <si>
    <t>0314dblanca@gmail.com</t>
  </si>
  <si>
    <t>Keishla</t>
  </si>
  <si>
    <t>kcnailssalon1212@gmail.com</t>
  </si>
  <si>
    <t>Zaira</t>
  </si>
  <si>
    <t>Felix</t>
  </si>
  <si>
    <t>floreszaira29@gmail.com</t>
  </si>
  <si>
    <t>Rhina</t>
  </si>
  <si>
    <t>rhinapolanc@gmail.com</t>
  </si>
  <si>
    <t>marroquinma33@gmail.com</t>
  </si>
  <si>
    <t>Sabrina</t>
  </si>
  <si>
    <t>sabrinap2230@gmail.com</t>
  </si>
  <si>
    <t>Samantha</t>
  </si>
  <si>
    <t>samy_mateo@icloud.com</t>
  </si>
  <si>
    <t>Geylin</t>
  </si>
  <si>
    <t>Abigail velasquez martinez</t>
  </si>
  <si>
    <t>geylinvelasquez88@yahoo.com</t>
  </si>
  <si>
    <t>Mirlene</t>
  </si>
  <si>
    <t>Philistin</t>
  </si>
  <si>
    <t>philistinmirlene55@gmail.com</t>
  </si>
  <si>
    <t>florence.mariah05@gmail.com</t>
  </si>
  <si>
    <t>Greissi</t>
  </si>
  <si>
    <t>Valerio</t>
  </si>
  <si>
    <t>greissivalerio.gv@gmail.com</t>
  </si>
  <si>
    <t>Morelis</t>
  </si>
  <si>
    <t>Rivero</t>
  </si>
  <si>
    <t>morelismilagro@gmail.con</t>
  </si>
  <si>
    <t>Carolina lozano coronel</t>
  </si>
  <si>
    <t>kroline2524@hotmail.com</t>
  </si>
  <si>
    <t>aleka123345689@gmail.com</t>
  </si>
  <si>
    <t>Myriam</t>
  </si>
  <si>
    <t>Pullutaxi</t>
  </si>
  <si>
    <t>myjoja0814@hotmail.com</t>
  </si>
  <si>
    <t>diosydvfuentes@gmail.com</t>
  </si>
  <si>
    <t>Avila</t>
  </si>
  <si>
    <t>caavi76.a@icloud.com</t>
  </si>
  <si>
    <t>Yamila</t>
  </si>
  <si>
    <t>Mora</t>
  </si>
  <si>
    <t>yamilamora495@gmail.com</t>
  </si>
  <si>
    <t>Sandy</t>
  </si>
  <si>
    <t>gutierrez_sandy@yahoo.com</t>
  </si>
  <si>
    <t>MuÃ±oz</t>
  </si>
  <si>
    <t>mariaeugeniam254@gmail.com</t>
  </si>
  <si>
    <t>Kathia</t>
  </si>
  <si>
    <t>kathiavaldez18@gmail.com</t>
  </si>
  <si>
    <t>Ozuna</t>
  </si>
  <si>
    <t>johambar.hov@gmail.com</t>
  </si>
  <si>
    <t>blancasabillon2@gmail.com</t>
  </si>
  <si>
    <t>Xaviera</t>
  </si>
  <si>
    <t>Salcedo</t>
  </si>
  <si>
    <t>xavibrows@gmail.com</t>
  </si>
  <si>
    <t>Tanairis</t>
  </si>
  <si>
    <t>Rose</t>
  </si>
  <si>
    <t>tanairisrosa@ymail.com</t>
  </si>
  <si>
    <t>Alicia</t>
  </si>
  <si>
    <t>aliciabonillaguti1980@gmail.com</t>
  </si>
  <si>
    <t>Cueto</t>
  </si>
  <si>
    <t>raquel.cueto06@gmil.com</t>
  </si>
  <si>
    <t>Roxana</t>
  </si>
  <si>
    <t>wendygurrero05@gmail.com</t>
  </si>
  <si>
    <t>Marilin</t>
  </si>
  <si>
    <t>marilinmartinez2018@yahoo.com</t>
  </si>
  <si>
    <t>Murialdo</t>
  </si>
  <si>
    <t>alexa.nails.89@gmail.com</t>
  </si>
  <si>
    <t>karlareyesgamez2023@gmail.com</t>
  </si>
  <si>
    <t>Meraly</t>
  </si>
  <si>
    <t>Machado</t>
  </si>
  <si>
    <t>machadomeraly4@gmail.com</t>
  </si>
  <si>
    <t>Jelitza</t>
  </si>
  <si>
    <t>Betancourt</t>
  </si>
  <si>
    <t>jelitza1028@gmail.com</t>
  </si>
  <si>
    <t>Darling</t>
  </si>
  <si>
    <t>Garrido</t>
  </si>
  <si>
    <t>yandiralopez33@gmail.com</t>
  </si>
  <si>
    <t>Yanela</t>
  </si>
  <si>
    <t>gianelamontalbo6@gmail.com</t>
  </si>
  <si>
    <t>Grisel</t>
  </si>
  <si>
    <t>nails.bygriss@gmail.com</t>
  </si>
  <si>
    <t>Anahi</t>
  </si>
  <si>
    <t>Otero</t>
  </si>
  <si>
    <t>anahisbeauty89@gmail.com</t>
  </si>
  <si>
    <t>katherinecalvo21@hotmail.com</t>
  </si>
  <si>
    <t>Mo6</t>
  </si>
  <si>
    <t>morelisariza1288@gmail.com</t>
  </si>
  <si>
    <t>Dainally</t>
  </si>
  <si>
    <t>Ortega yepez</t>
  </si>
  <si>
    <t>yepezdainally@gmail.com</t>
  </si>
  <si>
    <t>eliexalyguillen@gmail.com</t>
  </si>
  <si>
    <t>Saenz</t>
  </si>
  <si>
    <t>cmcarolinamatos42@gmail.com</t>
  </si>
  <si>
    <t>Ivonne</t>
  </si>
  <si>
    <t>Karina cruz gomez</t>
  </si>
  <si>
    <t>valhallanailsmx@gmail.com</t>
  </si>
  <si>
    <t>ngmua29@gmail.com</t>
  </si>
  <si>
    <t>Liana</t>
  </si>
  <si>
    <t>Bernal</t>
  </si>
  <si>
    <t>lianabernal858@gmail.com</t>
  </si>
  <si>
    <t>betty24ramirez@gmail.com</t>
  </si>
  <si>
    <t>Javier</t>
  </si>
  <si>
    <t>javymaradiaga@hotmail.com</t>
  </si>
  <si>
    <t>Lidoinet</t>
  </si>
  <si>
    <t>lido_hm16@hotmail.com</t>
  </si>
  <si>
    <t>Vaneza Ã¡lvarez</t>
  </si>
  <si>
    <t>laueskar.18@icloud.com</t>
  </si>
  <si>
    <t>Yissel</t>
  </si>
  <si>
    <t>Giron</t>
  </si>
  <si>
    <t>darlingiron10@gmail.com</t>
  </si>
  <si>
    <t>Santiago then</t>
  </si>
  <si>
    <t>yanelasantiago28@gmail.com</t>
  </si>
  <si>
    <t>Nydia</t>
  </si>
  <si>
    <t>silvagutierreznydiagiomar@gmail.com</t>
  </si>
  <si>
    <t>Yrene</t>
  </si>
  <si>
    <t>imorenocalderon@hotmail.com</t>
  </si>
  <si>
    <t>Rengifo</t>
  </si>
  <si>
    <t>nrengifo33@gmail.com</t>
  </si>
  <si>
    <t>Fior</t>
  </si>
  <si>
    <t>Paul</t>
  </si>
  <si>
    <t>wellness4u89@gmail.com</t>
  </si>
  <si>
    <t>Liseth</t>
  </si>
  <si>
    <t>ayii1224.ah@gmail.com</t>
  </si>
  <si>
    <t>Sol</t>
  </si>
  <si>
    <t>Crismari urpin lozada</t>
  </si>
  <si>
    <t>solcrismariurpinlozada@gmail.com</t>
  </si>
  <si>
    <t>elianasearap@hotmail.com</t>
  </si>
  <si>
    <t>AD1-BCP-SEPT2025-LEADMAGNET</t>
  </si>
  <si>
    <t>Liza</t>
  </si>
  <si>
    <t>cedenoliza035@gmail.com</t>
  </si>
  <si>
    <t>N ortiz</t>
  </si>
  <si>
    <t>nhorav03@hotmail.com</t>
  </si>
  <si>
    <t>G nieto</t>
  </si>
  <si>
    <t>gretel505@hotmail.com</t>
  </si>
  <si>
    <t>Leirys</t>
  </si>
  <si>
    <t>leiry.castillo@gmail.com</t>
  </si>
  <si>
    <t>nate24.lb@gmail.com</t>
  </si>
  <si>
    <t>Lainys</t>
  </si>
  <si>
    <t>veralainys@gmail.com</t>
  </si>
  <si>
    <t>mcnancy96@gmail.com</t>
  </si>
  <si>
    <t>Andris</t>
  </si>
  <si>
    <t>Perez ortiz</t>
  </si>
  <si>
    <t>andrisyudeily1981@gmail.com</t>
  </si>
  <si>
    <t>paola4epandita@gmail.com</t>
  </si>
  <si>
    <t>Maynuvis</t>
  </si>
  <si>
    <t>Cutino</t>
  </si>
  <si>
    <t>maynuvis22@gmail.com</t>
  </si>
  <si>
    <t>Ailin</t>
  </si>
  <si>
    <t>Arbizu jaimes</t>
  </si>
  <si>
    <t>arbizujaimes@ail.com</t>
  </si>
  <si>
    <t>katherinepolanco916@gmail.com</t>
  </si>
  <si>
    <t>Urbana</t>
  </si>
  <si>
    <t>Sanchez sanchez</t>
  </si>
  <si>
    <t>usurbana82@gmail.com</t>
  </si>
  <si>
    <t>Amalfi</t>
  </si>
  <si>
    <t>Amarante</t>
  </si>
  <si>
    <t>Lizeth</t>
  </si>
  <si>
    <t>Guevara</t>
  </si>
  <si>
    <t>lgprincessliz@gmail.com</t>
  </si>
  <si>
    <t>ðŸ«¶ðŸ_x008f_»</t>
  </si>
  <si>
    <t>aracelyrodas26@icloud.com</t>
  </si>
  <si>
    <t>Brianny</t>
  </si>
  <si>
    <t>milenamoreno957@gmail.com</t>
  </si>
  <si>
    <t>Hecmary</t>
  </si>
  <si>
    <t>hecmarychevere@gmail.com</t>
  </si>
  <si>
    <t>Sujeidy</t>
  </si>
  <si>
    <t>jheidyxluna@outlook.com</t>
  </si>
  <si>
    <t>juanakarina425@gmail.com</t>
  </si>
  <si>
    <t>Yuberkis</t>
  </si>
  <si>
    <t>yuberkiscerda04@gmail.com</t>
  </si>
  <si>
    <t>tajahr28@gmail.com</t>
  </si>
  <si>
    <t>Morocho</t>
  </si>
  <si>
    <t>naye21lly@hotmail.vom</t>
  </si>
  <si>
    <t>Ada</t>
  </si>
  <si>
    <t>agskinandbody@gmail.com</t>
  </si>
  <si>
    <t>Jonathan</t>
  </si>
  <si>
    <t>Granadillo</t>
  </si>
  <si>
    <t>granadillojonathan@gmail.com</t>
  </si>
  <si>
    <t>Elsa</t>
  </si>
  <si>
    <t>elsa.diaz43@yahoo.com</t>
  </si>
  <si>
    <t>Reiley</t>
  </si>
  <si>
    <t>reiley114@yahoo.com</t>
  </si>
  <si>
    <t>letgar41@yahoo.com</t>
  </si>
  <si>
    <t>Esmeralda</t>
  </si>
  <si>
    <t>Coyt</t>
  </si>
  <si>
    <t>lildreamer907@yahoo.com</t>
  </si>
  <si>
    <t>Lewis</t>
  </si>
  <si>
    <t>lborincano69@yahoo.com</t>
  </si>
  <si>
    <t>Corona</t>
  </si>
  <si>
    <t>saracorona1992@icloud.com</t>
  </si>
  <si>
    <t>Priscilla</t>
  </si>
  <si>
    <t>Uribe</t>
  </si>
  <si>
    <t>p.noemiu10@gmail.com</t>
  </si>
  <si>
    <t>Daniela</t>
  </si>
  <si>
    <t>sthefanylopez1315@gmail.com</t>
  </si>
  <si>
    <t>Ortega</t>
  </si>
  <si>
    <t>vivafeliz365@gmail.com</t>
  </si>
  <si>
    <t>lopeznancy56@yahoo.com</t>
  </si>
  <si>
    <t>Zulema</t>
  </si>
  <si>
    <t>Vanegas</t>
  </si>
  <si>
    <t>qtcakes0212@gnail.com</t>
  </si>
  <si>
    <t>Griselda</t>
  </si>
  <si>
    <t>bellizima6@msn.com</t>
  </si>
  <si>
    <t>Gaviria</t>
  </si>
  <si>
    <t>andrea.gaviria.g@hotmail.com</t>
  </si>
  <si>
    <t>Isabel</t>
  </si>
  <si>
    <t>isabelgalindo@ymail.com</t>
  </si>
  <si>
    <t>Lesly</t>
  </si>
  <si>
    <t>lezly_markez@live.cim</t>
  </si>
  <si>
    <t>Chaveli</t>
  </si>
  <si>
    <t>pbfres@gmail.com</t>
  </si>
  <si>
    <t>Rosalucero</t>
  </si>
  <si>
    <t>rosalucero1212@icloud.com</t>
  </si>
  <si>
    <t>aparicio831@outlook.com</t>
  </si>
  <si>
    <t>Nelida</t>
  </si>
  <si>
    <t>Arceo</t>
  </si>
  <si>
    <t>nelyarce1@gmail.com</t>
  </si>
  <si>
    <t>Elaine</t>
  </si>
  <si>
    <t>Villar</t>
  </si>
  <si>
    <t>elainevillar7570@gmail.com</t>
  </si>
  <si>
    <t>Florencia</t>
  </si>
  <si>
    <t>Lalloni</t>
  </si>
  <si>
    <t>floren.lalloni@gmail.com</t>
  </si>
  <si>
    <t>Katheleen</t>
  </si>
  <si>
    <t>Rueda escobar</t>
  </si>
  <si>
    <t>ketyrue@gmail.com</t>
  </si>
  <si>
    <t>cr776547@gmail.com</t>
  </si>
  <si>
    <t>AD11-CIB-CAPT-OCT25_Story_Telling</t>
  </si>
  <si>
    <t>gabriela24lopez03@gmail.com</t>
  </si>
  <si>
    <t>Marta</t>
  </si>
  <si>
    <t>Garza</t>
  </si>
  <si>
    <t>martagarza78@icloud.com</t>
  </si>
  <si>
    <t>Ivonne dominguez avalos</t>
  </si>
  <si>
    <t>karlaabril1996@gmail.com</t>
  </si>
  <si>
    <t>Cordova</t>
  </si>
  <si>
    <t>cordoingri@gmail.com</t>
  </si>
  <si>
    <t>Beyanira</t>
  </si>
  <si>
    <t>beya@hotmail.com</t>
  </si>
  <si>
    <t>Agnes</t>
  </si>
  <si>
    <t>salondabech07@gmail.com</t>
  </si>
  <si>
    <t>Villalaz</t>
  </si>
  <si>
    <t>prisvilla1968@gmail.com</t>
  </si>
  <si>
    <t>Freites</t>
  </si>
  <si>
    <t>anagabrielafreites20@gmail.com</t>
  </si>
  <si>
    <t>Ofir osorio velez</t>
  </si>
  <si>
    <t>mariqvelezsweeney@gmail.com</t>
  </si>
  <si>
    <t>Anali</t>
  </si>
  <si>
    <t>ochoanalii@gmail.com</t>
  </si>
  <si>
    <t>Milanes</t>
  </si>
  <si>
    <t>sancheznoemi70@yahoo.com</t>
  </si>
  <si>
    <t>asesora.otero@gmail.com</t>
  </si>
  <si>
    <t>limacarmita.1966@gmail.com</t>
  </si>
  <si>
    <t>wendtbarry467@gmail.com</t>
  </si>
  <si>
    <t>Sparks</t>
  </si>
  <si>
    <t>lesli254@icloud.com</t>
  </si>
  <si>
    <t>Lety</t>
  </si>
  <si>
    <t>danlet1@hotmail.com</t>
  </si>
  <si>
    <t>Sierra</t>
  </si>
  <si>
    <t>adrisierrar@hotmail.com</t>
  </si>
  <si>
    <t>Jose</t>
  </si>
  <si>
    <t>yagua211080@gmail.com</t>
  </si>
  <si>
    <t>Jalife</t>
  </si>
  <si>
    <t>miamifacialist305@gmail.com</t>
  </si>
  <si>
    <t>Lugo</t>
  </si>
  <si>
    <t>rosa_lugo66@hotmail.com</t>
  </si>
  <si>
    <t>Luna</t>
  </si>
  <si>
    <t>janethluna7777@yahoo.com</t>
  </si>
  <si>
    <t>bonitatapatia4@gmail.com</t>
  </si>
  <si>
    <t>Raisa</t>
  </si>
  <si>
    <t>Mariel ruiz</t>
  </si>
  <si>
    <t>raisamarielruizderuiz@gmail.com</t>
  </si>
  <si>
    <t>Yudis</t>
  </si>
  <si>
    <t>yudis.salazarg@gmail.com</t>
  </si>
  <si>
    <t>Lauzao</t>
  </si>
  <si>
    <t>ailinlauzaoacosta@gmail.com</t>
  </si>
  <si>
    <t>Corcuera</t>
  </si>
  <si>
    <t>mantillaisabella569@gmail.com</t>
  </si>
  <si>
    <t>Pereira</t>
  </si>
  <si>
    <t>nathy8908@gmail.com</t>
  </si>
  <si>
    <t>Xochitl</t>
  </si>
  <si>
    <t>Castillon</t>
  </si>
  <si>
    <t>sitlallym@gmail.com</t>
  </si>
  <si>
    <t>VÃ¡squez guillen</t>
  </si>
  <si>
    <t>vasquezmaribel146@gmail.com</t>
  </si>
  <si>
    <t>Buenrostro</t>
  </si>
  <si>
    <t>999pbn@gmail.com</t>
  </si>
  <si>
    <t>Hilineth</t>
  </si>
  <si>
    <t>hilinethadriany26@gmail.com</t>
  </si>
  <si>
    <t>angelicamtjg@gmail.com</t>
  </si>
  <si>
    <t>Oscar</t>
  </si>
  <si>
    <t>oscarszbarber@hotmail.com</t>
  </si>
  <si>
    <t>Suarez</t>
  </si>
  <si>
    <t>yemasues1105@icloud.com</t>
  </si>
  <si>
    <t>Ccmilan</t>
  </si>
  <si>
    <t>cristinamilan64.cm@gmail.com</t>
  </si>
  <si>
    <t>Evelin</t>
  </si>
  <si>
    <t>evelinhernandezrubio@gmail.com</t>
  </si>
  <si>
    <t>Soria</t>
  </si>
  <si>
    <t>angiosoria@yahoo.com</t>
  </si>
  <si>
    <t>Anisley</t>
  </si>
  <si>
    <t>Ojeda</t>
  </si>
  <si>
    <t>anisley.ojeda@gmail.com</t>
  </si>
  <si>
    <t>Anna</t>
  </si>
  <si>
    <t>anna_torres25@hotmail.com</t>
  </si>
  <si>
    <t>Antonietta</t>
  </si>
  <si>
    <t>Bona</t>
  </si>
  <si>
    <t>anto.bc11@gmail.com</t>
  </si>
  <si>
    <t>Xiomara</t>
  </si>
  <si>
    <t>Torrentes</t>
  </si>
  <si>
    <t>xiomen0608@yahoo.com</t>
  </si>
  <si>
    <t>Gilianny</t>
  </si>
  <si>
    <t>gs.medicalassitent@gmail.com</t>
  </si>
  <si>
    <t>Altagracia</t>
  </si>
  <si>
    <t>villalonap8@gmail.com</t>
  </si>
  <si>
    <t>Valcarcel</t>
  </si>
  <si>
    <t>3nchanted.nails@gmail.com</t>
  </si>
  <si>
    <t>Yaicy</t>
  </si>
  <si>
    <t>yaicyojeda1@gmail.com</t>
  </si>
  <si>
    <t>Segalla</t>
  </si>
  <si>
    <t>segallasabrina22@gmail.com</t>
  </si>
  <si>
    <t>Alex</t>
  </si>
  <si>
    <t>Jimenez</t>
  </si>
  <si>
    <t>alexjimenez583@yahoo.com</t>
  </si>
  <si>
    <t>yessio220rafael@gmail.com</t>
  </si>
  <si>
    <t>Smith</t>
  </si>
  <si>
    <t>griceldashairstudio@gmail.com</t>
  </si>
  <si>
    <t>Anacanales</t>
  </si>
  <si>
    <t>anajaenz02@gmail.com</t>
  </si>
  <si>
    <t>Dilone</t>
  </si>
  <si>
    <t>lexbarber87@outlook.com</t>
  </si>
  <si>
    <t>Lourdes</t>
  </si>
  <si>
    <t>Donis</t>
  </si>
  <si>
    <t>lourdes20142009@gmail.com</t>
  </si>
  <si>
    <t>Saimary</t>
  </si>
  <si>
    <t>pelaezsaimary2@gmail.com</t>
  </si>
  <si>
    <t>Santa</t>
  </si>
  <si>
    <t>morasanta1@hotmail.com</t>
  </si>
  <si>
    <t>Joseline</t>
  </si>
  <si>
    <t>Guanolique</t>
  </si>
  <si>
    <t>guanolique1@gmail.com</t>
  </si>
  <si>
    <t>2198rrrebecca@gmail.com</t>
  </si>
  <si>
    <t>Yatciry</t>
  </si>
  <si>
    <t>yatcyyas123@gmail.com</t>
  </si>
  <si>
    <t>Buitrago</t>
  </si>
  <si>
    <t>buitragoa488@gmail.com</t>
  </si>
  <si>
    <t>Ivonee</t>
  </si>
  <si>
    <t>De alba</t>
  </si>
  <si>
    <t>ivoneecamarena@gmail.com</t>
  </si>
  <si>
    <t>Rocio</t>
  </si>
  <si>
    <t>rociovega0308@gmail.com</t>
  </si>
  <si>
    <t>flaka-xoxo@hotmail.com</t>
  </si>
  <si>
    <t>MarilÃº</t>
  </si>
  <si>
    <t>De la rosa</t>
  </si>
  <si>
    <t>idalia2121ma@icloud.com</t>
  </si>
  <si>
    <t>Janina</t>
  </si>
  <si>
    <t>Alvarenga</t>
  </si>
  <si>
    <t>yaniwale22@hotmail.com</t>
  </si>
  <si>
    <t>Collado</t>
  </si>
  <si>
    <t>magdalena696@hotmail.com</t>
  </si>
  <si>
    <t>Velazquez</t>
  </si>
  <si>
    <t>divinebeautybar901@gmail.com</t>
  </si>
  <si>
    <t>Winkler</t>
  </si>
  <si>
    <t>carmensmith816@gmail.com</t>
  </si>
  <si>
    <t>Deyan</t>
  </si>
  <si>
    <t>deyan16@hotmail.com</t>
  </si>
  <si>
    <t>Plaza</t>
  </si>
  <si>
    <t>maryplaza351@gmail.com</t>
  </si>
  <si>
    <t>rdz.lore.001@gmail.com</t>
  </si>
  <si>
    <t>Campuzano</t>
  </si>
  <si>
    <t>gabrielacam273@gimel.com</t>
  </si>
  <si>
    <t>Sintia</t>
  </si>
  <si>
    <t>Gomar</t>
  </si>
  <si>
    <t>sintiagomar89@icloud.com</t>
  </si>
  <si>
    <t>china4pr@aol.com</t>
  </si>
  <si>
    <t>Noguez</t>
  </si>
  <si>
    <t>noguez62.maricela@gmail.com</t>
  </si>
  <si>
    <t>Heidi</t>
  </si>
  <si>
    <t>heidi_boni@yahoo.com</t>
  </si>
  <si>
    <t>Gladys</t>
  </si>
  <si>
    <t>gladyscua943@gmail.com</t>
  </si>
  <si>
    <t>Picasso</t>
  </si>
  <si>
    <t>multitaskerpicaso@gmail.com</t>
  </si>
  <si>
    <t>Lady</t>
  </si>
  <si>
    <t>Lourdes ruiz</t>
  </si>
  <si>
    <t>rlady1314@gmail.com</t>
  </si>
  <si>
    <t>Lymari</t>
  </si>
  <si>
    <t>lcstgo123@gmail.com</t>
  </si>
  <si>
    <t>Nayeli</t>
  </si>
  <si>
    <t>ismaurid@gmail.com</t>
  </si>
  <si>
    <t>De luca</t>
  </si>
  <si>
    <t>mdelucaocando@gmail.com</t>
  </si>
  <si>
    <t>Elena gonzalez</t>
  </si>
  <si>
    <t>gonzalezmafla81@hotmail.com</t>
  </si>
  <si>
    <t>Carmem</t>
  </si>
  <si>
    <t>RamÃ­rez</t>
  </si>
  <si>
    <t>mariaramirez2012.mr@gmail.com</t>
  </si>
  <si>
    <t>anadimunguez0825@yahoo.com</t>
  </si>
  <si>
    <t>jahazielitogamboa@gmail.com</t>
  </si>
  <si>
    <t>alcantara2404@hotmail.com</t>
  </si>
  <si>
    <t>paolasalazarroa31@gmail.com</t>
  </si>
  <si>
    <t>OrdÃ³Ã±ez</t>
  </si>
  <si>
    <t>ordonezkellybriggitte@gmail.com</t>
  </si>
  <si>
    <t>Jocelyn</t>
  </si>
  <si>
    <t>FernÃ¡ndez</t>
  </si>
  <si>
    <t>jocelynfernandez.mc@gmail.com</t>
  </si>
  <si>
    <t>parrabermudezleidyjohana@gmail.com</t>
  </si>
  <si>
    <t>Ligia</t>
  </si>
  <si>
    <t>Araque</t>
  </si>
  <si>
    <t>li.si.24@hotmail.com</t>
  </si>
  <si>
    <t>Pinanjota</t>
  </si>
  <si>
    <t>pinanjota.ana@gmail.com</t>
  </si>
  <si>
    <t>Yeismailing</t>
  </si>
  <si>
    <t>Chafardeth</t>
  </si>
  <si>
    <t>chafardethy@gmail.com</t>
  </si>
  <si>
    <t>Minchala</t>
  </si>
  <si>
    <t>valeriam308@hotmail.com</t>
  </si>
  <si>
    <t>Anais</t>
  </si>
  <si>
    <t>Grandy</t>
  </si>
  <si>
    <t>anaisnails2012@gmail.com</t>
  </si>
  <si>
    <t>lauralgh12@gmail.com</t>
  </si>
  <si>
    <t>Cynthia</t>
  </si>
  <si>
    <t>cynthia.rabell@gmail.com</t>
  </si>
  <si>
    <t>ro0901031@gmail.com</t>
  </si>
  <si>
    <t>Mimi</t>
  </si>
  <si>
    <t>usaelimarvergel@gmail.com</t>
  </si>
  <si>
    <t>Erazo</t>
  </si>
  <si>
    <t>amandafashony2943@gmail.com</t>
  </si>
  <si>
    <t>Sharon</t>
  </si>
  <si>
    <t>sharonvanessagonzalesnovoa@gmail.com</t>
  </si>
  <si>
    <t>Alejandro</t>
  </si>
  <si>
    <t>alejandroroldos5@gmail.com</t>
  </si>
  <si>
    <t>Rosalinda</t>
  </si>
  <si>
    <t>rojasboption966@gmail.com</t>
  </si>
  <si>
    <t>Cabrales</t>
  </si>
  <si>
    <t>roccabnav@gmail.com</t>
  </si>
  <si>
    <t>Tejeda</t>
  </si>
  <si>
    <t>rossytejeda_81@hotmail.com</t>
  </si>
  <si>
    <t>Fimbres</t>
  </si>
  <si>
    <t>virginia.fimbres@gmail.com</t>
  </si>
  <si>
    <t>Julieth</t>
  </si>
  <si>
    <t>Leal</t>
  </si>
  <si>
    <t>karenjuliethsanchez414@gmail.com</t>
  </si>
  <si>
    <t>Denise</t>
  </si>
  <si>
    <t>alamnieva@gmail.com</t>
  </si>
  <si>
    <t>Banuelos</t>
  </si>
  <si>
    <t>elizabeauty21@gmail.com</t>
  </si>
  <si>
    <t>rocio9cardenas@gmail.com</t>
  </si>
  <si>
    <t>Sosa</t>
  </si>
  <si>
    <t>laduvita23@hotmail.com</t>
  </si>
  <si>
    <t>Quintero</t>
  </si>
  <si>
    <t>claudiaquintero3@gmail.com</t>
  </si>
  <si>
    <t>Viviana</t>
  </si>
  <si>
    <t>Picazo</t>
  </si>
  <si>
    <t>vivianapicazo7@gmail.com</t>
  </si>
  <si>
    <t>Luzvelia</t>
  </si>
  <si>
    <t>Sevilla</t>
  </si>
  <si>
    <t>luzveluasevilla3@gmail.com</t>
  </si>
  <si>
    <t>flormore1@hotmail.com</t>
  </si>
  <si>
    <t>maryvianey1987@gmail.com</t>
  </si>
  <si>
    <t>Denis</t>
  </si>
  <si>
    <t>Grabiela ramos zamora</t>
  </si>
  <si>
    <t>gabyramos0694@gmail.com</t>
  </si>
  <si>
    <t>magut1972@gmail.com</t>
  </si>
  <si>
    <t>luxuryhavana@yahoo.com</t>
  </si>
  <si>
    <t>Marianne</t>
  </si>
  <si>
    <t>vanessalaflaka1414@gmail.com</t>
  </si>
  <si>
    <t>Aleyda</t>
  </si>
  <si>
    <t>aleydaalmonte123@gmail.com</t>
  </si>
  <si>
    <t>Edgardy</t>
  </si>
  <si>
    <t>Narvaez</t>
  </si>
  <si>
    <t>edgardymichelet@gmail.com</t>
  </si>
  <si>
    <t>Lander</t>
  </si>
  <si>
    <t>angielander@live.com</t>
  </si>
  <si>
    <t>Isis</t>
  </si>
  <si>
    <t>Adela patiÃ±o ortiz</t>
  </si>
  <si>
    <t>isispatin34@gmail.com</t>
  </si>
  <si>
    <t>Camila</t>
  </si>
  <si>
    <t>Osorio</t>
  </si>
  <si>
    <t>osoriocamila402@gmail.com</t>
  </si>
  <si>
    <t>tvillarusa@gmail.com</t>
  </si>
  <si>
    <t>anamartinez070523@gmail.com</t>
  </si>
  <si>
    <t>magicbeauty1974@gmail.com</t>
  </si>
  <si>
    <t>Correa</t>
  </si>
  <si>
    <t>marcela@medipedinyc.com</t>
  </si>
  <si>
    <t>Leonela</t>
  </si>
  <si>
    <t>Liriano</t>
  </si>
  <si>
    <t>leonelaliriano28@gmail.com</t>
  </si>
  <si>
    <t>Milly</t>
  </si>
  <si>
    <t>sanripi0606@gmail.com</t>
  </si>
  <si>
    <t>Maira</t>
  </si>
  <si>
    <t>Benitez</t>
  </si>
  <si>
    <t>mayrab1811@gmail.com</t>
  </si>
  <si>
    <t>aracelymendozauna7@gmail.com</t>
  </si>
  <si>
    <t>Taylor</t>
  </si>
  <si>
    <t>mtayke6@gmail.com</t>
  </si>
  <si>
    <t>monik334@hotmail.com</t>
  </si>
  <si>
    <t>Margaret</t>
  </si>
  <si>
    <t>Rubin</t>
  </si>
  <si>
    <t>deidianarubin@gmail.com</t>
  </si>
  <si>
    <t>Concepcion</t>
  </si>
  <si>
    <t>conymv291526@gmail.com</t>
  </si>
  <si>
    <t>Yolima ramÃ­rez</t>
  </si>
  <si>
    <t>yolimon19@gmail.com</t>
  </si>
  <si>
    <t>Macanchi</t>
  </si>
  <si>
    <t>gmacanchi1982@gmail.com</t>
  </si>
  <si>
    <t>Sara</t>
  </si>
  <si>
    <t>Novo</t>
  </si>
  <si>
    <t>saraespinos@gmail.com</t>
  </si>
  <si>
    <t>Tanguma</t>
  </si>
  <si>
    <t>tangumam645@gmail.com</t>
  </si>
  <si>
    <t>Victoria yaÃ±ez</t>
  </si>
  <si>
    <t>yanezmayra345@gmail.com</t>
  </si>
  <si>
    <t>Carmendelia</t>
  </si>
  <si>
    <t>Quintana</t>
  </si>
  <si>
    <t>qcarmen30@gmail.com</t>
  </si>
  <si>
    <t>jessicabrito0314@gmail.com</t>
  </si>
  <si>
    <t>Hidalgo</t>
  </si>
  <si>
    <t>marialhidalgo256@gmail.com</t>
  </si>
  <si>
    <t>Katty</t>
  </si>
  <si>
    <t>kattybanda@hotmail.com</t>
  </si>
  <si>
    <t>Zapata</t>
  </si>
  <si>
    <t>mailyn.zapata2004@gmail.com</t>
  </si>
  <si>
    <t>Sorinela</t>
  </si>
  <si>
    <t>Freitez</t>
  </si>
  <si>
    <t>sorinelafv@hotmail.com</t>
  </si>
  <si>
    <t>paowerbeauty@gmail.com</t>
  </si>
  <si>
    <t>Andreina</t>
  </si>
  <si>
    <t>Timaure</t>
  </si>
  <si>
    <t>actimaure@gmail.com</t>
  </si>
  <si>
    <t>Emilia</t>
  </si>
  <si>
    <t>Bastidas</t>
  </si>
  <si>
    <t>mariaemib1@gmail.com</t>
  </si>
  <si>
    <t>Nadieska</t>
  </si>
  <si>
    <t>Rocha</t>
  </si>
  <si>
    <t>nadieskarocha1607@gmail.com</t>
  </si>
  <si>
    <t>Rosie</t>
  </si>
  <si>
    <t>Cavalie</t>
  </si>
  <si>
    <t>rosie0210@yahoo.com</t>
  </si>
  <si>
    <t>Marianela</t>
  </si>
  <si>
    <t>Montes de oca</t>
  </si>
  <si>
    <t>nelamontes18@gmail.com</t>
  </si>
  <si>
    <t>Faurrieta suarez</t>
  </si>
  <si>
    <t>letyfaurrieta@gmail.com</t>
  </si>
  <si>
    <t>marieguida7@gmail.com</t>
  </si>
  <si>
    <t>Emely</t>
  </si>
  <si>
    <t>martinezemy05@gmail.com</t>
  </si>
  <si>
    <t>Mairyn</t>
  </si>
  <si>
    <t>mayrin_xa@hotmail.com</t>
  </si>
  <si>
    <t>Lina</t>
  </si>
  <si>
    <t>Rincon</t>
  </si>
  <si>
    <t>maicheskincare@gmail.com</t>
  </si>
  <si>
    <t>Shirly</t>
  </si>
  <si>
    <t>emshi09@gmail.com</t>
  </si>
  <si>
    <t>kok3ta1990@gmail.com</t>
  </si>
  <si>
    <t>erikajimenez1991@icloud.com</t>
  </si>
  <si>
    <t>Ebony</t>
  </si>
  <si>
    <t>Barnes</t>
  </si>
  <si>
    <t>barnesebony749@gmail.com</t>
  </si>
  <si>
    <t>T s trujillo</t>
  </si>
  <si>
    <t>estudionailrr@gmail.com</t>
  </si>
  <si>
    <t>Pilar</t>
  </si>
  <si>
    <t>Aya</t>
  </si>
  <si>
    <t>yotils14@hotmail.com</t>
  </si>
  <si>
    <t>Fonseca</t>
  </si>
  <si>
    <t>elizabethfonseca45@yahoo.com</t>
  </si>
  <si>
    <t>Estefania</t>
  </si>
  <si>
    <t>Arichavala</t>
  </si>
  <si>
    <t>estefania.arichavala12@gmail.com</t>
  </si>
  <si>
    <t>Nereira</t>
  </si>
  <si>
    <t>Pereyra</t>
  </si>
  <si>
    <t>dania2317@hotmail.com</t>
  </si>
  <si>
    <t>Carel</t>
  </si>
  <si>
    <t>tellusesthetic@gmail.con</t>
  </si>
  <si>
    <t>Obrien</t>
  </si>
  <si>
    <t>louvrespa@gmail.com</t>
  </si>
  <si>
    <t>forte.yennifer@yahoo.com</t>
  </si>
  <si>
    <t>Yenifer</t>
  </si>
  <si>
    <t>gomeztrianajulieth@gmail.com</t>
  </si>
  <si>
    <t>maisacastillo@hotmai.con</t>
  </si>
  <si>
    <t>Josefina</t>
  </si>
  <si>
    <t>Cordero</t>
  </si>
  <si>
    <t>josefinarondon11@gmail.com</t>
  </si>
  <si>
    <t>luzmeryvelez2305@gmail.com</t>
  </si>
  <si>
    <t>Montalvo</t>
  </si>
  <si>
    <t>mmontalvo265@gmail.com</t>
  </si>
  <si>
    <t>Estefany</t>
  </si>
  <si>
    <t>Bracho</t>
  </si>
  <si>
    <t>estefanybrch@gmail.com</t>
  </si>
  <si>
    <t>GuzmÃ¡n</t>
  </si>
  <si>
    <t>jinneth8427@hotmail.com</t>
  </si>
  <si>
    <t>Darinka</t>
  </si>
  <si>
    <t>Bustos</t>
  </si>
  <si>
    <t>barradarinka@gmail.com</t>
  </si>
  <si>
    <t>Belena</t>
  </si>
  <si>
    <t>helenainz@gmail.com</t>
  </si>
  <si>
    <t>lgomezbusiness1@gmail.com</t>
  </si>
  <si>
    <t>Rios</t>
  </si>
  <si>
    <t>adrianaledezmagarcia@gmail.com</t>
  </si>
  <si>
    <t>keniamendez@yahoo.com</t>
  </si>
  <si>
    <t>ada~h@live.com</t>
  </si>
  <si>
    <t>Helena</t>
  </si>
  <si>
    <t>Kianu vangu</t>
  </si>
  <si>
    <t>helenavangu123@gmail.com</t>
  </si>
  <si>
    <t>AD1-BEC-CAPT-AGOSTO25-ADVANTAGE-USA-FRIO</t>
  </si>
  <si>
    <t>annavillegasc89@gmail.com</t>
  </si>
  <si>
    <t>Tenecela</t>
  </si>
  <si>
    <t>dianajc163104@gmail.com</t>
  </si>
  <si>
    <t>Samayoa</t>
  </si>
  <si>
    <t>martaalicia.samayoa@hotmail.com</t>
  </si>
  <si>
    <t>Stefania</t>
  </si>
  <si>
    <t>Becerra</t>
  </si>
  <si>
    <t>stefaniabecerraarboleda@gmail.com</t>
  </si>
  <si>
    <t>Pantoja</t>
  </si>
  <si>
    <t>brendapantoja89@gmail.com</t>
  </si>
  <si>
    <t>Yhomerglis</t>
  </si>
  <si>
    <t>yhosme@hotmail.com</t>
  </si>
  <si>
    <t>lauramgorda@aol.com</t>
  </si>
  <si>
    <t>Murillo</t>
  </si>
  <si>
    <t>Lemus</t>
  </si>
  <si>
    <t>elviayenoc.8785@gmail.com</t>
  </si>
  <si>
    <t>Sandoval</t>
  </si>
  <si>
    <t>miriamivonne34@live.com</t>
  </si>
  <si>
    <t>Maori</t>
  </si>
  <si>
    <t>rodriguezsanes@outlook.com</t>
  </si>
  <si>
    <t>Vasquez rivera</t>
  </si>
  <si>
    <t>beverlyvasquez24@icloud.com</t>
  </si>
  <si>
    <t>Loja</t>
  </si>
  <si>
    <t>pattyloja1030@gmail.com</t>
  </si>
  <si>
    <t>Chastity</t>
  </si>
  <si>
    <t>cruzchastity630@gmail.com</t>
  </si>
  <si>
    <t>Fanny</t>
  </si>
  <si>
    <t>fannyreyes1204@gmail.co</t>
  </si>
  <si>
    <t>Marrero</t>
  </si>
  <si>
    <t>stay_glow@yahoo.com</t>
  </si>
  <si>
    <t>patriciaramirez96@yahoo.com</t>
  </si>
  <si>
    <t>Macal</t>
  </si>
  <si>
    <t>Bella</t>
  </si>
  <si>
    <t>macalbella614@gmail.com</t>
  </si>
  <si>
    <t>Ibetj</t>
  </si>
  <si>
    <t>ibethfresneda@gmail.com</t>
  </si>
  <si>
    <t>Milena</t>
  </si>
  <si>
    <t>emop_rfj@yahoo.com</t>
  </si>
  <si>
    <t>rosaespinozaizquierdo2011@gmail.com</t>
  </si>
  <si>
    <t>aniyalix@gmail.com</t>
  </si>
  <si>
    <t>Ramos calixto</t>
  </si>
  <si>
    <t>sonialashes21@gmail.com</t>
  </si>
  <si>
    <t>Delia</t>
  </si>
  <si>
    <t>Robles</t>
  </si>
  <si>
    <t>rdelia38@yahoo.com</t>
  </si>
  <si>
    <t>Del valle</t>
  </si>
  <si>
    <t>lizyt27@yahoo.com</t>
  </si>
  <si>
    <t>P lara</t>
  </si>
  <si>
    <t>patricialara1015@gmail.com</t>
  </si>
  <si>
    <t>Tubon</t>
  </si>
  <si>
    <t>cristina20tubon@icloud.com</t>
  </si>
  <si>
    <t>Hilda</t>
  </si>
  <si>
    <t>hildaisabelortiz22@gmail.com</t>
  </si>
  <si>
    <t>BalcÃ¡zar</t>
  </si>
  <si>
    <t>yennylojanita@gmail.com</t>
  </si>
  <si>
    <t>Duarte</t>
  </si>
  <si>
    <t>hildaduarteny@gmail.com</t>
  </si>
  <si>
    <t>michelle260314@gmail.com</t>
  </si>
  <si>
    <t>Mayerly</t>
  </si>
  <si>
    <t>mayerlyv55@gmail.com</t>
  </si>
  <si>
    <t>andreacastro-1992@hotmail.com</t>
  </si>
  <si>
    <t>De los santos</t>
  </si>
  <si>
    <t>yohankaperes31@gmail.com</t>
  </si>
  <si>
    <t>Hellen</t>
  </si>
  <si>
    <t>Florez</t>
  </si>
  <si>
    <t>hellenseguro@gmail.com</t>
  </si>
  <si>
    <t>stefani_br@hotmail.com</t>
  </si>
  <si>
    <t>Leonelis</t>
  </si>
  <si>
    <t>Ramos llorente</t>
  </si>
  <si>
    <t>soylone90@gmail.com</t>
  </si>
  <si>
    <t>Paz</t>
  </si>
  <si>
    <t>apaz2816@gmail.com</t>
  </si>
  <si>
    <t>Rosmary</t>
  </si>
  <si>
    <t>rosmarypolanco05@gmail.com</t>
  </si>
  <si>
    <t>Carmona</t>
  </si>
  <si>
    <t>adriana899@yahoo.com</t>
  </si>
  <si>
    <t>Elba</t>
  </si>
  <si>
    <t>hannahnailsandfantasy@gmail.com</t>
  </si>
  <si>
    <t>Cristina solÃ³rzano</t>
  </si>
  <si>
    <t>zualitotx@gmail.com</t>
  </si>
  <si>
    <t>Charry</t>
  </si>
  <si>
    <t>zandreacharryr36@gmail.com</t>
  </si>
  <si>
    <t>griselda_rojas35@hotmail.com</t>
  </si>
  <si>
    <t>Ines</t>
  </si>
  <si>
    <t>pradaines62@gmail.com</t>
  </si>
  <si>
    <t>Kirsis</t>
  </si>
  <si>
    <t>Garcia bautista</t>
  </si>
  <si>
    <t>kirsygarcia89@icloud.com</t>
  </si>
  <si>
    <t>Sabrine</t>
  </si>
  <si>
    <t>Vazquez</t>
  </si>
  <si>
    <t>sabrinesantacruz@gmail.com</t>
  </si>
  <si>
    <t>Grecia</t>
  </si>
  <si>
    <t>Ocanas</t>
  </si>
  <si>
    <t>grecia_ocanas@hotmail.com</t>
  </si>
  <si>
    <t>Yanli</t>
  </si>
  <si>
    <t>Hernandez ortiz</t>
  </si>
  <si>
    <t>yenlihernandezortis4@gmail.com</t>
  </si>
  <si>
    <t>abigailsoto$987@gmail.com</t>
  </si>
  <si>
    <t>sharonrpg94@gmail.com</t>
  </si>
  <si>
    <t>Paez</t>
  </si>
  <si>
    <t>albaleonorp0721@gmail.com</t>
  </si>
  <si>
    <t>Yoswerling</t>
  </si>
  <si>
    <t>yoswerling27@gmail.com</t>
  </si>
  <si>
    <t>Arelys</t>
  </si>
  <si>
    <t>Ayala ayala</t>
  </si>
  <si>
    <t>arelisayalacarmona43@gmail.com</t>
  </si>
  <si>
    <t>Thelma</t>
  </si>
  <si>
    <t>Nurys</t>
  </si>
  <si>
    <t>nurysasencio1122@gmail.com</t>
  </si>
  <si>
    <t>marifuelpaz@gmail.com</t>
  </si>
  <si>
    <t>Cira</t>
  </si>
  <si>
    <t>Ibarra</t>
  </si>
  <si>
    <t>modasibarra@gmail.com</t>
  </si>
  <si>
    <t>Euda</t>
  </si>
  <si>
    <t>eudaurdaneta@hotmail.com</t>
  </si>
  <si>
    <t>elizabethteresafigueroacano@gmail.com</t>
  </si>
  <si>
    <t>Anyeli</t>
  </si>
  <si>
    <t>SÃ¡nchez</t>
  </si>
  <si>
    <t>licda.anyelisanchez@gmail.com</t>
  </si>
  <si>
    <t>Marlene niz</t>
  </si>
  <si>
    <t>nizmarlene12@gmail.com</t>
  </si>
  <si>
    <t>Lili</t>
  </si>
  <si>
    <t>Ga</t>
  </si>
  <si>
    <t>jobgarateld@gmail.com</t>
  </si>
  <si>
    <t>lizamor61@gmail.com</t>
  </si>
  <si>
    <t>Mariela</t>
  </si>
  <si>
    <t>navarromariela1323@gmail.com</t>
  </si>
  <si>
    <t>Ines quebrada rodas</t>
  </si>
  <si>
    <t>quebradarodasolgaines@gmail.com</t>
  </si>
  <si>
    <t>Alayon</t>
  </si>
  <si>
    <t>eludisdlc@gmail.com</t>
  </si>
  <si>
    <t>Meran</t>
  </si>
  <si>
    <t>soniameran3@gmail.com</t>
  </si>
  <si>
    <t>Jessika</t>
  </si>
  <si>
    <t>jessirodriguez1518@gmail.com</t>
  </si>
  <si>
    <t>Nuris</t>
  </si>
  <si>
    <t>Peguero</t>
  </si>
  <si>
    <t>nurislight304@gmail.com</t>
  </si>
  <si>
    <t>Arango</t>
  </si>
  <si>
    <t>catica.281@live.com</t>
  </si>
  <si>
    <t>Aliceth</t>
  </si>
  <si>
    <t>Trujillo sabogal</t>
  </si>
  <si>
    <t>trujilloaliceth@gmail.com</t>
  </si>
  <si>
    <t>Plata</t>
  </si>
  <si>
    <t>lauraylucia27@gmail.com</t>
  </si>
  <si>
    <t>Viki</t>
  </si>
  <si>
    <t>martinezviki995@gmail.com</t>
  </si>
  <si>
    <t>Delgado rosado</t>
  </si>
  <si>
    <t>dariandri.com@gmail.com</t>
  </si>
  <si>
    <t>Yessica</t>
  </si>
  <si>
    <t>FariÃ±a</t>
  </si>
  <si>
    <t>yessifarin@gmail.com</t>
  </si>
  <si>
    <t>Diva</t>
  </si>
  <si>
    <t>divanailsyspa@gmail.com</t>
  </si>
  <si>
    <t>Elena patiÃ±o</t>
  </si>
  <si>
    <t>alcabeja12@gmail.com</t>
  </si>
  <si>
    <t>elenamendozarivas1@gmail.com</t>
  </si>
  <si>
    <t>Mile</t>
  </si>
  <si>
    <t>Rubiano</t>
  </si>
  <si>
    <t>rubianomagda2@gmail.com</t>
  </si>
  <si>
    <t>marlin1385@hotmail.com</t>
  </si>
  <si>
    <t>Jeimmi</t>
  </si>
  <si>
    <t>Carolina castro girÃ³n</t>
  </si>
  <si>
    <t>breinermoracastro@gmail.com</t>
  </si>
  <si>
    <t>Dubraska</t>
  </si>
  <si>
    <t>dubras635@gmail.com</t>
  </si>
  <si>
    <t>Selene</t>
  </si>
  <si>
    <t>Edith garcÃ­a olivan</t>
  </si>
  <si>
    <t>editholivan2988@gmail.com</t>
  </si>
  <si>
    <t>Nimia</t>
  </si>
  <si>
    <t>Avila ortega</t>
  </si>
  <si>
    <t>nina.xavila.27@gmail.com</t>
  </si>
  <si>
    <t>Marina</t>
  </si>
  <si>
    <t>nailsmarina20@gmail.com</t>
  </si>
  <si>
    <t>ToÃ±o</t>
  </si>
  <si>
    <t>gabyosorio161@gmail.com</t>
  </si>
  <si>
    <t>Melgar marmolejo</t>
  </si>
  <si>
    <t>amelgarmarmolejo@gmail.com</t>
  </si>
  <si>
    <t>DÃ­ana</t>
  </si>
  <si>
    <t>dianiscolombia@hotmail.com</t>
  </si>
  <si>
    <t>Aran sosa condori</t>
  </si>
  <si>
    <t>saraaransosacondori@imail.com</t>
  </si>
  <si>
    <t>Bisoso catalÃ¡n</t>
  </si>
  <si>
    <t>karinavisoso3@gmail.com</t>
  </si>
  <si>
    <t>VerÃ³nica</t>
  </si>
  <si>
    <t>verocardonae@gmail.com</t>
  </si>
  <si>
    <t>Josvir</t>
  </si>
  <si>
    <t>josvir78@gmail.com</t>
  </si>
  <si>
    <t>Romina</t>
  </si>
  <si>
    <t>HernÃ¡ndez cavallini</t>
  </si>
  <si>
    <t>romina.cavallini@hotmail.com</t>
  </si>
  <si>
    <t>b_alyy@hotmail.com</t>
  </si>
  <si>
    <t>Viainely</t>
  </si>
  <si>
    <t>Gabriela yanez marquez yanez</t>
  </si>
  <si>
    <t>gabrielayanez93@hotmail.com</t>
  </si>
  <si>
    <t>Del carmen genao</t>
  </si>
  <si>
    <t>marcelagenao26@gmail.com</t>
  </si>
  <si>
    <t>AD1-BEC-CAPT-AGOSTO25-DIRECTO-USA-FRIO</t>
  </si>
  <si>
    <t>Yulisa</t>
  </si>
  <si>
    <t>Yomara tello figueroa</t>
  </si>
  <si>
    <t>yomafigueroa44@gmail.com</t>
  </si>
  <si>
    <t>Grehisis</t>
  </si>
  <si>
    <t>grehisis.alejandra@gmail.com</t>
  </si>
  <si>
    <t>Itania</t>
  </si>
  <si>
    <t>Bosch</t>
  </si>
  <si>
    <t>itaniabosch@hotmail.com</t>
  </si>
  <si>
    <t>Daribel</t>
  </si>
  <si>
    <t>darymarte63@gmail.com</t>
  </si>
  <si>
    <t>2022gtorres@gmail.com</t>
  </si>
  <si>
    <t>arelgarcia_2011@hotmail.com</t>
  </si>
  <si>
    <t>Marina alvizures y alvizures</t>
  </si>
  <si>
    <t>alvizureselsa185@gmail.com</t>
  </si>
  <si>
    <t>Almahernandez</t>
  </si>
  <si>
    <t>atiherji1313@gmail.com</t>
  </si>
  <si>
    <t>Gustavo</t>
  </si>
  <si>
    <t>parranendezgustavo@gmail.com</t>
  </si>
  <si>
    <t>Rossy</t>
  </si>
  <si>
    <t>GirÃ³n</t>
  </si>
  <si>
    <t>irmateyu@gmail.com</t>
  </si>
  <si>
    <t>Gianella</t>
  </si>
  <si>
    <t>Delgado</t>
  </si>
  <si>
    <t>deloza2626@gmail.com</t>
  </si>
  <si>
    <t>Yampi</t>
  </si>
  <si>
    <t>kela.yampi28@gmail.com</t>
  </si>
  <si>
    <t>claudiatenorio@214gmail.com</t>
  </si>
  <si>
    <t>mary-ms2@hotmail.com</t>
  </si>
  <si>
    <t>pandrea0417@gmail.com</t>
  </si>
  <si>
    <t>Dora</t>
  </si>
  <si>
    <t>dorafannyu@gmail.com</t>
  </si>
  <si>
    <t>Veronika</t>
  </si>
  <si>
    <t>vero13@gmail.com</t>
  </si>
  <si>
    <t>Leslie</t>
  </si>
  <si>
    <t>Gazabon</t>
  </si>
  <si>
    <t>cristinhelenagazabon@gmail.com</t>
  </si>
  <si>
    <t>Orfelina</t>
  </si>
  <si>
    <t>Rosatio</t>
  </si>
  <si>
    <t>rosariocelizorfelina@gmail.com</t>
  </si>
  <si>
    <t>Abelina</t>
  </si>
  <si>
    <t>3abelinamartinez42@gmail.com</t>
  </si>
  <si>
    <t>Melina</t>
  </si>
  <si>
    <t>hermelindalunaibarra@gmail.com</t>
  </si>
  <si>
    <t>Bersania</t>
  </si>
  <si>
    <t>Severino</t>
  </si>
  <si>
    <t>bersaniaseverino57@gmail.com</t>
  </si>
  <si>
    <t>xioma2320@gmail.com</t>
  </si>
  <si>
    <t>Maria muÃ±oz yepes</t>
  </si>
  <si>
    <t>elenamariamy@gmail.com</t>
  </si>
  <si>
    <t>Lledias</t>
  </si>
  <si>
    <t>llediasgutierrezvictoria@gmail.com</t>
  </si>
  <si>
    <t>AvendaÃ±o</t>
  </si>
  <si>
    <t>aliciaavendano@gmail.com</t>
  </si>
  <si>
    <t>Brows</t>
  </si>
  <si>
    <t>alejandrabrows22@gmail.com</t>
  </si>
  <si>
    <t>Fuenmayor</t>
  </si>
  <si>
    <t>genesispf27@gmail.com</t>
  </si>
  <si>
    <t>JimÃ©nez</t>
  </si>
  <si>
    <t>madelinj25@gmail.com</t>
  </si>
  <si>
    <t>Noelia</t>
  </si>
  <si>
    <t>Candia</t>
  </si>
  <si>
    <t>noeliacandia655@gmail.com</t>
  </si>
  <si>
    <t>Deysa</t>
  </si>
  <si>
    <t>deysagarciapossu@gmail.com</t>
  </si>
  <si>
    <t>gabbiegonzalez@hotmail.com</t>
  </si>
  <si>
    <t>Wilmore hamilton</t>
  </si>
  <si>
    <t>josefinawilmore@hotmail.com</t>
  </si>
  <si>
    <t>rocioconsecion@gmail.com</t>
  </si>
  <si>
    <t>Isaza gonzÃ¡lez</t>
  </si>
  <si>
    <t>isazaglory@gmail.com</t>
  </si>
  <si>
    <t>Rubenia</t>
  </si>
  <si>
    <t>guerrarubenia@hotmail.com</t>
  </si>
  <si>
    <t>Ma.de</t>
  </si>
  <si>
    <t>Jesus</t>
  </si>
  <si>
    <t>borjatrujillomadejesus4@gmail.com</t>
  </si>
  <si>
    <t>Nava</t>
  </si>
  <si>
    <t>navatinocod@gmail.com</t>
  </si>
  <si>
    <t>luzereyes1963@gmail.com</t>
  </si>
  <si>
    <t>marisoldiazreyes11@gmail.com</t>
  </si>
  <si>
    <t>lizeth.bastidas5@gmail.com</t>
  </si>
  <si>
    <t>Gisela</t>
  </si>
  <si>
    <t>Villarreal</t>
  </si>
  <si>
    <t>giselav03@hotmail.com</t>
  </si>
  <si>
    <t>Nicole</t>
  </si>
  <si>
    <t>Ducharme</t>
  </si>
  <si>
    <t>nicole6du@gmail.com</t>
  </si>
  <si>
    <t>Avalos</t>
  </si>
  <si>
    <t>johelyvega@gmail.com</t>
  </si>
  <si>
    <t>Aida</t>
  </si>
  <si>
    <t>romeroaida955@gmail.com</t>
  </si>
  <si>
    <t>marilasan884@gmail.com</t>
  </si>
  <si>
    <t>Dejesus morales mendoza</t>
  </si>
  <si>
    <t>menmorjesus97@gmail.com</t>
  </si>
  <si>
    <t>Pintor</t>
  </si>
  <si>
    <t>joanapin.ruiz@gmail.com</t>
  </si>
  <si>
    <t>Myriam vega ramirez</t>
  </si>
  <si>
    <t>myriamvega2301@gimail.com</t>
  </si>
  <si>
    <t>dra.polanco2510@gmail.com</t>
  </si>
  <si>
    <t>Sabina hernandez</t>
  </si>
  <si>
    <t>keylah664@gmail.com</t>
  </si>
  <si>
    <t>nidiageorge77@gmail.com</t>
  </si>
  <si>
    <t>momicabelenjuarezsanchez@gmail.com</t>
  </si>
  <si>
    <t>Jenis</t>
  </si>
  <si>
    <t>jenishernandez13@gmail.com</t>
  </si>
  <si>
    <t>Raquel martinez florentin</t>
  </si>
  <si>
    <t>gm0506080@gmail.com</t>
  </si>
  <si>
    <t>Marciana</t>
  </si>
  <si>
    <t>Leite</t>
  </si>
  <si>
    <t>marcianaleite83@gmail.com</t>
  </si>
  <si>
    <t>Navichoc</t>
  </si>
  <si>
    <t>snavichoc@gmail.com</t>
  </si>
  <si>
    <t>Fabiola</t>
  </si>
  <si>
    <t>Pulido</t>
  </si>
  <si>
    <t>fabiola.p.13.84@gmail.com</t>
  </si>
  <si>
    <t>Amparo</t>
  </si>
  <si>
    <t>Rangel</t>
  </si>
  <si>
    <t>amparran889@gmail.com</t>
  </si>
  <si>
    <t>romina3k@hotmail.com</t>
  </si>
  <si>
    <t>Piste</t>
  </si>
  <si>
    <t>mirnapiste94@gmail.com</t>
  </si>
  <si>
    <t>Yngris frÃ­as e.</t>
  </si>
  <si>
    <t>martha117@hotmail.es</t>
  </si>
  <si>
    <t>Wilma</t>
  </si>
  <si>
    <t>wilmaorzusa@gmail.comm</t>
  </si>
  <si>
    <t>Yackelin</t>
  </si>
  <si>
    <t>yackelin0806@gmail.com</t>
  </si>
  <si>
    <t>Moya</t>
  </si>
  <si>
    <t>moyac3729@gmail.com</t>
  </si>
  <si>
    <t>Yolymar</t>
  </si>
  <si>
    <t>yolymar1021@gmail.com</t>
  </si>
  <si>
    <t>yuleixymeza86@gmail.com</t>
  </si>
  <si>
    <t>andrelu.293@gmail.com</t>
  </si>
  <si>
    <t>Marly</t>
  </si>
  <si>
    <t>Granada</t>
  </si>
  <si>
    <t>myohanag80@gmail.com</t>
  </si>
  <si>
    <t>Burgos</t>
  </si>
  <si>
    <t>lucybp2425@gmail.com</t>
  </si>
  <si>
    <t>Zulma</t>
  </si>
  <si>
    <t>Certuche alvear</t>
  </si>
  <si>
    <t>certuchealvearz@gmail.com</t>
  </si>
  <si>
    <t>thalifan.2020@gmail.com</t>
  </si>
  <si>
    <t>Angelica ventura brito</t>
  </si>
  <si>
    <t>rosaangelicaventura1995@gmail.com</t>
  </si>
  <si>
    <t>Elianny</t>
  </si>
  <si>
    <t>Monquinez</t>
  </si>
  <si>
    <t>lamanidesire46@gmail.com</t>
  </si>
  <si>
    <t>Feliz santos</t>
  </si>
  <si>
    <t>angelicafeliz30@icloud.com</t>
  </si>
  <si>
    <t>andrea.lizethgallegos0@gmail.com</t>
  </si>
  <si>
    <t>Rosany</t>
  </si>
  <si>
    <t>Pimentel</t>
  </si>
  <si>
    <t>pimentelr107@gmail.com</t>
  </si>
  <si>
    <t>anabedo674@gmail.com</t>
  </si>
  <si>
    <t>Nadine</t>
  </si>
  <si>
    <t>nadine3152002@gmail.com</t>
  </si>
  <si>
    <t>Dos santos</t>
  </si>
  <si>
    <t>Rosanna</t>
  </si>
  <si>
    <t>Cabrera valerio â_x0081_°</t>
  </si>
  <si>
    <t>rosannabalerio1984@gmail.com</t>
  </si>
  <si>
    <t>bellarosebeautyspa@gmail.com</t>
  </si>
  <si>
    <t>Alvarez</t>
  </si>
  <si>
    <t>cynthialvarez.nm@gmail.com</t>
  </si>
  <si>
    <t>dianafiguev10@gmail.com</t>
  </si>
  <si>
    <t>Bravo</t>
  </si>
  <si>
    <t>abreuandrea2019@gmail.com</t>
  </si>
  <si>
    <t>Bertha</t>
  </si>
  <si>
    <t>gonzalez.b951@yahoo.com</t>
  </si>
  <si>
    <t>laurie1725@gmail.com</t>
  </si>
  <si>
    <t>sortok2543@gmail.com</t>
  </si>
  <si>
    <t>vasquez0944@gmail.com</t>
  </si>
  <si>
    <t>Thamara</t>
  </si>
  <si>
    <t>pereirathamara2022@gmail.com</t>
  </si>
  <si>
    <t>Bere</t>
  </si>
  <si>
    <t>lopezbere90@gmail.con</t>
  </si>
  <si>
    <t>Poleth</t>
  </si>
  <si>
    <t>poleth.murgas@icloud.com</t>
  </si>
  <si>
    <t>AD3-BEC-CAPT-AGOSTO25-DIRECTO-USA-FRIO</t>
  </si>
  <si>
    <t>Navas</t>
  </si>
  <si>
    <t>ananavas01971@gmail.com</t>
  </si>
  <si>
    <t>mmatos1221@gmail.com</t>
  </si>
  <si>
    <t>Casal</t>
  </si>
  <si>
    <t>gloriacasal@yahoo.com</t>
  </si>
  <si>
    <t>ppaoladdiazvvegs@gmail.com</t>
  </si>
  <si>
    <t>Maggie</t>
  </si>
  <si>
    <t>maggiesanchez8868@gmail.com</t>
  </si>
  <si>
    <t>plabe61218@gmail.com</t>
  </si>
  <si>
    <t>Delfa</t>
  </si>
  <si>
    <t>Sedano</t>
  </si>
  <si>
    <t>beautyrestorationbodyart@gmail.com</t>
  </si>
  <si>
    <t>Espinal</t>
  </si>
  <si>
    <t>s.p.l.2008@outlook.com</t>
  </si>
  <si>
    <t>MontaÃ±ez</t>
  </si>
  <si>
    <t>marve77padilla@gmail.com</t>
  </si>
  <si>
    <t>letty_884@hotmail.com</t>
  </si>
  <si>
    <t>Ramirez ramirez</t>
  </si>
  <si>
    <t>rnoemi08@gmail.com</t>
  </si>
  <si>
    <t>Fidelicia</t>
  </si>
  <si>
    <t>Serpas</t>
  </si>
  <si>
    <t>serpasfidelicia0@gmail.com</t>
  </si>
  <si>
    <t>Marisela</t>
  </si>
  <si>
    <t>Solorzano</t>
  </si>
  <si>
    <t>solmar041220@gmail.com</t>
  </si>
  <si>
    <t>Jhonairi</t>
  </si>
  <si>
    <t>yonairisgsrcia54@gmail.com</t>
  </si>
  <si>
    <t>Heybi</t>
  </si>
  <si>
    <t>tjackietorres551@gmil.com</t>
  </si>
  <si>
    <t>Johana</t>
  </si>
  <si>
    <t>johanachacin0@gmail.com</t>
  </si>
  <si>
    <t>Laignier</t>
  </si>
  <si>
    <t>angelalaignier560@gmail.com</t>
  </si>
  <si>
    <t>Ardila</t>
  </si>
  <si>
    <t>linaleandraardilaherrera@gmail.com</t>
  </si>
  <si>
    <t>Marbelis</t>
  </si>
  <si>
    <t>Almeida mendoza</t>
  </si>
  <si>
    <t>almeidamendoza22@gmail.com</t>
  </si>
  <si>
    <t>brendasa0359@gmail.com</t>
  </si>
  <si>
    <t>veronicaleyva1972@icloud.com</t>
  </si>
  <si>
    <t>Tavera lopez</t>
  </si>
  <si>
    <t>lilisabeltavera@gmail.com</t>
  </si>
  <si>
    <t>Desiree</t>
  </si>
  <si>
    <t>desiurbacorde@gmail.com</t>
  </si>
  <si>
    <t>Zuniga</t>
  </si>
  <si>
    <t>normaidalid1990@gmail.com</t>
  </si>
  <si>
    <t>Juliette</t>
  </si>
  <si>
    <t>yhenerygonzalez@hotmail.com</t>
  </si>
  <si>
    <t>MartÃ­n dÃ­az</t>
  </si>
  <si>
    <t>martinanabel115@gmail.com</t>
  </si>
  <si>
    <t>rarely13@yahoo.com</t>
  </si>
  <si>
    <t>Greyer</t>
  </si>
  <si>
    <t>greyerf21@gmail.com</t>
  </si>
  <si>
    <t>hmarbella5@gmail.com</t>
  </si>
  <si>
    <t>Milangel</t>
  </si>
  <si>
    <t>Contasti</t>
  </si>
  <si>
    <t>milacontasti@hotmail.com</t>
  </si>
  <si>
    <t>Rosaura</t>
  </si>
  <si>
    <t>rosaura_deleon@hotmail.com</t>
  </si>
  <si>
    <t>Esther</t>
  </si>
  <si>
    <t>esthertorres27041975@gmail.com</t>
  </si>
  <si>
    <t>Vetilde</t>
  </si>
  <si>
    <t>Vivas</t>
  </si>
  <si>
    <t>vetildevivas72@gmail.com</t>
  </si>
  <si>
    <t>Rogbe</t>
  </si>
  <si>
    <t>ramosdv1504@gmail.com</t>
  </si>
  <si>
    <t>Zuleika</t>
  </si>
  <si>
    <t>Villanueva</t>
  </si>
  <si>
    <t>zuleika1482@hotmail.com</t>
  </si>
  <si>
    <t>Samano</t>
  </si>
  <si>
    <t>martha.samano@aol.com</t>
  </si>
  <si>
    <t>Mauren</t>
  </si>
  <si>
    <t>calderinomp@hotmail.com</t>
  </si>
  <si>
    <t>Abal</t>
  </si>
  <si>
    <t>kathia.abal@gmail.com</t>
  </si>
  <si>
    <t>dizovega949@gmail.com</t>
  </si>
  <si>
    <t>Auxi</t>
  </si>
  <si>
    <t>auxicontreras74@icloud.com</t>
  </si>
  <si>
    <t>laura.vanegas.tigo@gmail.com</t>
  </si>
  <si>
    <t>kathy82gar@gmail.com</t>
  </si>
  <si>
    <t>Angulo</t>
  </si>
  <si>
    <t>jcam489@gmail.com</t>
  </si>
  <si>
    <t>Katerine</t>
  </si>
  <si>
    <t>Ã_x0081_ngel</t>
  </si>
  <si>
    <t>katemilas.09@gmail.com</t>
  </si>
  <si>
    <t>Bibiana</t>
  </si>
  <si>
    <t>Cuadros</t>
  </si>
  <si>
    <t>totallybareskin@yahoo.com</t>
  </si>
  <si>
    <t>YasmÃ­n</t>
  </si>
  <si>
    <t>deleongonzalez316@gmail.com</t>
  </si>
  <si>
    <t>Mildres</t>
  </si>
  <si>
    <t>Cordon</t>
  </si>
  <si>
    <t>cordonmil@gmail.com</t>
  </si>
  <si>
    <t>Maricruz</t>
  </si>
  <si>
    <t>Quinonez</t>
  </si>
  <si>
    <t>m.quinonez1972@gmail.com</t>
  </si>
  <si>
    <t>Dorihana</t>
  </si>
  <si>
    <t>dorihanaperez@gmail.com</t>
  </si>
  <si>
    <t>Alcantara</t>
  </si>
  <si>
    <t>dianngely03@gmail.com</t>
  </si>
  <si>
    <t>Carmela</t>
  </si>
  <si>
    <t>Carballo</t>
  </si>
  <si>
    <t>carmela122595@gmail.com</t>
  </si>
  <si>
    <t>Yesica</t>
  </si>
  <si>
    <t>Milena cardona uribe</t>
  </si>
  <si>
    <t>cardonauribeyesicamilena@gmail.com</t>
  </si>
  <si>
    <t>Montoya</t>
  </si>
  <si>
    <t>salacambiatuimagen@gmail.com</t>
  </si>
  <si>
    <t>Nidia</t>
  </si>
  <si>
    <t>nidiaemildredmunoz@email.com</t>
  </si>
  <si>
    <t>anakarynajimenez@hotmail.com</t>
  </si>
  <si>
    <t>Yohana</t>
  </si>
  <si>
    <t>yovitrejo@icliud.com</t>
  </si>
  <si>
    <t>Morela</t>
  </si>
  <si>
    <t>morelamaldonado167@gmail.com</t>
  </si>
  <si>
    <t>Gil</t>
  </si>
  <si>
    <t>blancahenao1122@gmail.com</t>
  </si>
  <si>
    <t>Vanderhorst</t>
  </si>
  <si>
    <t>altagraciavanderhorst@hotmail.com</t>
  </si>
  <si>
    <t>Guadalupe canales gonzÃ¡lez</t>
  </si>
  <si>
    <t>canaleselba4@gmail.com</t>
  </si>
  <si>
    <t>Alesita</t>
  </si>
  <si>
    <t>Gallardo</t>
  </si>
  <si>
    <t>alesita.gdp@gmail.com</t>
  </si>
  <si>
    <t>evelynroselimendoza02@gmail.com</t>
  </si>
  <si>
    <t>Cifuentes</t>
  </si>
  <si>
    <t>dorrod74@gmail.com</t>
  </si>
  <si>
    <t>Rosio</t>
  </si>
  <si>
    <t>Yunga</t>
  </si>
  <si>
    <t>chiioyunga47@gmail.com</t>
  </si>
  <si>
    <t>Jbell1974@hotmail.com</t>
  </si>
  <si>
    <t>Bell</t>
  </si>
  <si>
    <t>jbell1974@hotmail.com</t>
  </si>
  <si>
    <t>Cata</t>
  </si>
  <si>
    <t>caterindelcastillo7@gmail.com</t>
  </si>
  <si>
    <t>Dessenia</t>
  </si>
  <si>
    <t>Molinari</t>
  </si>
  <si>
    <t>dgprofessionalglow@gmail.com</t>
  </si>
  <si>
    <t>marianhdz.2628@gmail.com</t>
  </si>
  <si>
    <t>Escobedo</t>
  </si>
  <si>
    <t>cristyescobedo_89@hotmail.com</t>
  </si>
  <si>
    <t>rebekarojas.ch@gmail.com</t>
  </si>
  <si>
    <t>Sasha</t>
  </si>
  <si>
    <t>Cisneros</t>
  </si>
  <si>
    <t>sashacisneross@gmail.com</t>
  </si>
  <si>
    <t>Toledo</t>
  </si>
  <si>
    <t>carmichelle1@hotmail.com</t>
  </si>
  <si>
    <t>Heredia</t>
  </si>
  <si>
    <t>ceciliavalentinaheredia@gmail.com</t>
  </si>
  <si>
    <t>Orozco</t>
  </si>
  <si>
    <t>areli.angel888@gmail.com</t>
  </si>
  <si>
    <t>Del pilar lucas cedro</t>
  </si>
  <si>
    <t>mlucascedro@gmail.com</t>
  </si>
  <si>
    <t>E reyes</t>
  </si>
  <si>
    <t>mariaelianrreyes@gmail.com</t>
  </si>
  <si>
    <t>erika75pacheco@gmail.com</t>
  </si>
  <si>
    <t>lauraperezjimenez28@gmail.com</t>
  </si>
  <si>
    <t>egildamoreno2022@gmail.com</t>
  </si>
  <si>
    <t>Andrade</t>
  </si>
  <si>
    <t>candrev@gmail.com</t>
  </si>
  <si>
    <t>yulissarodriguezrodriguez@hotmail.com</t>
  </si>
  <si>
    <t>Alcala</t>
  </si>
  <si>
    <t>alexxix1234@gmail.com</t>
  </si>
  <si>
    <t>GÃ©nesis</t>
  </si>
  <si>
    <t>medigenesis.566@gmail.com</t>
  </si>
  <si>
    <t>Jeimy</t>
  </si>
  <si>
    <t>Inagan</t>
  </si>
  <si>
    <t>marcebetancourth88@gmail.com</t>
  </si>
  <si>
    <t>Erikanoemiguardado84@gmail.com</t>
  </si>
  <si>
    <t>Noemi zuniga</t>
  </si>
  <si>
    <t>erikanoemiguardado84@gmail.com</t>
  </si>
  <si>
    <t>agliz4313@gmail.com</t>
  </si>
  <si>
    <t>Yudely</t>
  </si>
  <si>
    <t>Marte</t>
  </si>
  <si>
    <t>yudelymarte8@gmail.com</t>
  </si>
  <si>
    <t>Llorena</t>
  </si>
  <si>
    <t>razo.lorena@yahoo.com</t>
  </si>
  <si>
    <t>Oyervides</t>
  </si>
  <si>
    <t>lauraoyervides@gmail.com</t>
  </si>
  <si>
    <t>LLENATUAGENDA</t>
  </si>
  <si>
    <t>Kharla</t>
  </si>
  <si>
    <t>kstojaanow@gmail.com</t>
  </si>
  <si>
    <t>hellen.interiordesigner@gmail.com</t>
  </si>
  <si>
    <t>janys.soa@gmail.com</t>
  </si>
  <si>
    <t>Nery</t>
  </si>
  <si>
    <t>neryossa@gmail.com</t>
  </si>
  <si>
    <t>Guisselly tejada garcia</t>
  </si>
  <si>
    <t>francheskagtg35@gmail.com</t>
  </si>
  <si>
    <t>Henriquez</t>
  </si>
  <si>
    <t>brendahenriquez96@yahoo.com</t>
  </si>
  <si>
    <t>Gabriela borquez</t>
  </si>
  <si>
    <t>janethborquez13@gmail.com</t>
  </si>
  <si>
    <t>Jinett</t>
  </si>
  <si>
    <t>Silverio</t>
  </si>
  <si>
    <t>jinett29@gmail.com</t>
  </si>
  <si>
    <t>Knapp</t>
  </si>
  <si>
    <t>colorbylucy@gmail.com</t>
  </si>
  <si>
    <t>psi.erikasanchez@gmail.com</t>
  </si>
  <si>
    <t>Vianey</t>
  </si>
  <si>
    <t>Coronado</t>
  </si>
  <si>
    <t>vianeymusheer49@gmail.com</t>
  </si>
  <si>
    <t>Lehner</t>
  </si>
  <si>
    <t>marthale2322@gmail.com</t>
  </si>
  <si>
    <t>Mireles</t>
  </si>
  <si>
    <t>beautygirlstyles.mm@gmail.com</t>
  </si>
  <si>
    <t>Lopera</t>
  </si>
  <si>
    <t>loperaosorioerika@gmail.com</t>
  </si>
  <si>
    <t>Lara trueque</t>
  </si>
  <si>
    <t>lupitaltja2@gmail.com</t>
  </si>
  <si>
    <t>Marlene labanino</t>
  </si>
  <si>
    <t>missmarlenitanails@icloud.com</t>
  </si>
  <si>
    <t>Fabby</t>
  </si>
  <si>
    <t>fabbyhernandez57@gmail.com</t>
  </si>
  <si>
    <t>hildasalazar544@gmail.com</t>
  </si>
  <si>
    <t>Julia</t>
  </si>
  <si>
    <t>lourdes1275vje@gmail.com</t>
  </si>
  <si>
    <t>Saida</t>
  </si>
  <si>
    <t>Martel</t>
  </si>
  <si>
    <t>saidamrtel87@gmail.com</t>
  </si>
  <si>
    <t>Maisonet</t>
  </si>
  <si>
    <t>maisonetiris@yahoo.com</t>
  </si>
  <si>
    <t>Greily</t>
  </si>
  <si>
    <t>Beato</t>
  </si>
  <si>
    <t>greilycbm0513@gmail.com</t>
  </si>
  <si>
    <t>Aviles</t>
  </si>
  <si>
    <t>jessiaviles91@gmail.com</t>
  </si>
  <si>
    <t>veoro1967@gmail.com</t>
  </si>
  <si>
    <t>Yohaira</t>
  </si>
  <si>
    <t>ydejesus78@gmail.com</t>
  </si>
  <si>
    <t>Juela</t>
  </si>
  <si>
    <t>jueladisy@gmail.com</t>
  </si>
  <si>
    <t>Alanis</t>
  </si>
  <si>
    <t>alanisalma87@gmail.com</t>
  </si>
  <si>
    <t>Taipe</t>
  </si>
  <si>
    <t>rtaipe1986@gmail.com</t>
  </si>
  <si>
    <t>Nolibel</t>
  </si>
  <si>
    <t>Villasmil</t>
  </si>
  <si>
    <t>nolibelvillasmil747@gmail.com</t>
  </si>
  <si>
    <t>eve_medi2606@hotmail.com</t>
  </si>
  <si>
    <t>Acosta</t>
  </si>
  <si>
    <t>acostavargasmariajesus791@gmail.com</t>
  </si>
  <si>
    <t>Fernanda</t>
  </si>
  <si>
    <t>Barrientos</t>
  </si>
  <si>
    <t>mazzieljuarez19@gmail.com</t>
  </si>
  <si>
    <t>Erandi</t>
  </si>
  <si>
    <t>erandi26.3@icloud.com</t>
  </si>
  <si>
    <t>dianavga01@gmail.com</t>
  </si>
  <si>
    <t>Estefani</t>
  </si>
  <si>
    <t>elbos1992@gmail.com</t>
  </si>
  <si>
    <t>Catalina cardona escobar</t>
  </si>
  <si>
    <t>diana.cardona8649@gmail.com</t>
  </si>
  <si>
    <t>zanchesesperanza1989@gmail.com</t>
  </si>
  <si>
    <t>Irene</t>
  </si>
  <si>
    <t>Naula</t>
  </si>
  <si>
    <t>zoraidanaula1989@gmail.com</t>
  </si>
  <si>
    <t>Miranda</t>
  </si>
  <si>
    <t>Minerva</t>
  </si>
  <si>
    <t>miranda.minerva.m@gmail.com</t>
  </si>
  <si>
    <t>Valencia</t>
  </si>
  <si>
    <t>patricvalencia70@gmail.com</t>
  </si>
  <si>
    <t>Ariannis</t>
  </si>
  <si>
    <t>Acuna</t>
  </si>
  <si>
    <t>arianniss750@gmail.com</t>
  </si>
  <si>
    <t>Giraldo</t>
  </si>
  <si>
    <t>claugiraldoa@hotmail.com</t>
  </si>
  <si>
    <t>Cristina alberti</t>
  </si>
  <si>
    <t>vilmacristina66@hotmail.com</t>
  </si>
  <si>
    <t>Florsita</t>
  </si>
  <si>
    <t>jabc1924@icloud.com</t>
  </si>
  <si>
    <t>nsblesthetics@gmail.com</t>
  </si>
  <si>
    <t>Franco</t>
  </si>
  <si>
    <t>rfranco.abregu@gmail.com</t>
  </si>
  <si>
    <t>Maita</t>
  </si>
  <si>
    <t>elizavmg@outlook.com</t>
  </si>
  <si>
    <t>Nereyda</t>
  </si>
  <si>
    <t>nereida.30@hotmail.com</t>
  </si>
  <si>
    <t>Del pilar torres</t>
  </si>
  <si>
    <t>rtps4041@gmail.com</t>
  </si>
  <si>
    <t>natasalazar1008@gmail.com</t>
  </si>
  <si>
    <t>Jaime</t>
  </si>
  <si>
    <t>unica.alcatraz404@gmail.com</t>
  </si>
  <si>
    <t>Elison</t>
  </si>
  <si>
    <t>VelÃ¡squez</t>
  </si>
  <si>
    <t>efrainherreragera@gmail.com</t>
  </si>
  <si>
    <t>Azrak</t>
  </si>
  <si>
    <t>azrak112000@gmail.com</t>
  </si>
  <si>
    <t>Milagro</t>
  </si>
  <si>
    <t>milagrocp92@gmail.com</t>
  </si>
  <si>
    <t>myriamruiz70@gmail.com</t>
  </si>
  <si>
    <t>Rocxy</t>
  </si>
  <si>
    <t>roxcy3802@gmail.com</t>
  </si>
  <si>
    <t>AngÃ©lica rodriguez rodriguez</t>
  </si>
  <si>
    <t>angelinasalvada@gmail.com</t>
  </si>
  <si>
    <t>Maerbel</t>
  </si>
  <si>
    <t>maranh720@gmail.com</t>
  </si>
  <si>
    <t>Peralta</t>
  </si>
  <si>
    <t>mariaabreup05@gmail.com</t>
  </si>
  <si>
    <t>Clara</t>
  </si>
  <si>
    <t>claraluisa16@gmail.com</t>
  </si>
  <si>
    <t>normasanchez9561@yahoo.com</t>
  </si>
  <si>
    <t>macovilla2003@yahoo.com</t>
  </si>
  <si>
    <t>Valdes</t>
  </si>
  <si>
    <t>taniavaldes1975@gmail.com</t>
  </si>
  <si>
    <t>Camarena muniz</t>
  </si>
  <si>
    <t>yolay0720@gmail.com</t>
  </si>
  <si>
    <t>DomÃ­nguez</t>
  </si>
  <si>
    <t>dominguezrosie85@gmail.com</t>
  </si>
  <si>
    <t>Glez gonzalez</t>
  </si>
  <si>
    <t>anaglezcuello@gmail.com</t>
  </si>
  <si>
    <t>mariamena12@hotmail.com</t>
  </si>
  <si>
    <t>Arisleidys</t>
  </si>
  <si>
    <t>Mederos</t>
  </si>
  <si>
    <t>u724881@gmail.com</t>
  </si>
  <si>
    <t>Yohandy</t>
  </si>
  <si>
    <t>yohandyromero16@gmail.com</t>
  </si>
  <si>
    <t>Karely</t>
  </si>
  <si>
    <t>karh1981@gmail.com</t>
  </si>
  <si>
    <t>Woodard</t>
  </si>
  <si>
    <t>yessynailjewels@gmail.com</t>
  </si>
  <si>
    <t>Barbosa</t>
  </si>
  <si>
    <t>cbarbosa200960@gmail.com</t>
  </si>
  <si>
    <t>elsabuele@gmail.com</t>
  </si>
  <si>
    <t>sherlynr0920@gmail.com</t>
  </si>
  <si>
    <t>alejandraromeroinciarte@gmail.com</t>
  </si>
  <si>
    <t>edps956@gmail.com</t>
  </si>
  <si>
    <t>Johana marin agudelo</t>
  </si>
  <si>
    <t>kanemix_24@hotmail.com</t>
  </si>
  <si>
    <t>Mildred</t>
  </si>
  <si>
    <t>Jerez</t>
  </si>
  <si>
    <t>mildredjerez@ymail.com</t>
  </si>
  <si>
    <t>AlmapizaÃ±a</t>
  </si>
  <si>
    <t>PizaÃ±a</t>
  </si>
  <si>
    <t>pizanaalma57@gmail.com</t>
  </si>
  <si>
    <t>Yerseilyn</t>
  </si>
  <si>
    <t>TubiÃ±ez</t>
  </si>
  <si>
    <t>ytubinezlubo@gmail.com</t>
  </si>
  <si>
    <t>egomez2205@yahoo.com</t>
  </si>
  <si>
    <t>Yvena</t>
  </si>
  <si>
    <t>Pierre</t>
  </si>
  <si>
    <t>yvenapierre757@yahoo.com</t>
  </si>
  <si>
    <t>marriax26@gmail.com</t>
  </si>
  <si>
    <t>Balladares</t>
  </si>
  <si>
    <t>balladarespilar28@gmail.com</t>
  </si>
  <si>
    <t>amanda.mendoza1107@yahoo.com</t>
  </si>
  <si>
    <t>perezshakira143@gmail.com</t>
  </si>
  <si>
    <t>Aparicio</t>
  </si>
  <si>
    <t>maribelaparicio5678@gmail.com</t>
  </si>
  <si>
    <t>Soler</t>
  </si>
  <si>
    <t>emmaceciliajuarez@gmail.com</t>
  </si>
  <si>
    <t>Ely</t>
  </si>
  <si>
    <t>Beauty studio</t>
  </si>
  <si>
    <t>elynunez379@gmail.com</t>
  </si>
  <si>
    <t>Carolyn</t>
  </si>
  <si>
    <t>carysanti2010@gmail.com</t>
  </si>
  <si>
    <t>trujillo24silva@gmail.com</t>
  </si>
  <si>
    <t>sancheznsp42@yahoo.com</t>
  </si>
  <si>
    <t>rose174345@gmail.com</t>
  </si>
  <si>
    <t>VitolÃ¡s</t>
  </si>
  <si>
    <t>sandra.vitolas@gmail.com</t>
  </si>
  <si>
    <t>Idris</t>
  </si>
  <si>
    <t>Paulino</t>
  </si>
  <si>
    <t>idrispaulino1126@gmail.com</t>
  </si>
  <si>
    <t>Arnaud</t>
  </si>
  <si>
    <t>xiomaraa18@hotmail.com</t>
  </si>
  <si>
    <t>AngÃ©lica</t>
  </si>
  <si>
    <t>angelica_m31@icloud.com</t>
  </si>
  <si>
    <t>Zitlali</t>
  </si>
  <si>
    <t>Macedo</t>
  </si>
  <si>
    <t>shaira695@gmail.com</t>
  </si>
  <si>
    <t>urias.75@hotmail.com</t>
  </si>
  <si>
    <t>JimÃ©nez jimenez</t>
  </si>
  <si>
    <t>adelavjimenez@gmail.com</t>
  </si>
  <si>
    <t>adelagarciag465@yahoo.com</t>
  </si>
  <si>
    <t>Stefannypaolamartinez</t>
  </si>
  <si>
    <t>Paola martinez</t>
  </si>
  <si>
    <t>stefannymartinezperez2@gmail.com</t>
  </si>
  <si>
    <t>Maritzza</t>
  </si>
  <si>
    <t>msabel22@yahoo.com</t>
  </si>
  <si>
    <t>Yamaris</t>
  </si>
  <si>
    <t>yamarism1976@gmail.com</t>
  </si>
  <si>
    <t>mary8774@gmail.com</t>
  </si>
  <si>
    <t>Carina</t>
  </si>
  <si>
    <t>Moran</t>
  </si>
  <si>
    <t>ndiana456morocho@gmail.com</t>
  </si>
  <si>
    <t>akalgirl@yahoo.com</t>
  </si>
  <si>
    <t>tatysnaildesigns21@gmail.com</t>
  </si>
  <si>
    <t>Cortez</t>
  </si>
  <si>
    <t>marlenecortez3003@gmail.com</t>
  </si>
  <si>
    <t>ingridrivas116@gmail.com</t>
  </si>
  <si>
    <t>DÃ­az</t>
  </si>
  <si>
    <t>diazsaldarriaganatalia@gmail.com</t>
  </si>
  <si>
    <t>Guadalupe sandoval</t>
  </si>
  <si>
    <t>lupitasandoval187@gmail.com</t>
  </si>
  <si>
    <t>Lema</t>
  </si>
  <si>
    <t>veronika.1980@hotmail.es</t>
  </si>
  <si>
    <t>Suzana</t>
  </si>
  <si>
    <t>suzicastillo26@gmail.com</t>
  </si>
  <si>
    <t>rocio86cast@gmail.com</t>
  </si>
  <si>
    <t>Lynda</t>
  </si>
  <si>
    <t>Valle fortin</t>
  </si>
  <si>
    <t>ljacky020816@gmail.com</t>
  </si>
  <si>
    <t>Gladeis</t>
  </si>
  <si>
    <t>ortegagladys@yahoo.com</t>
  </si>
  <si>
    <t>Llorens</t>
  </si>
  <si>
    <t>yllorens86@gmail.com</t>
  </si>
  <si>
    <t>Alondra</t>
  </si>
  <si>
    <t>alocontreras30@gmail.com</t>
  </si>
  <si>
    <t>olgarodgon25@gmail.com</t>
  </si>
  <si>
    <t>Mariano</t>
  </si>
  <si>
    <t>anamariamarianod@gmail.com</t>
  </si>
  <si>
    <t>marianna9967@gmail.com</t>
  </si>
  <si>
    <t>BermÃºdez</t>
  </si>
  <si>
    <t>ibermudez1031@yahoo.com</t>
  </si>
  <si>
    <t>Andrea leyes gutiÃ©rrez</t>
  </si>
  <si>
    <t>malau1130@gmail.com</t>
  </si>
  <si>
    <t>johannak.vanegas@gmail.com</t>
  </si>
  <si>
    <t>linasoffya1976@gmail.com</t>
  </si>
  <si>
    <t>AD7-BEC-CAPT-AGOSTO25 V2</t>
  </si>
  <si>
    <t>pglife0320@gmail.com</t>
  </si>
  <si>
    <t>fernandez.lopez.grisel@gmail.com</t>
  </si>
  <si>
    <t>Zarahi</t>
  </si>
  <si>
    <t>Smahim</t>
  </si>
  <si>
    <t>zarahismahim10@gmail.com</t>
  </si>
  <si>
    <t>De sousa</t>
  </si>
  <si>
    <t>janabrasil40@hotmail.com</t>
  </si>
  <si>
    <t>Sanabria</t>
  </si>
  <si>
    <t>bsolito7@gmail.com</t>
  </si>
  <si>
    <t>lucialucero505@gmail.com</t>
  </si>
  <si>
    <t>GutiÃ¨rrez</t>
  </si>
  <si>
    <t>lachonaguera@icloud.com</t>
  </si>
  <si>
    <t>Susan</t>
  </si>
  <si>
    <t>sussansalazar@yahoo.com</t>
  </si>
  <si>
    <t>Frias</t>
  </si>
  <si>
    <t>lanegra18055@gmail.com</t>
  </si>
  <si>
    <t>Yudith</t>
  </si>
  <si>
    <t>yudith210787@gmail.com</t>
  </si>
  <si>
    <t>Nidia adriana</t>
  </si>
  <si>
    <t>niideagu64@gmail.com</t>
  </si>
  <si>
    <t>luzmaraque8017@gmail.com</t>
  </si>
  <si>
    <t>lauratenezaca535@gmail.com</t>
  </si>
  <si>
    <t>Angely</t>
  </si>
  <si>
    <t>angelyrengifo6@gmail.com</t>
  </si>
  <si>
    <t>Aldarondo</t>
  </si>
  <si>
    <t>jenniferaldarondo25@gmail.com</t>
  </si>
  <si>
    <t>figueroavilma2205@gmail.com</t>
  </si>
  <si>
    <t>Jhol</t>
  </si>
  <si>
    <t>karlajholcru@gmail.com</t>
  </si>
  <si>
    <t>Diany</t>
  </si>
  <si>
    <t>Romero de fernandez</t>
  </si>
  <si>
    <t>dianyalo@gmail.com</t>
  </si>
  <si>
    <t>sonymela47@yahoo.com</t>
  </si>
  <si>
    <t>Gina</t>
  </si>
  <si>
    <t>ginahurtado6435@gmail.com</t>
  </si>
  <si>
    <t>iris867@gmail.com</t>
  </si>
  <si>
    <t>Agundiz de quintero</t>
  </si>
  <si>
    <t>angelicaqa25@gmail.com</t>
  </si>
  <si>
    <t>Mosquera</t>
  </si>
  <si>
    <t>mosqueraelizabeth.16@gmail.com</t>
  </si>
  <si>
    <t>regenovese@gmail.com</t>
  </si>
  <si>
    <t>Pricila</t>
  </si>
  <si>
    <t>pritorrfil01@gmail.com</t>
  </si>
  <si>
    <t>Mancilla</t>
  </si>
  <si>
    <t>sashaconway08@gmail.com</t>
  </si>
  <si>
    <t>Zairy</t>
  </si>
  <si>
    <t>zulloa10@gmail.com</t>
  </si>
  <si>
    <t>blanca-vasquez@hotmail.com</t>
  </si>
  <si>
    <t>anapv09@hotmail.com</t>
  </si>
  <si>
    <t>hanny.duran22@yahoo.es</t>
  </si>
  <si>
    <t>A</t>
  </si>
  <si>
    <t>sandymakeup73@gmail.com</t>
  </si>
  <si>
    <t>aguilarrhina@gmail.com</t>
  </si>
  <si>
    <t>marieldeleon02128@gmail.com</t>
  </si>
  <si>
    <t>solfuari@gmail.com</t>
  </si>
  <si>
    <t>claudiapatriciacaicedos@gmail.com</t>
  </si>
  <si>
    <t>goldfabi1218@gmail.com</t>
  </si>
  <si>
    <t>Ceccopieri</t>
  </si>
  <si>
    <t>anapau48@hotmail.com</t>
  </si>
  <si>
    <t>maiaquan17@gmail.com</t>
  </si>
  <si>
    <t>Mailyn</t>
  </si>
  <si>
    <t>the_migue00@hotmail.com</t>
  </si>
  <si>
    <t>Lupercio</t>
  </si>
  <si>
    <t>isalup82@gmail.com</t>
  </si>
  <si>
    <t>pili13@live.com</t>
  </si>
  <si>
    <t>laura-2130@hotmail.com</t>
  </si>
  <si>
    <t>Dioselina</t>
  </si>
  <si>
    <t>Cardenas</t>
  </si>
  <si>
    <t>cardenas.celina1972@gmail.com</t>
  </si>
  <si>
    <t>Jenifer</t>
  </si>
  <si>
    <t>jeniferpeguero00@gmail.com</t>
  </si>
  <si>
    <t>Guaman</t>
  </si>
  <si>
    <t>carmeng.emely@gmail.com</t>
  </si>
  <si>
    <t>grace.flores92@gmail.com</t>
  </si>
  <si>
    <t>M diaz hernandez</t>
  </si>
  <si>
    <t>karladiazhernandez1@icloud.com</t>
  </si>
  <si>
    <t>elibethmar23@gmail.com</t>
  </si>
  <si>
    <t>sandripaisa18@gmail.com</t>
  </si>
  <si>
    <t>maritzakay@outlook.com</t>
  </si>
  <si>
    <t>azucena2907.al@gmail.com</t>
  </si>
  <si>
    <t>Pizarro</t>
  </si>
  <si>
    <t>daniela.pizarro67@gmail.com</t>
  </si>
  <si>
    <t>alba32518@gmail.com</t>
  </si>
  <si>
    <t>Fernanda gonzalez santos</t>
  </si>
  <si>
    <t>gonzalezfergy@gmail.com</t>
  </si>
  <si>
    <t>Zoe</t>
  </si>
  <si>
    <t>ZoÃ©</t>
  </si>
  <si>
    <t>zoesol5450@gmail.com</t>
  </si>
  <si>
    <t>Miguelina</t>
  </si>
  <si>
    <t>peraltamiguelina47@gmail.com</t>
  </si>
  <si>
    <t>Valde</t>
  </si>
  <si>
    <t>margrisval@gmail.com</t>
  </si>
  <si>
    <t>wendyroque29@gmail.com</t>
  </si>
  <si>
    <t>sonia_fuentes.91@icloud.com</t>
  </si>
  <si>
    <t>Sandino</t>
  </si>
  <si>
    <t>ana.l.sandino@gmail.com</t>
  </si>
  <si>
    <t>Mondragon</t>
  </si>
  <si>
    <t>liliamondragon003@gmail.com</t>
  </si>
  <si>
    <t>Yudelka</t>
  </si>
  <si>
    <t>Mercado</t>
  </si>
  <si>
    <t>mercadoyudelka1917@gmail.com</t>
  </si>
  <si>
    <t>AD11-BCP-SEPT2025-LEADMAGNET</t>
  </si>
  <si>
    <t>Daviana</t>
  </si>
  <si>
    <t>Agramonte cruz</t>
  </si>
  <si>
    <t>agramontedaviana@gmail.com</t>
  </si>
  <si>
    <t>m.meche1969@gmail.com</t>
  </si>
  <si>
    <t>San</t>
  </si>
  <si>
    <t>sanchezflor132@gmail.com</t>
  </si>
  <si>
    <t>Naishaliz</t>
  </si>
  <si>
    <t>naaisha12@gmail.com</t>
  </si>
  <si>
    <t>Llondon</t>
  </si>
  <si>
    <t>fauryana11@gmail.com</t>
  </si>
  <si>
    <t>grecia0044@gmail.com</t>
  </si>
  <si>
    <t>Gloriai</t>
  </si>
  <si>
    <t>Nutting</t>
  </si>
  <si>
    <t>glorianataliaforbeauty@gmail.com</t>
  </si>
  <si>
    <t>Franca</t>
  </si>
  <si>
    <t>francasalcedo8@gmail.com</t>
  </si>
  <si>
    <t>paulareyna1982@gmail.com</t>
  </si>
  <si>
    <t>AlcÃ¡ntara</t>
  </si>
  <si>
    <t>mjestetica02@gmail.com</t>
  </si>
  <si>
    <t>Yami</t>
  </si>
  <si>
    <t>Marti</t>
  </si>
  <si>
    <t>yamilka.marti@gmail.com</t>
  </si>
  <si>
    <t>bettynails28@gmail.com</t>
  </si>
  <si>
    <t>Crispin</t>
  </si>
  <si>
    <t>Londono</t>
  </si>
  <si>
    <t>andresfelipetrujillo33@gmail.com</t>
  </si>
  <si>
    <t>Robercy</t>
  </si>
  <si>
    <t>robercy.nunez21@hotmail.com</t>
  </si>
  <si>
    <t>Fiallo</t>
  </si>
  <si>
    <t>dianafiallo1@gmail.com</t>
  </si>
  <si>
    <t>Jasmine</t>
  </si>
  <si>
    <t>Gaspar</t>
  </si>
  <si>
    <t>jasminegaspar2@gmail.com</t>
  </si>
  <si>
    <t>Zaragoza</t>
  </si>
  <si>
    <t>angeleszaragozadoc@gmail.com</t>
  </si>
  <si>
    <t>Erica</t>
  </si>
  <si>
    <t>ericaochoa0210@gmaul.com</t>
  </si>
  <si>
    <t>Suconoga</t>
  </si>
  <si>
    <t>veronicasuconota998@gmail.com</t>
  </si>
  <si>
    <t>veronicavega31@icloud.com</t>
  </si>
  <si>
    <t>Bayona</t>
  </si>
  <si>
    <t>Valdivia</t>
  </si>
  <si>
    <t>dioemapatriciabayonavaldivia@gmail.com</t>
  </si>
  <si>
    <t>Dania</t>
  </si>
  <si>
    <t>daniaespinal86@gmail.com</t>
  </si>
  <si>
    <t>Melody</t>
  </si>
  <si>
    <t>Mackenzie</t>
  </si>
  <si>
    <t>teffymelody22@gmail.com</t>
  </si>
  <si>
    <t>Alizon</t>
  </si>
  <si>
    <t>alizoncalix1@gmail.com</t>
  </si>
  <si>
    <t>mchulagarcia1010@gmail.com</t>
  </si>
  <si>
    <t>Gierbolini</t>
  </si>
  <si>
    <t>margi814@gmail.com</t>
  </si>
  <si>
    <t>nailsbyvianey@yahoo.com</t>
  </si>
  <si>
    <t>Yuneicy</t>
  </si>
  <si>
    <t>gonzalezvictoryuneicy@gmail.com</t>
  </si>
  <si>
    <t>Jasmin</t>
  </si>
  <si>
    <t>Puente</t>
  </si>
  <si>
    <t>jasminpuente63@gmail.com</t>
  </si>
  <si>
    <t>Johana reina</t>
  </si>
  <si>
    <t>marlinkanu@hotmail.com</t>
  </si>
  <si>
    <t>monicaruby1971@gmail.com</t>
  </si>
  <si>
    <t>Eraida</t>
  </si>
  <si>
    <t>eraidamezaayllon@gmail.com</t>
  </si>
  <si>
    <t>Emma</t>
  </si>
  <si>
    <t>Nanez</t>
  </si>
  <si>
    <t>ammelashes@gmail.com</t>
  </si>
  <si>
    <t>Yulieth</t>
  </si>
  <si>
    <t>Rico</t>
  </si>
  <si>
    <t>yualrico0@gmail.com</t>
  </si>
  <si>
    <t>Espinoza arrazola</t>
  </si>
  <si>
    <t>cespinoza2808@gmail.com</t>
  </si>
  <si>
    <t>Calonge</t>
  </si>
  <si>
    <t>lolalashesperu@gmail.com</t>
  </si>
  <si>
    <t>floresdulce449@gmail.com</t>
  </si>
  <si>
    <t>Mazuel</t>
  </si>
  <si>
    <t>massielvasquez2926@gmail.com</t>
  </si>
  <si>
    <t>Zeledon</t>
  </si>
  <si>
    <t>marthazeledon@ymail.com</t>
  </si>
  <si>
    <t>Carias</t>
  </si>
  <si>
    <t>cariasb995@gmail.com</t>
  </si>
  <si>
    <t>Nanci</t>
  </si>
  <si>
    <t>Guarango</t>
  </si>
  <si>
    <t>nanciga.gn@gmail.com</t>
  </si>
  <si>
    <t>Rada</t>
  </si>
  <si>
    <t>amadag1988@gmail.com</t>
  </si>
  <si>
    <t>Marvin</t>
  </si>
  <si>
    <t>silvamarvin374@gmail.com</t>
  </si>
  <si>
    <t>Juanita</t>
  </si>
  <si>
    <t>Z.</t>
  </si>
  <si>
    <t>northcarolina3377@yahoo.com</t>
  </si>
  <si>
    <t>ChÃ¡vez</t>
  </si>
  <si>
    <t>marilinchavezchavez23@gmail.com</t>
  </si>
  <si>
    <t>mayteramirez1717@gmail.com</t>
  </si>
  <si>
    <t>Doralkis</t>
  </si>
  <si>
    <t>Cotilla</t>
  </si>
  <si>
    <t>dorycotilla@yahoo.com</t>
  </si>
  <si>
    <t>Yanet</t>
  </si>
  <si>
    <t>Vichot</t>
  </si>
  <si>
    <t>yanetvichot@gmail.com</t>
  </si>
  <si>
    <t>Melany</t>
  </si>
  <si>
    <t>beautytimewithmel@gmail.com</t>
  </si>
  <si>
    <t>Zoila</t>
  </si>
  <si>
    <t>Burga</t>
  </si>
  <si>
    <t>zoilaroseburga@hotmail.com</t>
  </si>
  <si>
    <t>Yalile</t>
  </si>
  <si>
    <t>yalilemorales024@gmail.com</t>
  </si>
  <si>
    <t>cynthiamendez2009@hotmail.com</t>
  </si>
  <si>
    <t>Canon martinez</t>
  </si>
  <si>
    <t>karencmartinez5@gmail.com</t>
  </si>
  <si>
    <t>evelinbeauty2018@gmail.com</t>
  </si>
  <si>
    <t>Marie_ospina_a@hotmail.com</t>
  </si>
  <si>
    <t>Ospina and hermes loboa</t>
  </si>
  <si>
    <t>marie_ospina_a@hotmail.com</t>
  </si>
  <si>
    <t>relizabeth415.er@gmail.com</t>
  </si>
  <si>
    <t>Kubaraf</t>
  </si>
  <si>
    <t>irmakubara@gmail.com</t>
  </si>
  <si>
    <t>gabyperezzz96@gmail.com</t>
  </si>
  <si>
    <t>infhildaortiz96@gmail.com</t>
  </si>
  <si>
    <t>Edith</t>
  </si>
  <si>
    <t>edithamezquita3@gmail.com</t>
  </si>
  <si>
    <t>Maybely</t>
  </si>
  <si>
    <t>mnbeautyhair@gmail.com</t>
  </si>
  <si>
    <t>Oneisy</t>
  </si>
  <si>
    <t>Diaz. rodrigyez</t>
  </si>
  <si>
    <t>oneisydiaz01@gmail.com</t>
  </si>
  <si>
    <t>Mayerling</t>
  </si>
  <si>
    <t>mayerlingrojas10@hotmail.es</t>
  </si>
  <si>
    <t>Armenta</t>
  </si>
  <si>
    <t>gloria.armen1803@gmail.com</t>
  </si>
  <si>
    <t>AD4.2-BEC-CAPT-AGOSTO25-DIRECTO-USA-FRIO</t>
  </si>
  <si>
    <t>Greisy</t>
  </si>
  <si>
    <t>polancogreiay@gmail.com</t>
  </si>
  <si>
    <t>Dapino</t>
  </si>
  <si>
    <t>silviadapino@gmail.com</t>
  </si>
  <si>
    <t>blancareyes1986@gmail.com</t>
  </si>
  <si>
    <t>Hayssel</t>
  </si>
  <si>
    <t>Munoz</t>
  </si>
  <si>
    <t>hayssel3@gmail.com</t>
  </si>
  <si>
    <t>Nathacha</t>
  </si>
  <si>
    <t>Amado</t>
  </si>
  <si>
    <t>natyamado01@gmail.com</t>
  </si>
  <si>
    <t>Lilliana</t>
  </si>
  <si>
    <t>Puerta</t>
  </si>
  <si>
    <t>lillianamia@aol.com</t>
  </si>
  <si>
    <t>Chunchi</t>
  </si>
  <si>
    <t>taniachunchi5@gmail.com</t>
  </si>
  <si>
    <t>Medrano</t>
  </si>
  <si>
    <t>berenice_diees@hotmail.com</t>
  </si>
  <si>
    <t>Zuly</t>
  </si>
  <si>
    <t>fordzuilmayerlin@gmail.com</t>
  </si>
  <si>
    <t>Roisbel</t>
  </si>
  <si>
    <t>rojasroisbel16@gmail.com</t>
  </si>
  <si>
    <t>Rosana</t>
  </si>
  <si>
    <t>felizyari239@gmail.com</t>
  </si>
  <si>
    <t>Mercedes</t>
  </si>
  <si>
    <t>jennidavidgrullon@icloud.com</t>
  </si>
  <si>
    <t>Recinos</t>
  </si>
  <si>
    <t>nenarecinos13@gmail.com</t>
  </si>
  <si>
    <t>Bautista</t>
  </si>
  <si>
    <t>camilashes31@gmail.com</t>
  </si>
  <si>
    <t>Jaramillo andrea jaramillo</t>
  </si>
  <si>
    <t>coquis_8024@hotmail.com</t>
  </si>
  <si>
    <t>Fernandez</t>
  </si>
  <si>
    <t>joel_122203@hotmail.com</t>
  </si>
  <si>
    <t>Melba</t>
  </si>
  <si>
    <t>Carmelina zhunio</t>
  </si>
  <si>
    <t>melbaz40398@gmail.com</t>
  </si>
  <si>
    <t>Redondo</t>
  </si>
  <si>
    <t>irisredondo35@gmail.com</t>
  </si>
  <si>
    <t>emmadiaz79@hotmail.com</t>
  </si>
  <si>
    <t>Ester</t>
  </si>
  <si>
    <t>thpatricia1423@gmail.com</t>
  </si>
  <si>
    <t>Lurdes</t>
  </si>
  <si>
    <t>Alata</t>
  </si>
  <si>
    <t>lurdesalata9@gmail.com</t>
  </si>
  <si>
    <t>Serrano</t>
  </si>
  <si>
    <t>teresaserrano908@gmail.com</t>
  </si>
  <si>
    <t>Yoselli</t>
  </si>
  <si>
    <t>yoselli19@yahoo.com</t>
  </si>
  <si>
    <t>Lopez lopez lopez</t>
  </si>
  <si>
    <t>johana.lopez22@icloud.com</t>
  </si>
  <si>
    <t>Dairely</t>
  </si>
  <si>
    <t>dayblancobess@gmail.com</t>
  </si>
  <si>
    <t>De aponte</t>
  </si>
  <si>
    <t>leona.dorada.144@gmail.com</t>
  </si>
  <si>
    <t>Caraballo</t>
  </si>
  <si>
    <t>mmcaraballo@icloud.com</t>
  </si>
  <si>
    <t>Yahaira</t>
  </si>
  <si>
    <t>F</t>
  </si>
  <si>
    <t>cuteyayi81@gmail.com</t>
  </si>
  <si>
    <t>Dailena</t>
  </si>
  <si>
    <t>ojedadailena@gmail.com</t>
  </si>
  <si>
    <t>Montero</t>
  </si>
  <si>
    <t>zandy10_@hotmail.com</t>
  </si>
  <si>
    <t>Roselia</t>
  </si>
  <si>
    <t>Estrella zamora</t>
  </si>
  <si>
    <t>nailsestrellas94@gmail.com</t>
  </si>
  <si>
    <t>matutebrenda17@gmail.com</t>
  </si>
  <si>
    <t>Aydet</t>
  </si>
  <si>
    <t>Leon</t>
  </si>
  <si>
    <t>wendy_alg@hotmail.com</t>
  </si>
  <si>
    <t>Jeslin</t>
  </si>
  <si>
    <t>jesliniveth@gmail.com</t>
  </si>
  <si>
    <t>Vastro</t>
  </si>
  <si>
    <t>connie.castro34@gmail.com</t>
  </si>
  <si>
    <t>Maryori</t>
  </si>
  <si>
    <t>maryorigutierrez2412@gmail.com</t>
  </si>
  <si>
    <t>Del</t>
  </si>
  <si>
    <t>Valle chacon</t>
  </si>
  <si>
    <t>delvallecejasve@gmail.com</t>
  </si>
  <si>
    <t>sanramirez80@gmail.com</t>
  </si>
  <si>
    <t>Yahoskavalle</t>
  </si>
  <si>
    <t>yahoskavalle776@gmail.com</t>
  </si>
  <si>
    <t>mimiimoon@outlook.com</t>
  </si>
  <si>
    <t>Berkis</t>
  </si>
  <si>
    <t>Teodol</t>
  </si>
  <si>
    <t>berkispierret@gmail.com</t>
  </si>
  <si>
    <t>Yumary</t>
  </si>
  <si>
    <t>Andino</t>
  </si>
  <si>
    <t>yumaryandino390@gmail.com</t>
  </si>
  <si>
    <t>Azucena</t>
  </si>
  <si>
    <t>azucena8209@gmail.com</t>
  </si>
  <si>
    <t>Katiuska</t>
  </si>
  <si>
    <t>Paulo</t>
  </si>
  <si>
    <t>katypaulo@gmail.com</t>
  </si>
  <si>
    <t>Zully</t>
  </si>
  <si>
    <t>zullymoreno213@yahoo.com</t>
  </si>
  <si>
    <t>Iveth</t>
  </si>
  <si>
    <t>jesik0720@gmail.com</t>
  </si>
  <si>
    <t>wa.me/</t>
  </si>
  <si>
    <t>No.</t>
  </si>
  <si>
    <t>Encuesta</t>
  </si>
  <si>
    <t>Grupo</t>
  </si>
  <si>
    <t>Acceso</t>
  </si>
  <si>
    <t>Fenix</t>
  </si>
  <si>
    <t>B10K+</t>
  </si>
  <si>
    <t xml:space="preserve">Nombre </t>
  </si>
  <si>
    <t>Correo</t>
  </si>
  <si>
    <t>Teléfono</t>
  </si>
  <si>
    <t>WhatstApp</t>
  </si>
  <si>
    <t>País</t>
  </si>
  <si>
    <t>Medio de pago</t>
  </si>
  <si>
    <t>Producto</t>
  </si>
  <si>
    <t xml:space="preserve">Fecha </t>
  </si>
  <si>
    <t>Valor Venta</t>
  </si>
  <si>
    <t>Cuotas</t>
  </si>
  <si>
    <t>Valor a pagar</t>
  </si>
  <si>
    <t>Valor recibido</t>
  </si>
  <si>
    <t>Comisión</t>
  </si>
  <si>
    <t>Neto</t>
  </si>
  <si>
    <t>Saldo Estudiante</t>
  </si>
  <si>
    <t>Observaciones</t>
  </si>
  <si>
    <t xml:space="preserve">No. </t>
  </si>
  <si>
    <t xml:space="preserve">Nombre: </t>
  </si>
  <si>
    <t xml:space="preserve">Correo Electronico: </t>
  </si>
  <si>
    <t>ADS Anuncio:</t>
  </si>
  <si>
    <t>Venta:</t>
  </si>
  <si>
    <t>BEAUTY EDUCATOR PRO G4</t>
  </si>
  <si>
    <t>Compras</t>
  </si>
  <si>
    <t>Organico</t>
  </si>
  <si>
    <t>Frio USA</t>
  </si>
  <si>
    <t>TOP CREATIVOS - CAPTACIÓN DE LEADS</t>
  </si>
  <si>
    <t>ENLACE CREATIVO</t>
  </si>
  <si>
    <t>TOTAL DE LEADS CAPTADOS</t>
  </si>
  <si>
    <t>COSTO POR LEAD</t>
  </si>
  <si>
    <t>TOTAL DE VENTAS</t>
  </si>
  <si>
    <t>ROAS</t>
  </si>
  <si>
    <t>Ingresos y Egresos: Beauty Educator Pro</t>
  </si>
  <si>
    <t>INGRESOS:</t>
  </si>
  <si>
    <t>EGRESOS:</t>
  </si>
  <si>
    <t>GANANCIA:</t>
  </si>
  <si>
    <t>PENDIENTE INGRESAR:</t>
  </si>
  <si>
    <t>NOMBRE</t>
  </si>
  <si>
    <t>PRODUCTO</t>
  </si>
  <si>
    <t xml:space="preserve">DESCRIPCION </t>
  </si>
  <si>
    <t>MONTO</t>
  </si>
</sst>
</file>

<file path=xl/styles.xml><?xml version="1.0" encoding="utf-8"?>
<styleSheet xmlns="http://schemas.openxmlformats.org/spreadsheetml/2006/main" xmlns:x14ac="http://schemas.microsoft.com/office/spreadsheetml/2009/9/ac" xmlns:mc="http://schemas.openxmlformats.org/markup-compatibility/2006">
  <numFmts count="18">
    <numFmt numFmtId="164" formatCode="&quot;$&quot;#,##0"/>
    <numFmt numFmtId="165" formatCode="&quot;$&quot;#,##0.00"/>
    <numFmt numFmtId="166" formatCode="dddd, d mmmm"/>
    <numFmt numFmtId="167" formatCode="#,##0.00\ [$€-1]"/>
    <numFmt numFmtId="168" formatCode="[$$]#,##0"/>
    <numFmt numFmtId="169" formatCode="[$$]#,##0.00"/>
    <numFmt numFmtId="170" formatCode="dd&quot;/&quot;mm&quot;/&quot;yyyy"/>
    <numFmt numFmtId="171" formatCode="#,##0.0000"/>
    <numFmt numFmtId="172" formatCode="M/d/yyyy"/>
    <numFmt numFmtId="173" formatCode="d/MM/yyyy"/>
    <numFmt numFmtId="174" formatCode="dd mmmm"/>
    <numFmt numFmtId="175" formatCode="dd/mm/yyyy"/>
    <numFmt numFmtId="176" formatCode="#,##0.0"/>
    <numFmt numFmtId="177" formatCode="[$ $]#,##0"/>
    <numFmt numFmtId="178" formatCode="mmmm d"/>
    <numFmt numFmtId="179" formatCode="[$ $]#,##0.00"/>
    <numFmt numFmtId="180" formatCode="&quot;$&quot;\ #,##0.00"/>
    <numFmt numFmtId="181" formatCode="d/M/yyyy"/>
  </numFmts>
  <fonts count="70">
    <font>
      <sz val="10.0"/>
      <color rgb="FF000000"/>
      <name val="Arial"/>
      <scheme val="minor"/>
    </font>
    <font>
      <b/>
      <color theme="1"/>
      <name val="Montserrat"/>
    </font>
    <font>
      <color theme="1"/>
      <name val="Arial"/>
    </font>
    <font>
      <color theme="1"/>
      <name val="Montserrat"/>
    </font>
    <font>
      <b/>
      <color theme="1"/>
      <name val="Arial"/>
    </font>
    <font>
      <color theme="1"/>
      <name val="Arial"/>
      <scheme val="minor"/>
    </font>
    <font>
      <b/>
      <color theme="1"/>
      <name val="Arial"/>
      <scheme val="minor"/>
    </font>
    <font>
      <u/>
      <color theme="1"/>
      <name val="Arial"/>
      <scheme val="minor"/>
    </font>
    <font/>
    <font>
      <u/>
      <color theme="1"/>
      <name val="Arial"/>
      <scheme val="minor"/>
    </font>
    <font>
      <u/>
      <color theme="1"/>
      <name val="Arial"/>
      <scheme val="minor"/>
    </font>
    <font>
      <u/>
      <color theme="1"/>
      <name val="Arial"/>
      <scheme val="minor"/>
    </font>
    <font>
      <u/>
      <color theme="1"/>
      <name val="Arial"/>
    </font>
    <font>
      <u/>
      <color theme="1"/>
      <name val="Arial"/>
      <scheme val="minor"/>
    </font>
    <font>
      <u/>
      <color theme="1"/>
      <name val="Arial"/>
    </font>
    <font>
      <u/>
      <color theme="1"/>
      <name val="Arial"/>
    </font>
    <font>
      <u/>
      <color theme="1"/>
      <name val="Arial"/>
    </font>
    <font>
      <u/>
      <color theme="1"/>
      <name val="Arial"/>
    </font>
    <font>
      <u/>
      <color theme="1"/>
      <name val="Arial"/>
    </font>
    <font>
      <u/>
      <color theme="1"/>
      <name val="Arial"/>
      <scheme val="minor"/>
    </font>
    <font>
      <u/>
      <color theme="1"/>
      <name val="Arial"/>
      <scheme val="minor"/>
    </font>
    <font>
      <u/>
      <color theme="1"/>
      <name val="Arial"/>
    </font>
    <font>
      <u/>
      <color theme="1"/>
      <name val="Arial"/>
    </font>
    <font>
      <u/>
      <color theme="1"/>
      <name val="Arial"/>
    </font>
    <font>
      <u/>
      <color theme="1"/>
      <name val="Arial"/>
      <scheme val="minor"/>
    </font>
    <font>
      <u/>
      <color theme="1"/>
      <name val="Arial"/>
      <scheme val="minor"/>
    </font>
    <font>
      <u/>
      <color theme="1"/>
      <name val="Arial"/>
      <scheme val="minor"/>
    </font>
    <font>
      <u/>
      <color theme="1"/>
      <name val="Arial"/>
    </font>
    <font>
      <u/>
      <color theme="1"/>
      <name val="Arial"/>
      <scheme val="minor"/>
    </font>
    <font>
      <u/>
      <color theme="1"/>
      <name val="Arial"/>
      <scheme val="minor"/>
    </font>
    <font>
      <u/>
      <color theme="1"/>
      <name val="Arial"/>
      <scheme val="minor"/>
    </font>
    <font>
      <u/>
      <color theme="1"/>
      <name val="Arial"/>
      <scheme val="minor"/>
    </font>
    <font>
      <i/>
      <color theme="1"/>
      <name val="Montserrat"/>
    </font>
    <font>
      <i/>
      <color theme="1"/>
      <name val="Arial"/>
      <scheme val="minor"/>
    </font>
    <font>
      <b/>
      <i/>
      <color theme="1"/>
      <name val="Arial"/>
    </font>
    <font>
      <sz val="5.0"/>
      <color theme="1"/>
      <name val="Montserrat"/>
    </font>
    <font>
      <sz val="6.0"/>
      <color theme="1"/>
      <name val="Montserrat"/>
    </font>
    <font>
      <b/>
      <sz val="10.0"/>
      <color theme="1"/>
      <name val="Arial"/>
    </font>
    <font>
      <sz val="10.0"/>
      <color theme="1"/>
      <name val="Arial"/>
    </font>
    <font>
      <u/>
      <sz val="10.0"/>
      <color rgb="FF0000FF"/>
      <name val="Arial"/>
    </font>
    <font>
      <u/>
      <color rgb="FF1155CC"/>
      <name val="Arial"/>
    </font>
    <font>
      <u/>
      <color rgb="FF0000FF"/>
    </font>
    <font>
      <u/>
      <color rgb="FF0000FF"/>
    </font>
    <font>
      <u/>
      <color rgb="FF0000FF"/>
      <name val="Arial"/>
    </font>
    <font>
      <u/>
      <color rgb="FF1155CC"/>
      <name val="Arial"/>
    </font>
    <font>
      <u/>
      <sz val="10.0"/>
      <color rgb="FF0000FF"/>
      <name val="Arial"/>
    </font>
    <font>
      <u/>
      <sz val="10.0"/>
      <color rgb="FF0000FF"/>
      <name val="Arial"/>
    </font>
    <font>
      <u/>
      <color rgb="FF0000FF"/>
    </font>
    <font>
      <u/>
      <sz val="10.0"/>
      <color rgb="FF0000FF"/>
      <name val="Arial"/>
    </font>
    <font>
      <u/>
      <color rgb="FF0000FF"/>
      <name val="Roboto"/>
    </font>
    <font>
      <b/>
      <color rgb="FFFFFFFF"/>
      <name val="Calibri"/>
    </font>
    <font>
      <b/>
      <sz val="9.0"/>
      <color rgb="FFFFFFFF"/>
      <name val="Calibri"/>
    </font>
    <font>
      <b/>
      <sz val="8.0"/>
      <color rgb="FF434343"/>
      <name val="Calibri"/>
    </font>
    <font>
      <color rgb="FF434343"/>
      <name val="Calibri"/>
    </font>
    <font>
      <color rgb="FFFFFFFF"/>
      <name val="Calibri"/>
    </font>
    <font>
      <b/>
      <color rgb="FFFFFFFF"/>
      <name val="Arial"/>
    </font>
    <font>
      <sz val="11.0"/>
      <color rgb="FF000000"/>
      <name val="Calibri"/>
    </font>
    <font>
      <sz val="11.0"/>
      <color rgb="FF000000"/>
      <name val="&quot;Aptos Narrow&quot;"/>
    </font>
    <font>
      <b/>
      <sz val="11.0"/>
      <color theme="1"/>
      <name val="Montserrat"/>
    </font>
    <font>
      <sz val="11.0"/>
      <color theme="1"/>
      <name val="Montserrat"/>
    </font>
    <font>
      <sz val="11.0"/>
      <color rgb="FF000000"/>
      <name val="Arial"/>
    </font>
    <font>
      <u/>
      <sz val="11.0"/>
      <color rgb="FF000000"/>
      <name val="&quot;Aptos Narrow&quot;"/>
    </font>
    <font>
      <b/>
      <u/>
      <color rgb="FF0000FF"/>
      <name val="Arial"/>
    </font>
    <font>
      <b/>
      <sz val="16.0"/>
      <color theme="1"/>
      <name val="Arial"/>
    </font>
    <font>
      <sz val="11.0"/>
      <color rgb="FFFFFFFF"/>
      <name val="Arial"/>
    </font>
    <font>
      <b/>
      <sz val="11.0"/>
      <color rgb="FFFFFFFF"/>
      <name val="Arial"/>
    </font>
    <font>
      <b/>
      <sz val="11.0"/>
      <color rgb="FF8745EC"/>
      <name val="Arial"/>
    </font>
    <font>
      <b/>
      <sz val="11.0"/>
      <color theme="1"/>
      <name val="Arial"/>
    </font>
    <font>
      <sz val="11.0"/>
      <color theme="1"/>
      <name val="Arial"/>
    </font>
    <font>
      <sz val="11.0"/>
      <color rgb="FF339966"/>
      <name val="Arial"/>
    </font>
  </fonts>
  <fills count="19">
    <fill>
      <patternFill patternType="none"/>
    </fill>
    <fill>
      <patternFill patternType="lightGray"/>
    </fill>
    <fill>
      <patternFill patternType="solid">
        <fgColor rgb="FFF3F3F3"/>
        <bgColor rgb="FFF3F3F3"/>
      </patternFill>
    </fill>
    <fill>
      <patternFill patternType="solid">
        <fgColor rgb="FFFF0000"/>
        <bgColor rgb="FFFF0000"/>
      </patternFill>
    </fill>
    <fill>
      <patternFill patternType="solid">
        <fgColor rgb="FF00FF00"/>
        <bgColor rgb="FF00FF00"/>
      </patternFill>
    </fill>
    <fill>
      <patternFill patternType="solid">
        <fgColor rgb="FFD9EAD3"/>
        <bgColor rgb="FFD9EAD3"/>
      </patternFill>
    </fill>
    <fill>
      <patternFill patternType="solid">
        <fgColor rgb="FFFFF2CC"/>
        <bgColor rgb="FFFFF2CC"/>
      </patternFill>
    </fill>
    <fill>
      <patternFill patternType="solid">
        <fgColor rgb="FFE6B8AF"/>
        <bgColor rgb="FFE6B8AF"/>
      </patternFill>
    </fill>
    <fill>
      <patternFill patternType="solid">
        <fgColor rgb="FFB4A7D6"/>
        <bgColor rgb="FFB4A7D6"/>
      </patternFill>
    </fill>
    <fill>
      <patternFill patternType="solid">
        <fgColor rgb="FFFFFFFF"/>
        <bgColor rgb="FFFFFFFF"/>
      </patternFill>
    </fill>
    <fill>
      <patternFill patternType="solid">
        <fgColor rgb="FF666666"/>
        <bgColor rgb="FF666666"/>
      </patternFill>
    </fill>
    <fill>
      <patternFill patternType="solid">
        <fgColor rgb="FF4F81BD"/>
        <bgColor rgb="FF4F81BD"/>
      </patternFill>
    </fill>
    <fill>
      <patternFill patternType="solid">
        <fgColor rgb="FF3C78D8"/>
        <bgColor rgb="FF3C78D8"/>
      </patternFill>
    </fill>
    <fill>
      <patternFill patternType="solid">
        <fgColor rgb="FFB6D7A8"/>
        <bgColor rgb="FFB6D7A8"/>
      </patternFill>
    </fill>
    <fill>
      <patternFill patternType="solid">
        <fgColor rgb="FFFFFF00"/>
        <bgColor rgb="FFFFFF00"/>
      </patternFill>
    </fill>
    <fill>
      <patternFill patternType="solid">
        <fgColor rgb="FFD5A6BD"/>
        <bgColor rgb="FFD5A6BD"/>
      </patternFill>
    </fill>
    <fill>
      <patternFill patternType="solid">
        <fgColor rgb="FFEFEFEF"/>
        <bgColor rgb="FFEFEFEF"/>
      </patternFill>
    </fill>
    <fill>
      <patternFill patternType="solid">
        <fgColor rgb="FF595959"/>
        <bgColor rgb="FF595959"/>
      </patternFill>
    </fill>
    <fill>
      <patternFill patternType="solid">
        <fgColor rgb="FFF4CCCC"/>
        <bgColor rgb="FFF4CCCC"/>
      </patternFill>
    </fill>
  </fills>
  <borders count="44">
    <border/>
    <border>
      <left style="thin">
        <color rgb="FF000000"/>
      </left>
      <top style="thin">
        <color rgb="FF000000"/>
      </top>
    </border>
    <border>
      <right style="thin">
        <color rgb="FF000000"/>
      </right>
      <top style="thin">
        <color rgb="FF000000"/>
      </top>
    </border>
    <border>
      <left style="thin">
        <color rgb="FF000000"/>
      </left>
      <right style="thin">
        <color rgb="FF000000"/>
      </right>
      <top style="thin">
        <color rgb="FF000000"/>
      </top>
      <bottom style="thin">
        <color rgb="FF000000"/>
      </bottom>
    </border>
    <border>
      <top style="thin">
        <color rgb="FF000000"/>
      </top>
    </border>
    <border>
      <left style="thin">
        <color rgb="FF000000"/>
      </left>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
      <left style="medium">
        <color rgb="FF000000"/>
      </left>
      <right style="medium">
        <color rgb="FF000000"/>
      </right>
      <top style="medium">
        <color rgb="FF000000"/>
      </top>
      <bottom style="medium">
        <color rgb="FF000000"/>
      </bottom>
    </border>
    <border>
      <left style="medium">
        <color rgb="FF000000"/>
      </left>
      <top style="medium">
        <color rgb="FF000000"/>
      </top>
    </border>
    <border>
      <left style="thin">
        <color rgb="FF000000"/>
      </left>
      <right style="thin">
        <color rgb="FF000000"/>
      </right>
    </border>
    <border>
      <left style="medium">
        <color rgb="FF000000"/>
      </left>
    </border>
    <border>
      <left style="thin">
        <color rgb="FF000000"/>
      </left>
      <right style="thin">
        <color rgb="FF000000"/>
      </right>
      <bottom style="thin">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bottom style="medium">
        <color rgb="FF000000"/>
      </bottom>
    </border>
    <border>
      <right style="medium">
        <color rgb="FF000000"/>
      </right>
    </border>
    <border>
      <bottom style="medium">
        <color rgb="FF000000"/>
      </bottom>
    </border>
    <border>
      <right style="medium">
        <color rgb="FF000000"/>
      </right>
      <bottom style="medium">
        <color rgb="FF000000"/>
      </bottom>
    </border>
    <border>
      <left style="thin">
        <color rgb="FF999999"/>
      </left>
      <top style="thin">
        <color rgb="FF999999"/>
      </top>
      <bottom/>
    </border>
    <border>
      <top style="thin">
        <color rgb="FF999999"/>
      </top>
      <bottom/>
    </border>
    <border>
      <right style="thin">
        <color rgb="FF999999"/>
      </right>
      <top style="thin">
        <color rgb="FF999999"/>
      </top>
      <bottom/>
    </border>
    <border>
      <left style="thin">
        <color rgb="FF999999"/>
      </left>
      <top style="thin">
        <color rgb="FFF3F3F3"/>
      </top>
      <bottom style="thin">
        <color rgb="FFF3F3F3"/>
      </bottom>
    </border>
    <border>
      <left style="thin">
        <color rgb="FF999999"/>
      </left>
      <right style="thin">
        <color rgb="FF999999"/>
      </right>
      <top style="thin">
        <color rgb="FFF3F3F3"/>
      </top>
    </border>
    <border>
      <left style="thin">
        <color rgb="FF999999"/>
      </left>
      <right style="thin">
        <color rgb="FF999999"/>
      </right>
      <top style="thin">
        <color rgb="FF999999"/>
      </top>
    </border>
    <border>
      <left style="thin">
        <color rgb="FF999999"/>
      </left>
      <right style="thin">
        <color rgb="FF999999"/>
      </right>
      <top style="thin">
        <color rgb="FFF3F3F3"/>
      </top>
      <bottom style="thin">
        <color rgb="FF999999"/>
      </bottom>
    </border>
    <border>
      <left style="thin">
        <color rgb="FF999999"/>
      </left>
      <right style="thin">
        <color rgb="FF999999"/>
      </right>
      <bottom style="thin">
        <color rgb="FF999999"/>
      </bottom>
    </border>
    <border>
      <left/>
      <right/>
      <top/>
      <bottom/>
    </border>
    <border>
      <left style="thin">
        <color rgb="FF999999"/>
      </left>
      <top style="thin">
        <color rgb="FF999999"/>
      </top>
    </border>
    <border>
      <top style="thin">
        <color rgb="FF999999"/>
      </top>
    </border>
    <border>
      <right style="thin">
        <color rgb="FF999999"/>
      </right>
      <top style="thin">
        <color rgb="FF999999"/>
      </top>
    </border>
    <border>
      <left style="thin">
        <color rgb="FF999999"/>
      </left>
      <bottom style="thin">
        <color rgb="FFF3F3F3"/>
      </bottom>
    </border>
    <border>
      <bottom style="thin">
        <color rgb="FFF3F3F3"/>
      </bottom>
    </border>
    <border>
      <right style="thin">
        <color rgb="FF999999"/>
      </right>
      <bottom style="thin">
        <color rgb="FFF3F3F3"/>
      </bottom>
    </border>
    <border>
      <left style="thin">
        <color rgb="FF999999"/>
      </left>
      <right/>
      <top style="thin">
        <color rgb="FFF3F3F3"/>
      </top>
    </border>
    <border>
      <left style="thin">
        <color rgb="FFB7B7B7"/>
      </left>
      <right style="thin">
        <color rgb="FFB7B7B7"/>
      </right>
      <top style="thin">
        <color rgb="FFB7B7B7"/>
      </top>
    </border>
    <border>
      <left style="thin">
        <color rgb="FF999999"/>
      </left>
      <right/>
      <bottom style="thin">
        <color rgb="FF999999"/>
      </bottom>
    </border>
    <border>
      <left style="thin">
        <color rgb="FFB7B7B7"/>
      </left>
      <right style="thin">
        <color rgb="FFB7B7B7"/>
      </right>
      <bottom style="thin">
        <color rgb="FFB7B7B7"/>
      </bottom>
    </border>
    <border>
      <top style="thin">
        <color rgb="FF000000"/>
      </top>
      <bottom style="thin">
        <color rgb="FF000000"/>
      </bottom>
    </border>
    <border>
      <left style="double">
        <color rgb="FF000000"/>
      </left>
      <right style="double">
        <color rgb="FF000000"/>
      </right>
      <top style="double">
        <color rgb="FF000000"/>
      </top>
      <bottom style="double">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371">
    <xf borderId="0" fillId="0" fontId="0" numFmtId="0" xfId="0" applyAlignment="1" applyFont="1">
      <alignment readingOrder="0" shrinkToFit="0" vertical="bottom" wrapText="0"/>
    </xf>
    <xf borderId="0" fillId="0" fontId="1" numFmtId="0" xfId="0" applyAlignment="1" applyFont="1">
      <alignment horizontal="center" readingOrder="0" vertical="bottom"/>
    </xf>
    <xf borderId="0" fillId="0" fontId="1" numFmtId="0" xfId="0" applyAlignment="1" applyFont="1">
      <alignment horizontal="center" vertical="bottom"/>
    </xf>
    <xf borderId="0" fillId="0" fontId="2" numFmtId="0" xfId="0" applyAlignment="1" applyFont="1">
      <alignment vertical="bottom"/>
    </xf>
    <xf borderId="0" fillId="0" fontId="3" numFmtId="0" xfId="0" applyAlignment="1" applyFont="1">
      <alignment vertical="bottom"/>
    </xf>
    <xf borderId="0" fillId="0" fontId="2" numFmtId="3" xfId="0" applyAlignment="1" applyFont="1" applyNumberFormat="1">
      <alignment horizontal="center" vertical="bottom"/>
    </xf>
    <xf borderId="0" fillId="0" fontId="3" numFmtId="164" xfId="0" applyAlignment="1" applyFont="1" applyNumberFormat="1">
      <alignment horizontal="center" readingOrder="0" vertical="bottom"/>
    </xf>
    <xf borderId="0" fillId="0" fontId="3" numFmtId="165" xfId="0" applyAlignment="1" applyFont="1" applyNumberFormat="1">
      <alignment horizontal="center" vertical="bottom"/>
    </xf>
    <xf borderId="0" fillId="0" fontId="3" numFmtId="165" xfId="0" applyAlignment="1" applyFont="1" applyNumberFormat="1">
      <alignment horizontal="center" readingOrder="0" vertical="bottom"/>
    </xf>
    <xf borderId="0" fillId="0" fontId="3" numFmtId="9" xfId="0" applyAlignment="1" applyFont="1" applyNumberFormat="1">
      <alignment horizontal="center" readingOrder="0" vertical="bottom"/>
    </xf>
    <xf borderId="0" fillId="0" fontId="3" numFmtId="164" xfId="0" applyAlignment="1" applyFont="1" applyNumberFormat="1">
      <alignment horizontal="center" vertical="bottom"/>
    </xf>
    <xf borderId="0" fillId="0" fontId="1" numFmtId="164" xfId="0" applyAlignment="1" applyFont="1" applyNumberFormat="1">
      <alignment horizontal="center" readingOrder="0" vertical="bottom"/>
    </xf>
    <xf borderId="0" fillId="0" fontId="2" numFmtId="0" xfId="0" applyAlignment="1" applyFont="1">
      <alignment horizontal="center" vertical="bottom"/>
    </xf>
    <xf borderId="0" fillId="0" fontId="3" numFmtId="165" xfId="0" applyAlignment="1" applyFont="1" applyNumberFormat="1">
      <alignment horizontal="center" vertical="bottom"/>
    </xf>
    <xf borderId="0" fillId="0" fontId="4" numFmtId="165" xfId="0" applyAlignment="1" applyFont="1" applyNumberFormat="1">
      <alignment horizontal="center" vertical="bottom"/>
    </xf>
    <xf borderId="0" fillId="0" fontId="2" numFmtId="3" xfId="0" applyAlignment="1" applyFont="1" applyNumberFormat="1">
      <alignment horizontal="center" readingOrder="0" vertical="bottom"/>
    </xf>
    <xf borderId="0" fillId="0" fontId="2" numFmtId="0" xfId="0" applyAlignment="1" applyFont="1">
      <alignment shrinkToFit="0" vertical="bottom" wrapText="1"/>
    </xf>
    <xf borderId="0" fillId="0" fontId="1" numFmtId="0" xfId="0" applyAlignment="1" applyFont="1">
      <alignment horizontal="center" shrinkToFit="0" vertical="bottom" wrapText="1"/>
    </xf>
    <xf borderId="0" fillId="0" fontId="1" numFmtId="0" xfId="0" applyAlignment="1" applyFont="1">
      <alignment horizontal="center" readingOrder="0" shrinkToFit="0" vertical="bottom" wrapText="1"/>
    </xf>
    <xf borderId="0" fillId="0" fontId="3" numFmtId="0" xfId="0" applyAlignment="1" applyFont="1">
      <alignment shrinkToFit="0" vertical="bottom" wrapText="1"/>
    </xf>
    <xf borderId="0" fillId="0" fontId="2" numFmtId="3" xfId="0" applyAlignment="1" applyFont="1" applyNumberFormat="1">
      <alignment horizontal="center" shrinkToFit="0" vertical="bottom" wrapText="1"/>
    </xf>
    <xf borderId="0" fillId="0" fontId="5" numFmtId="0" xfId="0" applyAlignment="1" applyFont="1">
      <alignment shrinkToFit="0" wrapText="1"/>
    </xf>
    <xf borderId="0" fillId="0" fontId="3" numFmtId="0" xfId="0" applyAlignment="1" applyFont="1">
      <alignment horizontal="center" vertical="bottom"/>
    </xf>
    <xf borderId="0" fillId="0" fontId="3" numFmtId="165" xfId="0" applyAlignment="1" applyFont="1" applyNumberFormat="1">
      <alignment horizontal="center" readingOrder="0" vertical="bottom"/>
    </xf>
    <xf borderId="0" fillId="0" fontId="3" numFmtId="1" xfId="0" applyAlignment="1" applyFont="1" applyNumberFormat="1">
      <alignment horizontal="center" vertical="bottom"/>
    </xf>
    <xf borderId="0" fillId="0" fontId="2" numFmtId="3" xfId="0" applyAlignment="1" applyFont="1" applyNumberFormat="1">
      <alignment horizontal="center"/>
    </xf>
    <xf borderId="0" fillId="0" fontId="2" numFmtId="0" xfId="0" applyAlignment="1" applyFont="1">
      <alignment readingOrder="0" vertical="bottom"/>
    </xf>
    <xf borderId="0" fillId="0" fontId="2" numFmtId="3" xfId="0" applyAlignment="1" applyFont="1" applyNumberFormat="1">
      <alignment horizontal="center" readingOrder="0"/>
    </xf>
    <xf borderId="0" fillId="0" fontId="5" numFmtId="0" xfId="0" applyFont="1"/>
    <xf borderId="0" fillId="0" fontId="5" numFmtId="0" xfId="0" applyAlignment="1" applyFont="1">
      <alignment horizontal="center"/>
    </xf>
    <xf borderId="0" fillId="0" fontId="5" numFmtId="0" xfId="0" applyAlignment="1" applyFont="1">
      <alignment horizontal="center" readingOrder="0"/>
    </xf>
    <xf borderId="0" fillId="0" fontId="2" numFmtId="165" xfId="0" applyAlignment="1" applyFont="1" applyNumberFormat="1">
      <alignment vertical="bottom"/>
    </xf>
    <xf borderId="0" fillId="0" fontId="2" numFmtId="9" xfId="0" applyAlignment="1" applyFont="1" applyNumberFormat="1">
      <alignment vertical="bottom"/>
    </xf>
    <xf borderId="0" fillId="2" fontId="5" numFmtId="0" xfId="0" applyFill="1" applyFont="1"/>
    <xf borderId="0" fillId="0" fontId="5" numFmtId="0" xfId="0" applyAlignment="1" applyFont="1">
      <alignment readingOrder="0"/>
    </xf>
    <xf borderId="0" fillId="3" fontId="5" numFmtId="0" xfId="0" applyFill="1" applyFont="1"/>
    <xf borderId="0" fillId="2" fontId="5" numFmtId="0" xfId="0" applyAlignment="1" applyFont="1">
      <alignment readingOrder="0"/>
    </xf>
    <xf borderId="0" fillId="0" fontId="5" numFmtId="166" xfId="0" applyAlignment="1" applyFont="1" applyNumberFormat="1">
      <alignment horizontal="left" readingOrder="0"/>
    </xf>
    <xf borderId="0" fillId="4" fontId="6" numFmtId="0" xfId="0" applyAlignment="1" applyFill="1" applyFont="1">
      <alignment readingOrder="0"/>
    </xf>
    <xf borderId="0" fillId="4" fontId="5" numFmtId="0" xfId="0" applyFont="1"/>
    <xf borderId="0" fillId="3" fontId="5" numFmtId="0" xfId="0" applyAlignment="1" applyFont="1">
      <alignment readingOrder="0"/>
    </xf>
    <xf borderId="0" fillId="3" fontId="2" numFmtId="0" xfId="0" applyAlignment="1" applyFont="1">
      <alignment readingOrder="0" vertical="bottom"/>
    </xf>
    <xf borderId="0" fillId="3" fontId="2" numFmtId="0" xfId="0" applyAlignment="1" applyFont="1">
      <alignment vertical="bottom"/>
    </xf>
    <xf borderId="1" fillId="2" fontId="6" numFmtId="0" xfId="0" applyAlignment="1" applyBorder="1" applyFont="1">
      <alignment readingOrder="0"/>
    </xf>
    <xf borderId="2" fillId="2" fontId="5" numFmtId="0" xfId="0" applyBorder="1" applyFont="1"/>
    <xf borderId="0" fillId="0" fontId="6" numFmtId="0" xfId="0" applyAlignment="1" applyFont="1">
      <alignment readingOrder="0"/>
    </xf>
    <xf borderId="2" fillId="4" fontId="5" numFmtId="0" xfId="0" applyBorder="1" applyFont="1"/>
    <xf borderId="3" fillId="2" fontId="4" numFmtId="0" xfId="0" applyAlignment="1" applyBorder="1" applyFont="1">
      <alignment vertical="bottom"/>
    </xf>
    <xf borderId="3" fillId="4" fontId="2" numFmtId="0" xfId="0" applyAlignment="1" applyBorder="1" applyFont="1">
      <alignment vertical="bottom"/>
    </xf>
    <xf borderId="1" fillId="0" fontId="4" numFmtId="0" xfId="0" applyAlignment="1" applyBorder="1" applyFont="1">
      <alignment readingOrder="0" vertical="bottom"/>
    </xf>
    <xf borderId="2" fillId="0" fontId="2" numFmtId="0" xfId="0" applyAlignment="1" applyBorder="1" applyFont="1">
      <alignment vertical="bottom"/>
    </xf>
    <xf borderId="4" fillId="4" fontId="6" numFmtId="0" xfId="0" applyAlignment="1" applyBorder="1" applyFont="1">
      <alignment readingOrder="0"/>
    </xf>
    <xf borderId="0" fillId="3" fontId="4" numFmtId="0" xfId="0" applyAlignment="1" applyFont="1">
      <alignment vertical="bottom"/>
    </xf>
    <xf borderId="0" fillId="0" fontId="4" numFmtId="0" xfId="0" applyAlignment="1" applyFont="1">
      <alignment vertical="bottom"/>
    </xf>
    <xf borderId="5" fillId="0" fontId="7" numFmtId="0" xfId="0" applyAlignment="1" applyBorder="1" applyFont="1">
      <alignment horizontal="center" readingOrder="0" vertical="center"/>
    </xf>
    <xf borderId="6" fillId="0" fontId="8" numFmtId="0" xfId="0" applyBorder="1" applyFont="1"/>
    <xf borderId="0" fillId="0" fontId="5" numFmtId="0" xfId="0" applyAlignment="1" applyFont="1">
      <alignment horizontal="center" vertical="center"/>
    </xf>
    <xf borderId="0" fillId="0" fontId="5" numFmtId="0" xfId="0" applyAlignment="1" applyFont="1">
      <alignment horizontal="center" readingOrder="0" vertical="center"/>
    </xf>
    <xf borderId="5" fillId="0" fontId="9" numFmtId="0" xfId="0" applyAlignment="1" applyBorder="1" applyFont="1">
      <alignment horizontal="center" readingOrder="0" vertical="center"/>
    </xf>
    <xf borderId="5" fillId="5" fontId="5" numFmtId="0" xfId="0" applyAlignment="1" applyBorder="1" applyFill="1" applyFont="1">
      <alignment horizontal="center" readingOrder="0" vertical="center"/>
    </xf>
    <xf borderId="5" fillId="6" fontId="10" numFmtId="0" xfId="0" applyAlignment="1" applyBorder="1" applyFill="1" applyFont="1">
      <alignment horizontal="center" readingOrder="0" vertical="center"/>
    </xf>
    <xf borderId="7" fillId="6" fontId="11" numFmtId="0" xfId="0" applyAlignment="1" applyBorder="1" applyFont="1">
      <alignment readingOrder="0"/>
    </xf>
    <xf borderId="8" fillId="0" fontId="8" numFmtId="0" xfId="0" applyBorder="1" applyFont="1"/>
    <xf borderId="0" fillId="0" fontId="2" numFmtId="0" xfId="0" applyAlignment="1" applyFont="1">
      <alignment horizontal="center" vertical="center"/>
    </xf>
    <xf borderId="5" fillId="0" fontId="12" numFmtId="0" xfId="0" applyAlignment="1" applyBorder="1" applyFont="1">
      <alignment horizontal="center" readingOrder="0" shrinkToFit="0" vertical="center" wrapText="1"/>
    </xf>
    <xf borderId="9" fillId="5" fontId="13" numFmtId="0" xfId="0" applyAlignment="1" applyBorder="1" applyFont="1">
      <alignment readingOrder="0"/>
    </xf>
    <xf borderId="1" fillId="3" fontId="4" numFmtId="0" xfId="0" applyAlignment="1" applyBorder="1" applyFont="1">
      <alignment vertical="bottom"/>
    </xf>
    <xf borderId="2" fillId="3" fontId="2" numFmtId="0" xfId="0" applyAlignment="1" applyBorder="1" applyFont="1">
      <alignment vertical="bottom"/>
    </xf>
    <xf borderId="1" fillId="2" fontId="4" numFmtId="0" xfId="0" applyAlignment="1" applyBorder="1" applyFont="1">
      <alignment vertical="bottom"/>
    </xf>
    <xf borderId="2" fillId="4" fontId="2" numFmtId="0" xfId="0" applyAlignment="1" applyBorder="1" applyFont="1">
      <alignment vertical="bottom"/>
    </xf>
    <xf borderId="5" fillId="3" fontId="14" numFmtId="0" xfId="0" applyAlignment="1" applyBorder="1" applyFont="1">
      <alignment horizontal="center" readingOrder="0" shrinkToFit="0" vertical="center" wrapText="1"/>
    </xf>
    <xf borderId="5" fillId="6" fontId="15" numFmtId="0" xfId="0" applyAlignment="1" applyBorder="1" applyFont="1">
      <alignment horizontal="center" readingOrder="0" shrinkToFit="0" vertical="center" wrapText="1"/>
    </xf>
    <xf borderId="1" fillId="0" fontId="6" numFmtId="0" xfId="0" applyAlignment="1" applyBorder="1" applyFont="1">
      <alignment readingOrder="0"/>
    </xf>
    <xf borderId="2" fillId="0" fontId="5" numFmtId="0" xfId="0" applyBorder="1" applyFont="1"/>
    <xf borderId="2" fillId="2" fontId="2" numFmtId="0" xfId="0" applyAlignment="1" applyBorder="1" applyFont="1">
      <alignment vertical="bottom"/>
    </xf>
    <xf borderId="0" fillId="0" fontId="5" numFmtId="0" xfId="0" applyAlignment="1" applyFont="1">
      <alignment horizontal="left" readingOrder="0" vertical="center"/>
    </xf>
    <xf borderId="0" fillId="0" fontId="6" numFmtId="0" xfId="0" applyAlignment="1" applyFont="1">
      <alignment readingOrder="0" shrinkToFit="0" wrapText="1"/>
    </xf>
    <xf borderId="0" fillId="7" fontId="5" numFmtId="0" xfId="0" applyAlignment="1" applyFill="1" applyFont="1">
      <alignment horizontal="left" readingOrder="0" vertical="center"/>
    </xf>
    <xf borderId="0" fillId="7" fontId="5" numFmtId="0" xfId="0" applyFont="1"/>
    <xf borderId="0" fillId="0" fontId="5" numFmtId="0" xfId="0" applyAlignment="1" applyFont="1">
      <alignment readingOrder="0"/>
    </xf>
    <xf borderId="5" fillId="8" fontId="16" numFmtId="0" xfId="0" applyAlignment="1" applyBorder="1" applyFill="1" applyFont="1">
      <alignment horizontal="center" readingOrder="0" vertical="center"/>
    </xf>
    <xf borderId="5" fillId="3" fontId="17" numFmtId="0" xfId="0" applyAlignment="1" applyBorder="1" applyFont="1">
      <alignment readingOrder="0" shrinkToFit="0" vertical="bottom" wrapText="1"/>
    </xf>
    <xf borderId="5" fillId="8" fontId="18" numFmtId="0" xfId="0" applyAlignment="1" applyBorder="1" applyFont="1">
      <alignment horizontal="center" readingOrder="0" shrinkToFit="0" vertical="center" wrapText="1"/>
    </xf>
    <xf borderId="3" fillId="2" fontId="4" numFmtId="0" xfId="0" applyAlignment="1" applyBorder="1" applyFont="1">
      <alignment vertical="bottom"/>
    </xf>
    <xf borderId="3" fillId="2" fontId="2" numFmtId="0" xfId="0" applyAlignment="1" applyBorder="1" applyFont="1">
      <alignment vertical="bottom"/>
    </xf>
    <xf borderId="7" fillId="0" fontId="19" numFmtId="0" xfId="0" applyAlignment="1" applyBorder="1" applyFont="1">
      <alignment readingOrder="0"/>
    </xf>
    <xf borderId="1" fillId="3" fontId="4" numFmtId="0" xfId="0" applyAlignment="1" applyBorder="1" applyFont="1">
      <alignment vertical="bottom"/>
    </xf>
    <xf borderId="1" fillId="3" fontId="4" numFmtId="0" xfId="0" applyAlignment="1" applyBorder="1" applyFont="1">
      <alignment readingOrder="0" vertical="bottom"/>
    </xf>
    <xf borderId="2" fillId="0" fontId="8" numFmtId="0" xfId="0" applyBorder="1" applyFont="1"/>
    <xf borderId="5" fillId="0" fontId="8" numFmtId="0" xfId="0" applyBorder="1" applyFont="1"/>
    <xf borderId="0" fillId="3" fontId="2" numFmtId="0" xfId="0" applyAlignment="1" applyFont="1">
      <alignment vertical="bottom"/>
    </xf>
    <xf borderId="1" fillId="2" fontId="4" numFmtId="0" xfId="0" applyAlignment="1" applyBorder="1" applyFont="1">
      <alignment vertical="bottom"/>
    </xf>
    <xf borderId="5" fillId="6" fontId="20" numFmtId="0" xfId="0" applyAlignment="1" applyBorder="1" applyFont="1">
      <alignment readingOrder="0"/>
    </xf>
    <xf borderId="5" fillId="6" fontId="21" numFmtId="0" xfId="0" applyAlignment="1" applyBorder="1" applyFont="1">
      <alignment readingOrder="0" shrinkToFit="0" vertical="bottom" wrapText="1"/>
    </xf>
    <xf borderId="0" fillId="0" fontId="2" numFmtId="0" xfId="0" applyAlignment="1" applyFont="1">
      <alignment vertical="bottom"/>
    </xf>
    <xf borderId="5" fillId="3" fontId="22" numFmtId="0" xfId="0" applyAlignment="1" applyBorder="1" applyFont="1">
      <alignment readingOrder="0" shrinkToFit="0" vertical="bottom" wrapText="1"/>
    </xf>
    <xf borderId="5" fillId="8" fontId="23" numFmtId="0" xfId="0" applyAlignment="1" applyBorder="1" applyFont="1">
      <alignment readingOrder="0" shrinkToFit="0" vertical="bottom" wrapText="1"/>
    </xf>
    <xf borderId="5" fillId="3" fontId="24" numFmtId="0" xfId="0" applyAlignment="1" applyBorder="1" applyFont="1">
      <alignment readingOrder="0" shrinkToFit="0" wrapText="0"/>
    </xf>
    <xf borderId="5" fillId="3" fontId="25" numFmtId="0" xfId="0" applyAlignment="1" applyBorder="1" applyFont="1">
      <alignment readingOrder="0"/>
    </xf>
    <xf borderId="5" fillId="0" fontId="26" numFmtId="0" xfId="0" applyAlignment="1" applyBorder="1" applyFont="1">
      <alignment readingOrder="0"/>
    </xf>
    <xf borderId="5" fillId="3" fontId="27" numFmtId="0" xfId="0" applyAlignment="1" applyBorder="1" applyFont="1">
      <alignment readingOrder="0" vertical="bottom"/>
    </xf>
    <xf borderId="5" fillId="5" fontId="28" numFmtId="0" xfId="0" applyAlignment="1" applyBorder="1" applyFont="1">
      <alignment readingOrder="0"/>
    </xf>
    <xf borderId="5" fillId="5" fontId="29" numFmtId="0" xfId="0" applyAlignment="1" applyBorder="1" applyFont="1">
      <alignment readingOrder="0"/>
    </xf>
    <xf borderId="0" fillId="0" fontId="30" numFmtId="0" xfId="0" applyAlignment="1" applyFont="1">
      <alignment readingOrder="0"/>
    </xf>
    <xf borderId="1" fillId="9" fontId="6" numFmtId="0" xfId="0" applyAlignment="1" applyBorder="1" applyFill="1" applyFont="1">
      <alignment readingOrder="0"/>
    </xf>
    <xf borderId="2" fillId="9" fontId="5" numFmtId="0" xfId="0" applyBorder="1" applyFont="1"/>
    <xf borderId="5" fillId="9" fontId="31" numFmtId="0" xfId="0" applyAlignment="1" applyBorder="1" applyFont="1">
      <alignment readingOrder="0"/>
    </xf>
    <xf borderId="1" fillId="3" fontId="6" numFmtId="0" xfId="0" applyAlignment="1" applyBorder="1" applyFont="1">
      <alignment readingOrder="0"/>
    </xf>
    <xf borderId="2" fillId="3" fontId="5" numFmtId="0" xfId="0" applyBorder="1" applyFont="1"/>
    <xf borderId="10" fillId="0" fontId="1" numFmtId="0" xfId="0" applyAlignment="1" applyBorder="1" applyFont="1">
      <alignment horizontal="center" vertical="bottom"/>
    </xf>
    <xf borderId="11" fillId="0" fontId="2" numFmtId="0" xfId="0" applyAlignment="1" applyBorder="1" applyFont="1">
      <alignment vertical="bottom"/>
    </xf>
    <xf borderId="12" fillId="0" fontId="3" numFmtId="0" xfId="0" applyAlignment="1" applyBorder="1" applyFont="1">
      <alignment shrinkToFit="0" wrapText="1"/>
    </xf>
    <xf borderId="0" fillId="0" fontId="3" numFmtId="0" xfId="0" applyAlignment="1" applyFont="1">
      <alignment horizontal="center" readingOrder="0" vertical="bottom"/>
    </xf>
    <xf borderId="13" fillId="0" fontId="2" numFmtId="0" xfId="0" applyAlignment="1" applyBorder="1" applyFont="1">
      <alignment vertical="bottom"/>
    </xf>
    <xf borderId="12" fillId="0" fontId="8" numFmtId="0" xfId="0" applyBorder="1" applyFont="1"/>
    <xf borderId="0" fillId="0" fontId="32" numFmtId="0" xfId="0" applyAlignment="1" applyFont="1">
      <alignment horizontal="center" readingOrder="0" vertical="bottom"/>
    </xf>
    <xf borderId="0" fillId="0" fontId="33" numFmtId="0" xfId="0" applyFont="1"/>
    <xf borderId="0" fillId="4" fontId="34" numFmtId="0" xfId="0" applyAlignment="1" applyFont="1">
      <alignment horizontal="center" readingOrder="0" vertical="center"/>
    </xf>
    <xf borderId="14" fillId="0" fontId="8" numFmtId="0" xfId="0" applyBorder="1" applyFont="1"/>
    <xf borderId="0" fillId="0" fontId="3" numFmtId="0" xfId="0" applyAlignment="1" applyFont="1">
      <alignment readingOrder="0" vertical="bottom"/>
    </xf>
    <xf borderId="15" fillId="0" fontId="1" numFmtId="0" xfId="0" applyAlignment="1" applyBorder="1" applyFont="1">
      <alignment horizontal="center" vertical="bottom"/>
    </xf>
    <xf borderId="16" fillId="0" fontId="8" numFmtId="0" xfId="0" applyBorder="1" applyFont="1"/>
    <xf borderId="17" fillId="0" fontId="8" numFmtId="0" xfId="0" applyBorder="1" applyFont="1"/>
    <xf borderId="18" fillId="0" fontId="2" numFmtId="0" xfId="0" applyAlignment="1" applyBorder="1" applyFont="1">
      <alignment vertical="bottom"/>
    </xf>
    <xf borderId="15" fillId="0" fontId="3" numFmtId="0" xfId="0" applyAlignment="1" applyBorder="1" applyFont="1">
      <alignment readingOrder="0" vertical="bottom"/>
    </xf>
    <xf borderId="0" fillId="0" fontId="2" numFmtId="0" xfId="0" applyAlignment="1" applyFont="1">
      <alignment vertical="top"/>
    </xf>
    <xf borderId="13" fillId="0" fontId="35" numFmtId="0" xfId="0" applyAlignment="1" applyBorder="1" applyFont="1">
      <alignment shrinkToFit="0" vertical="top" wrapText="1"/>
    </xf>
    <xf borderId="19" fillId="0" fontId="8" numFmtId="0" xfId="0" applyBorder="1" applyFont="1"/>
    <xf borderId="18" fillId="0" fontId="8" numFmtId="0" xfId="0" applyBorder="1" applyFont="1"/>
    <xf borderId="20" fillId="0" fontId="8" numFmtId="0" xfId="0" applyBorder="1" applyFont="1"/>
    <xf borderId="21" fillId="0" fontId="8" numFmtId="0" xfId="0" applyBorder="1" applyFont="1"/>
    <xf borderId="13" fillId="0" fontId="36" numFmtId="0" xfId="0" applyAlignment="1" applyBorder="1" applyFont="1">
      <alignment shrinkToFit="0" vertical="top" wrapText="1"/>
    </xf>
    <xf borderId="0" fillId="0" fontId="37" numFmtId="0" xfId="0" applyAlignment="1" applyFont="1">
      <alignment vertical="bottom"/>
    </xf>
    <xf borderId="0" fillId="0" fontId="37" numFmtId="0" xfId="0" applyAlignment="1" applyFont="1">
      <alignment shrinkToFit="0" vertical="bottom" wrapText="0"/>
    </xf>
    <xf borderId="0" fillId="0" fontId="37" numFmtId="0" xfId="0" applyAlignment="1" applyFont="1">
      <alignment shrinkToFit="0" vertical="bottom" wrapText="0"/>
    </xf>
    <xf borderId="0" fillId="0" fontId="4" numFmtId="0" xfId="0" applyAlignment="1" applyFont="1">
      <alignment shrinkToFit="0" vertical="bottom" wrapText="0"/>
    </xf>
    <xf borderId="0" fillId="0" fontId="4" numFmtId="0" xfId="0" applyAlignment="1" applyFont="1">
      <alignment shrinkToFit="0" vertical="bottom" wrapText="0"/>
    </xf>
    <xf borderId="0" fillId="0" fontId="37" numFmtId="0" xfId="0" applyAlignment="1" applyFont="1">
      <alignment readingOrder="0" shrinkToFit="0" vertical="bottom" wrapText="0"/>
    </xf>
    <xf borderId="0" fillId="0" fontId="2" numFmtId="0" xfId="0" applyAlignment="1" applyFont="1">
      <alignment shrinkToFit="0" vertical="bottom" wrapText="0"/>
    </xf>
    <xf borderId="0" fillId="0" fontId="38" numFmtId="0" xfId="0" applyAlignment="1" applyFont="1">
      <alignment readingOrder="0" shrinkToFit="0" wrapText="0"/>
    </xf>
    <xf borderId="0" fillId="0" fontId="38" numFmtId="0" xfId="0" applyAlignment="1" applyFont="1">
      <alignment readingOrder="0"/>
    </xf>
    <xf borderId="0" fillId="0" fontId="39" numFmtId="0" xfId="0" applyAlignment="1" applyFont="1">
      <alignment readingOrder="0" shrinkToFit="0" wrapText="0"/>
    </xf>
    <xf borderId="0" fillId="0" fontId="2" numFmtId="0" xfId="0" applyAlignment="1" applyFont="1">
      <alignment shrinkToFit="0" vertical="bottom" wrapText="0"/>
    </xf>
    <xf borderId="0" fillId="0" fontId="40" numFmtId="0" xfId="0" applyAlignment="1" applyFont="1">
      <alignment shrinkToFit="0" vertical="bottom" wrapText="0"/>
    </xf>
    <xf borderId="0" fillId="0" fontId="2" numFmtId="0" xfId="0" applyAlignment="1" applyFont="1">
      <alignment readingOrder="0" shrinkToFit="0" vertical="bottom" wrapText="0"/>
    </xf>
    <xf borderId="0" fillId="0" fontId="41" numFmtId="0" xfId="0" applyAlignment="1" applyFont="1">
      <alignment readingOrder="0"/>
    </xf>
    <xf borderId="0" fillId="0" fontId="38" numFmtId="0" xfId="0" applyFont="1"/>
    <xf borderId="0" fillId="0" fontId="2" numFmtId="0" xfId="0" applyAlignment="1" applyFont="1">
      <alignment horizontal="left" readingOrder="0" shrinkToFit="0" vertical="bottom" wrapText="0"/>
    </xf>
    <xf borderId="0" fillId="0" fontId="42" numFmtId="0" xfId="0" applyAlignment="1" applyFont="1">
      <alignment readingOrder="0"/>
    </xf>
    <xf borderId="0" fillId="0" fontId="38" numFmtId="0" xfId="0" applyAlignment="1" applyFont="1">
      <alignment shrinkToFit="0" wrapText="0"/>
    </xf>
    <xf borderId="0" fillId="0" fontId="43" numFmtId="0" xfId="0" applyAlignment="1" applyFont="1">
      <alignment readingOrder="0" shrinkToFit="0" vertical="bottom" wrapText="0"/>
    </xf>
    <xf borderId="0" fillId="0" fontId="44" numFmtId="0" xfId="0" applyAlignment="1" applyFont="1">
      <alignment shrinkToFit="0" vertical="bottom" wrapText="0"/>
    </xf>
    <xf borderId="0" fillId="0" fontId="45" numFmtId="0" xfId="0" applyAlignment="1" applyFont="1">
      <alignment readingOrder="0" shrinkToFit="0" wrapText="0"/>
    </xf>
    <xf borderId="0" fillId="0" fontId="46" numFmtId="0" xfId="0" applyAlignment="1" applyFont="1">
      <alignment readingOrder="0" shrinkToFit="0" wrapText="0"/>
    </xf>
    <xf borderId="0" fillId="0" fontId="38" numFmtId="0" xfId="0" applyAlignment="1" applyFont="1">
      <alignment readingOrder="0" shrinkToFit="0" wrapText="0"/>
    </xf>
    <xf borderId="0" fillId="0" fontId="47" numFmtId="0" xfId="0" applyAlignment="1" applyFont="1">
      <alignment readingOrder="0" shrinkToFit="0" wrapText="0"/>
    </xf>
    <xf borderId="0" fillId="0" fontId="38" numFmtId="0" xfId="0" applyAlignment="1" applyFont="1">
      <alignment shrinkToFit="0" wrapText="0"/>
    </xf>
    <xf borderId="0" fillId="0" fontId="37" numFmtId="0" xfId="0" applyAlignment="1" applyFont="1">
      <alignment readingOrder="0"/>
    </xf>
    <xf borderId="0" fillId="0" fontId="48" numFmtId="0" xfId="0" applyAlignment="1" applyFont="1">
      <alignment readingOrder="0"/>
    </xf>
    <xf borderId="0" fillId="0" fontId="5" numFmtId="0" xfId="0" applyAlignment="1" applyFont="1">
      <alignment horizontal="left" readingOrder="0" shrinkToFit="0" vertical="center" wrapText="1"/>
    </xf>
    <xf borderId="0" fillId="0" fontId="5" numFmtId="0" xfId="0" applyAlignment="1" applyFont="1">
      <alignment readingOrder="0" shrinkToFit="0" vertical="center" wrapText="0"/>
    </xf>
    <xf borderId="0" fillId="0" fontId="5" numFmtId="0" xfId="0" applyAlignment="1" applyFont="1">
      <alignment readingOrder="0" shrinkToFit="0" vertical="center" wrapText="0"/>
    </xf>
    <xf borderId="0" fillId="0" fontId="49" numFmtId="0" xfId="0" applyAlignment="1" applyFont="1">
      <alignment readingOrder="0" shrinkToFit="0" vertical="center" wrapText="0"/>
    </xf>
    <xf borderId="0" fillId="0" fontId="5" numFmtId="0" xfId="0" applyAlignment="1" applyFont="1">
      <alignment readingOrder="0" shrinkToFit="0" vertical="center" wrapText="0"/>
    </xf>
    <xf borderId="0" fillId="0" fontId="5" numFmtId="0" xfId="0" applyAlignment="1" applyFont="1">
      <alignment shrinkToFit="0" vertical="center" wrapText="0"/>
    </xf>
    <xf borderId="22" fillId="10" fontId="50" numFmtId="0" xfId="0" applyAlignment="1" applyBorder="1" applyFill="1" applyFont="1">
      <alignment horizontal="center" readingOrder="0" vertical="bottom"/>
    </xf>
    <xf borderId="23" fillId="0" fontId="8" numFmtId="0" xfId="0" applyBorder="1" applyFont="1"/>
    <xf borderId="24" fillId="0" fontId="8" numFmtId="0" xfId="0" applyBorder="1" applyFont="1"/>
    <xf borderId="25" fillId="10" fontId="51" numFmtId="0" xfId="0" applyAlignment="1" applyBorder="1" applyFont="1">
      <alignment horizontal="center" vertical="bottom"/>
    </xf>
    <xf borderId="26" fillId="2" fontId="52" numFmtId="167" xfId="0" applyAlignment="1" applyBorder="1" applyFont="1" applyNumberFormat="1">
      <alignment horizontal="center" shrinkToFit="0" vertical="bottom" wrapText="1"/>
    </xf>
    <xf borderId="26" fillId="2" fontId="52" numFmtId="168" xfId="0" applyAlignment="1" applyBorder="1" applyFont="1" applyNumberFormat="1">
      <alignment horizontal="center" shrinkToFit="0" vertical="bottom" wrapText="1"/>
    </xf>
    <xf borderId="26" fillId="2" fontId="52" numFmtId="3" xfId="0" applyAlignment="1" applyBorder="1" applyFont="1" applyNumberFormat="1">
      <alignment horizontal="center" shrinkToFit="0" vertical="bottom" wrapText="1"/>
    </xf>
    <xf borderId="26" fillId="2" fontId="52" numFmtId="164" xfId="0" applyAlignment="1" applyBorder="1" applyFont="1" applyNumberFormat="1">
      <alignment horizontal="center" shrinkToFit="0" vertical="bottom" wrapText="1"/>
    </xf>
    <xf borderId="27" fillId="9" fontId="52" numFmtId="3" xfId="0" applyAlignment="1" applyBorder="1" applyFont="1" applyNumberFormat="1">
      <alignment horizontal="center" shrinkToFit="0" vertical="bottom" wrapText="1"/>
    </xf>
    <xf borderId="26" fillId="9" fontId="52" numFmtId="164" xfId="0" applyAlignment="1" applyBorder="1" applyFont="1" applyNumberFormat="1">
      <alignment horizontal="center" shrinkToFit="0" vertical="bottom" wrapText="1"/>
    </xf>
    <xf borderId="26" fillId="2" fontId="52" numFmtId="0" xfId="0" applyAlignment="1" applyBorder="1" applyFont="1">
      <alignment horizontal="center" shrinkToFit="0" vertical="bottom" wrapText="1"/>
    </xf>
    <xf borderId="26" fillId="2" fontId="52" numFmtId="4" xfId="0" applyAlignment="1" applyBorder="1" applyFont="1" applyNumberFormat="1">
      <alignment horizontal="center" shrinkToFit="0" vertical="bottom" wrapText="1"/>
    </xf>
    <xf borderId="3" fillId="0" fontId="53" numFmtId="3" xfId="0" applyAlignment="1" applyBorder="1" applyFont="1" applyNumberFormat="1">
      <alignment horizontal="center" vertical="top"/>
    </xf>
    <xf borderId="3" fillId="9" fontId="53" numFmtId="169" xfId="0" applyAlignment="1" applyBorder="1" applyFont="1" applyNumberFormat="1">
      <alignment horizontal="center" vertical="bottom"/>
    </xf>
    <xf borderId="3" fillId="9" fontId="53" numFmtId="10" xfId="0" applyAlignment="1" applyBorder="1" applyFont="1" applyNumberFormat="1">
      <alignment horizontal="center" vertical="bottom"/>
    </xf>
    <xf borderId="3" fillId="9" fontId="53" numFmtId="165" xfId="0" applyAlignment="1" applyBorder="1" applyFont="1" applyNumberFormat="1">
      <alignment horizontal="center" vertical="bottom"/>
    </xf>
    <xf borderId="3" fillId="9" fontId="53" numFmtId="4" xfId="0" applyAlignment="1" applyBorder="1" applyFont="1" applyNumberFormat="1">
      <alignment horizontal="center" vertical="bottom"/>
    </xf>
    <xf borderId="28" fillId="11" fontId="51" numFmtId="0" xfId="0" applyAlignment="1" applyBorder="1" applyFill="1" applyFont="1">
      <alignment horizontal="center" vertical="bottom"/>
    </xf>
    <xf borderId="29" fillId="11" fontId="54" numFmtId="3" xfId="0" applyAlignment="1" applyBorder="1" applyFont="1" applyNumberFormat="1">
      <alignment horizontal="center" vertical="bottom"/>
    </xf>
    <xf borderId="29" fillId="11" fontId="54" numFmtId="168" xfId="0" applyAlignment="1" applyBorder="1" applyFont="1" applyNumberFormat="1">
      <alignment horizontal="center" vertical="bottom"/>
    </xf>
    <xf borderId="29" fillId="11" fontId="54" numFmtId="10" xfId="0" applyAlignment="1" applyBorder="1" applyFont="1" applyNumberFormat="1">
      <alignment horizontal="center" vertical="bottom"/>
    </xf>
    <xf borderId="29" fillId="11" fontId="54" numFmtId="164" xfId="0" applyAlignment="1" applyBorder="1" applyFont="1" applyNumberFormat="1">
      <alignment horizontal="center" vertical="bottom"/>
    </xf>
    <xf borderId="29" fillId="11" fontId="54" numFmtId="165" xfId="0" applyAlignment="1" applyBorder="1" applyFont="1" applyNumberFormat="1">
      <alignment horizontal="center" vertical="bottom"/>
    </xf>
    <xf borderId="29" fillId="11" fontId="54" numFmtId="4" xfId="0" applyAlignment="1" applyBorder="1" applyFont="1" applyNumberFormat="1">
      <alignment horizontal="center" vertical="bottom"/>
    </xf>
    <xf borderId="29" fillId="11" fontId="54" numFmtId="169" xfId="0" applyAlignment="1" applyBorder="1" applyFont="1" applyNumberFormat="1">
      <alignment horizontal="center" vertical="bottom"/>
    </xf>
    <xf borderId="0" fillId="0" fontId="2" numFmtId="170" xfId="0" applyAlignment="1" applyFont="1" applyNumberFormat="1">
      <alignment vertical="bottom"/>
    </xf>
    <xf borderId="0" fillId="0" fontId="2" numFmtId="167" xfId="0" applyAlignment="1" applyFont="1" applyNumberFormat="1">
      <alignment vertical="bottom"/>
    </xf>
    <xf borderId="0" fillId="0" fontId="2" numFmtId="168" xfId="0" applyAlignment="1" applyFont="1" applyNumberFormat="1">
      <alignment vertical="bottom"/>
    </xf>
    <xf borderId="0" fillId="0" fontId="2" numFmtId="3" xfId="0" applyAlignment="1" applyFont="1" applyNumberFormat="1">
      <alignment vertical="bottom"/>
    </xf>
    <xf borderId="0" fillId="0" fontId="2" numFmtId="164" xfId="0" applyAlignment="1" applyFont="1" applyNumberFormat="1">
      <alignment vertical="bottom"/>
    </xf>
    <xf borderId="0" fillId="0" fontId="2" numFmtId="165" xfId="0" applyAlignment="1" applyFont="1" applyNumberFormat="1">
      <alignment vertical="bottom"/>
    </xf>
    <xf borderId="30" fillId="9" fontId="2" numFmtId="171" xfId="0" applyAlignment="1" applyBorder="1" applyFont="1" applyNumberFormat="1">
      <alignment vertical="bottom"/>
    </xf>
    <xf borderId="30" fillId="9" fontId="2" numFmtId="168" xfId="0" applyAlignment="1" applyBorder="1" applyFont="1" applyNumberFormat="1">
      <alignment vertical="bottom"/>
    </xf>
    <xf borderId="31" fillId="12" fontId="50" numFmtId="0" xfId="0" applyAlignment="1" applyBorder="1" applyFill="1" applyFont="1">
      <alignment horizontal="center"/>
    </xf>
    <xf borderId="32" fillId="0" fontId="8" numFmtId="0" xfId="0" applyBorder="1" applyFont="1"/>
    <xf borderId="33" fillId="0" fontId="8" numFmtId="0" xfId="0" applyBorder="1" applyFont="1"/>
    <xf borderId="34" fillId="0" fontId="8" numFmtId="0" xfId="0" applyBorder="1" applyFont="1"/>
    <xf borderId="35" fillId="0" fontId="8" numFmtId="0" xfId="0" applyBorder="1" applyFont="1"/>
    <xf borderId="36" fillId="0" fontId="8" numFmtId="0" xfId="0" applyBorder="1" applyFont="1"/>
    <xf borderId="26" fillId="2" fontId="52" numFmtId="172" xfId="0" applyAlignment="1" applyBorder="1" applyFont="1" applyNumberFormat="1">
      <alignment horizontal="center" shrinkToFit="0" vertical="bottom" wrapText="1"/>
    </xf>
    <xf borderId="27" fillId="2" fontId="52" numFmtId="3" xfId="0" applyAlignment="1" applyBorder="1" applyFont="1" applyNumberFormat="1">
      <alignment horizontal="center" shrinkToFit="0" vertical="bottom" wrapText="1"/>
    </xf>
    <xf borderId="37" fillId="2" fontId="52" numFmtId="4" xfId="0" applyAlignment="1" applyBorder="1" applyFont="1" applyNumberFormat="1">
      <alignment horizontal="center" shrinkToFit="0" vertical="bottom" wrapText="1"/>
    </xf>
    <xf borderId="38" fillId="2" fontId="52" numFmtId="168" xfId="0" applyAlignment="1" applyBorder="1" applyFont="1" applyNumberFormat="1">
      <alignment horizontal="center" shrinkToFit="0" vertical="bottom" wrapText="1"/>
    </xf>
    <xf borderId="38" fillId="2" fontId="52" numFmtId="167" xfId="0" applyAlignment="1" applyBorder="1" applyFont="1" applyNumberFormat="1">
      <alignment horizontal="center" shrinkToFit="0" vertical="bottom" wrapText="1"/>
    </xf>
    <xf borderId="3" fillId="9" fontId="53" numFmtId="173" xfId="0" applyAlignment="1" applyBorder="1" applyFont="1" applyNumberFormat="1">
      <alignment horizontal="center" readingOrder="0" vertical="bottom"/>
    </xf>
    <xf borderId="3" fillId="0" fontId="53" numFmtId="3" xfId="0" applyAlignment="1" applyBorder="1" applyFont="1" applyNumberFormat="1">
      <alignment horizontal="center" readingOrder="0" vertical="top"/>
    </xf>
    <xf borderId="3" fillId="9" fontId="53" numFmtId="4" xfId="0" applyAlignment="1" applyBorder="1" applyFont="1" applyNumberFormat="1">
      <alignment horizontal="center" readingOrder="0" vertical="bottom"/>
    </xf>
    <xf borderId="3" fillId="9" fontId="53" numFmtId="165" xfId="0" applyAlignment="1" applyBorder="1" applyFont="1" applyNumberFormat="1">
      <alignment horizontal="center" readingOrder="0" vertical="bottom"/>
    </xf>
    <xf borderId="3" fillId="0" fontId="2" numFmtId="4" xfId="0" applyAlignment="1" applyBorder="1" applyFont="1" applyNumberFormat="1">
      <alignment vertical="top"/>
    </xf>
    <xf borderId="3" fillId="0" fontId="53" numFmtId="169" xfId="0" applyAlignment="1" applyBorder="1" applyFont="1" applyNumberFormat="1">
      <alignment horizontal="center" vertical="bottom"/>
    </xf>
    <xf borderId="3" fillId="0" fontId="53" numFmtId="10" xfId="0" applyAlignment="1" applyBorder="1" applyFont="1" applyNumberFormat="1">
      <alignment horizontal="center" vertical="bottom"/>
    </xf>
    <xf borderId="3" fillId="0" fontId="53" numFmtId="165" xfId="0" applyAlignment="1" applyBorder="1" applyFont="1" applyNumberFormat="1">
      <alignment horizontal="center" vertical="bottom"/>
    </xf>
    <xf borderId="3" fillId="0" fontId="53" numFmtId="4" xfId="0" applyAlignment="1" applyBorder="1" applyFont="1" applyNumberFormat="1">
      <alignment horizontal="center" readingOrder="0" vertical="bottom"/>
    </xf>
    <xf borderId="3" fillId="0" fontId="53" numFmtId="169" xfId="0" applyAlignment="1" applyBorder="1" applyFont="1" applyNumberFormat="1">
      <alignment horizontal="center" readingOrder="0" vertical="bottom"/>
    </xf>
    <xf borderId="3" fillId="9" fontId="53" numFmtId="169" xfId="0" applyAlignment="1" applyBorder="1" applyFont="1" applyNumberFormat="1">
      <alignment horizontal="center" readingOrder="0" vertical="bottom"/>
    </xf>
    <xf borderId="29" fillId="11" fontId="51" numFmtId="170" xfId="0" applyAlignment="1" applyBorder="1" applyFont="1" applyNumberFormat="1">
      <alignment horizontal="center" vertical="bottom"/>
    </xf>
    <xf borderId="39" fillId="11" fontId="54" numFmtId="4" xfId="0" applyAlignment="1" applyBorder="1" applyFont="1" applyNumberFormat="1">
      <alignment horizontal="center" vertical="bottom"/>
    </xf>
    <xf borderId="40" fillId="11" fontId="54" numFmtId="169" xfId="0" applyAlignment="1" applyBorder="1" applyFont="1" applyNumberFormat="1">
      <alignment horizontal="center" vertical="bottom"/>
    </xf>
    <xf borderId="40" fillId="11" fontId="2" numFmtId="0" xfId="0" applyAlignment="1" applyBorder="1" applyFont="1">
      <alignment vertical="bottom"/>
    </xf>
    <xf borderId="0" fillId="9" fontId="2" numFmtId="170" xfId="0" applyAlignment="1" applyFont="1" applyNumberFormat="1">
      <alignment vertical="bottom"/>
    </xf>
    <xf borderId="0" fillId="0" fontId="2" numFmtId="3" xfId="0" applyAlignment="1" applyFont="1" applyNumberFormat="1">
      <alignment vertical="top"/>
    </xf>
    <xf borderId="0" fillId="0" fontId="2" numFmtId="169" xfId="0" applyAlignment="1" applyFont="1" applyNumberFormat="1">
      <alignment vertical="bottom"/>
    </xf>
    <xf borderId="0" fillId="0" fontId="2" numFmtId="10" xfId="0" applyAlignment="1" applyFont="1" applyNumberFormat="1">
      <alignment vertical="bottom"/>
    </xf>
    <xf borderId="0" fillId="0" fontId="2" numFmtId="4" xfId="0" applyAlignment="1" applyFont="1" applyNumberFormat="1">
      <alignment vertical="bottom"/>
    </xf>
    <xf borderId="7" fillId="13" fontId="55" numFmtId="0" xfId="0" applyAlignment="1" applyBorder="1" applyFill="1" applyFont="1">
      <alignment horizontal="center" readingOrder="0" shrinkToFit="0" wrapText="1"/>
    </xf>
    <xf borderId="41" fillId="0" fontId="8" numFmtId="0" xfId="0" applyBorder="1" applyFont="1"/>
    <xf borderId="3" fillId="13" fontId="55" numFmtId="0" xfId="0" applyAlignment="1" applyBorder="1" applyFont="1">
      <alignment horizontal="center" shrinkToFit="0" vertical="bottom" wrapText="1"/>
    </xf>
    <xf borderId="3" fillId="13" fontId="55" numFmtId="174" xfId="0" applyAlignment="1" applyBorder="1" applyFont="1" applyNumberFormat="1">
      <alignment horizontal="center" readingOrder="0" shrinkToFit="0" vertical="bottom" wrapText="1"/>
    </xf>
    <xf borderId="3" fillId="13" fontId="4" numFmtId="0" xfId="0" applyAlignment="1" applyBorder="1" applyFont="1">
      <alignment horizontal="center" vertical="bottom"/>
    </xf>
    <xf borderId="3" fillId="5" fontId="4" numFmtId="0" xfId="0" applyAlignment="1" applyBorder="1" applyFont="1">
      <alignment horizontal="center" readingOrder="0" vertical="bottom"/>
    </xf>
    <xf borderId="3" fillId="5" fontId="2" numFmtId="0" xfId="0" applyAlignment="1" applyBorder="1" applyFont="1">
      <alignment horizontal="center" readingOrder="0" vertical="bottom"/>
    </xf>
    <xf borderId="3" fillId="5" fontId="4" numFmtId="0" xfId="0" applyAlignment="1" applyBorder="1" applyFont="1">
      <alignment horizontal="center" vertical="bottom"/>
    </xf>
    <xf borderId="3" fillId="5" fontId="5" numFmtId="0" xfId="0" applyAlignment="1" applyBorder="1" applyFont="1">
      <alignment horizontal="center" readingOrder="0"/>
    </xf>
    <xf borderId="3" fillId="5" fontId="2" numFmtId="0" xfId="0" applyAlignment="1" applyBorder="1" applyFont="1">
      <alignment horizontal="center" vertical="bottom"/>
    </xf>
    <xf borderId="3" fillId="0" fontId="4" numFmtId="0" xfId="0" applyAlignment="1" applyBorder="1" applyFont="1">
      <alignment horizontal="center" vertical="bottom"/>
    </xf>
    <xf borderId="3" fillId="5" fontId="2" numFmtId="3" xfId="0" applyAlignment="1" applyBorder="1" applyFont="1" applyNumberFormat="1">
      <alignment horizontal="center" readingOrder="0" vertical="bottom"/>
    </xf>
    <xf borderId="3" fillId="5" fontId="4" numFmtId="3" xfId="0" applyAlignment="1" applyBorder="1" applyFont="1" applyNumberFormat="1">
      <alignment horizontal="center" readingOrder="0" vertical="bottom"/>
    </xf>
    <xf borderId="3" fillId="0" fontId="2" numFmtId="9" xfId="0" applyAlignment="1" applyBorder="1" applyFont="1" applyNumberFormat="1">
      <alignment vertical="bottom"/>
    </xf>
    <xf borderId="3" fillId="0" fontId="2" numFmtId="9" xfId="0" applyAlignment="1" applyBorder="1" applyFont="1" applyNumberFormat="1">
      <alignment horizontal="center" vertical="bottom"/>
    </xf>
    <xf borderId="3" fillId="5" fontId="4" numFmtId="168" xfId="0" applyAlignment="1" applyBorder="1" applyFont="1" applyNumberFormat="1">
      <alignment horizontal="center" vertical="bottom"/>
    </xf>
    <xf borderId="3" fillId="5" fontId="2" numFmtId="168" xfId="0" applyAlignment="1" applyBorder="1" applyFont="1" applyNumberFormat="1">
      <alignment horizontal="center" readingOrder="0" vertical="bottom"/>
    </xf>
    <xf borderId="3" fillId="5" fontId="2" numFmtId="169" xfId="0" applyAlignment="1" applyBorder="1" applyFont="1" applyNumberFormat="1">
      <alignment horizontal="center" readingOrder="0" vertical="bottom"/>
    </xf>
    <xf borderId="3" fillId="0" fontId="2" numFmtId="165" xfId="0" applyAlignment="1" applyBorder="1" applyFont="1" applyNumberFormat="1">
      <alignment horizontal="center" vertical="bottom"/>
    </xf>
    <xf borderId="3" fillId="5" fontId="2" numFmtId="165" xfId="0" applyAlignment="1" applyBorder="1" applyFont="1" applyNumberFormat="1">
      <alignment horizontal="center" vertical="bottom"/>
    </xf>
    <xf borderId="3" fillId="0" fontId="2" numFmtId="10" xfId="0" applyAlignment="1" applyBorder="1" applyFont="1" applyNumberFormat="1">
      <alignment horizontal="center" readingOrder="0" vertical="bottom"/>
    </xf>
    <xf borderId="3" fillId="0" fontId="2" numFmtId="0" xfId="0" applyAlignment="1" applyBorder="1" applyFont="1">
      <alignment horizontal="center" readingOrder="0" vertical="bottom"/>
    </xf>
    <xf borderId="3" fillId="5" fontId="2" numFmtId="9" xfId="0" applyAlignment="1" applyBorder="1" applyFont="1" applyNumberFormat="1">
      <alignment horizontal="center" readingOrder="0" vertical="bottom"/>
    </xf>
    <xf borderId="3" fillId="0" fontId="2" numFmtId="1" xfId="0" applyAlignment="1" applyBorder="1" applyFont="1" applyNumberFormat="1">
      <alignment horizontal="center" readingOrder="0" vertical="bottom"/>
    </xf>
    <xf borderId="3" fillId="0" fontId="2" numFmtId="9" xfId="0" applyAlignment="1" applyBorder="1" applyFont="1" applyNumberFormat="1">
      <alignment horizontal="center" readingOrder="0" vertical="bottom"/>
    </xf>
    <xf borderId="3" fillId="5" fontId="4" numFmtId="9" xfId="0" applyAlignment="1" applyBorder="1" applyFont="1" applyNumberFormat="1">
      <alignment horizontal="center" vertical="bottom"/>
    </xf>
    <xf borderId="0" fillId="0" fontId="4" numFmtId="0" xfId="0" applyAlignment="1" applyFont="1">
      <alignment readingOrder="0" vertical="bottom"/>
    </xf>
    <xf borderId="0" fillId="0" fontId="4" numFmtId="49" xfId="0" applyAlignment="1" applyFont="1" applyNumberFormat="1">
      <alignment readingOrder="0" shrinkToFit="0" vertical="bottom" wrapText="0"/>
    </xf>
    <xf borderId="0" fillId="0" fontId="4" numFmtId="0" xfId="0" applyAlignment="1" applyFont="1">
      <alignment horizontal="right" readingOrder="0" vertical="bottom"/>
    </xf>
    <xf borderId="0" fillId="0" fontId="56" numFmtId="0" xfId="0" applyAlignment="1" applyFont="1">
      <alignment readingOrder="0" shrinkToFit="0" vertical="bottom" wrapText="0"/>
    </xf>
    <xf borderId="0" fillId="0" fontId="56" numFmtId="0" xfId="0" applyAlignment="1" applyFont="1">
      <alignment horizontal="right" readingOrder="0" shrinkToFit="0" vertical="bottom" wrapText="0"/>
    </xf>
    <xf borderId="0" fillId="0" fontId="56" numFmtId="49" xfId="0" applyAlignment="1" applyFont="1" applyNumberFormat="1">
      <alignment readingOrder="0" shrinkToFit="0" vertical="bottom" wrapText="0"/>
    </xf>
    <xf borderId="0" fillId="0" fontId="56" numFmtId="49" xfId="0" applyAlignment="1" applyFont="1" applyNumberFormat="1">
      <alignment horizontal="right" readingOrder="0" shrinkToFit="0" vertical="bottom" wrapText="0"/>
    </xf>
    <xf borderId="0" fillId="0" fontId="57" numFmtId="0" xfId="0" applyAlignment="1" applyFont="1">
      <alignment shrinkToFit="0" vertical="bottom" wrapText="0"/>
    </xf>
    <xf borderId="7" fillId="0" fontId="58" numFmtId="0" xfId="0" applyAlignment="1" applyBorder="1" applyFont="1">
      <alignment horizontal="center" readingOrder="0" vertical="bottom"/>
    </xf>
    <xf borderId="3" fillId="0" fontId="58" numFmtId="0" xfId="0" applyAlignment="1" applyBorder="1" applyFont="1">
      <alignment horizontal="center" vertical="bottom"/>
    </xf>
    <xf borderId="0" fillId="0" fontId="6" numFmtId="0" xfId="0" applyAlignment="1" applyFont="1">
      <alignment horizontal="center" readingOrder="0"/>
    </xf>
    <xf borderId="3" fillId="0" fontId="58" numFmtId="0" xfId="0" applyAlignment="1" applyBorder="1" applyFont="1">
      <alignment horizontal="center" readingOrder="0" vertical="bottom"/>
    </xf>
    <xf borderId="0" fillId="3" fontId="6" numFmtId="0" xfId="0" applyAlignment="1" applyFont="1">
      <alignment horizontal="center" readingOrder="0" vertical="center"/>
    </xf>
    <xf borderId="0" fillId="14" fontId="6" numFmtId="0" xfId="0" applyAlignment="1" applyFill="1" applyFont="1">
      <alignment horizontal="center" readingOrder="0" vertical="center"/>
    </xf>
    <xf borderId="0" fillId="4" fontId="6" numFmtId="0" xfId="0" applyAlignment="1" applyFont="1">
      <alignment horizontal="center" readingOrder="0" vertical="center"/>
    </xf>
    <xf borderId="3" fillId="0" fontId="59" numFmtId="20" xfId="0" applyAlignment="1" applyBorder="1" applyFont="1" applyNumberFormat="1">
      <alignment horizontal="center" readingOrder="0" vertical="bottom"/>
    </xf>
    <xf borderId="3" fillId="0" fontId="59" numFmtId="0" xfId="0" applyAlignment="1" applyBorder="1" applyFont="1">
      <alignment horizontal="center" readingOrder="0" vertical="bottom"/>
    </xf>
    <xf borderId="3" fillId="0" fontId="2" numFmtId="10" xfId="0" applyAlignment="1" applyBorder="1" applyFont="1" applyNumberFormat="1">
      <alignment horizontal="center" vertical="center"/>
    </xf>
    <xf borderId="3" fillId="0" fontId="59" numFmtId="10" xfId="0" applyAlignment="1" applyBorder="1" applyFont="1" applyNumberFormat="1">
      <alignment horizontal="center" vertical="bottom"/>
    </xf>
    <xf borderId="0" fillId="0" fontId="5" numFmtId="1" xfId="0" applyAlignment="1" applyFont="1" applyNumberFormat="1">
      <alignment horizontal="center"/>
    </xf>
    <xf borderId="0" fillId="0" fontId="59" numFmtId="0" xfId="0" applyAlignment="1" applyFont="1">
      <alignment horizontal="center" readingOrder="0" vertical="bottom"/>
    </xf>
    <xf borderId="0" fillId="0" fontId="5" numFmtId="10" xfId="0" applyAlignment="1" applyFont="1" applyNumberFormat="1">
      <alignment readingOrder="0"/>
    </xf>
    <xf borderId="3" fillId="0" fontId="59" numFmtId="10" xfId="0" applyAlignment="1" applyBorder="1" applyFont="1" applyNumberFormat="1">
      <alignment horizontal="center" readingOrder="0" vertical="bottom"/>
    </xf>
    <xf borderId="0" fillId="0" fontId="5" numFmtId="1" xfId="0" applyAlignment="1" applyFont="1" applyNumberFormat="1">
      <alignment readingOrder="0"/>
    </xf>
    <xf borderId="3" fillId="0" fontId="2" numFmtId="10" xfId="0" applyAlignment="1" applyBorder="1" applyFont="1" applyNumberFormat="1">
      <alignment vertical="bottom"/>
    </xf>
    <xf borderId="0" fillId="0" fontId="5" numFmtId="164" xfId="0" applyFont="1" applyNumberFormat="1"/>
    <xf borderId="3" fillId="0" fontId="2" numFmtId="20" xfId="0" applyAlignment="1" applyBorder="1" applyFont="1" applyNumberFormat="1">
      <alignment vertical="bottom"/>
    </xf>
    <xf borderId="0" fillId="14" fontId="5" numFmtId="0" xfId="0" applyAlignment="1" applyFont="1">
      <alignment readingOrder="0"/>
    </xf>
    <xf borderId="3" fillId="0" fontId="59" numFmtId="0" xfId="0" applyAlignment="1" applyBorder="1" applyFont="1">
      <alignment horizontal="center" vertical="bottom"/>
    </xf>
    <xf borderId="3" fillId="0" fontId="2" numFmtId="20" xfId="0" applyAlignment="1" applyBorder="1" applyFont="1" applyNumberFormat="1">
      <alignment horizontal="center" vertical="center"/>
    </xf>
    <xf borderId="0" fillId="0" fontId="59" numFmtId="0" xfId="0" applyAlignment="1" applyFont="1">
      <alignment horizontal="center"/>
    </xf>
    <xf borderId="0" fillId="0" fontId="57" numFmtId="0" xfId="0" applyAlignment="1" applyFont="1">
      <alignment readingOrder="0" shrinkToFit="0" vertical="bottom" wrapText="0"/>
    </xf>
    <xf borderId="0" fillId="0" fontId="57" numFmtId="0" xfId="0" applyAlignment="1" applyFont="1">
      <alignment horizontal="right" readingOrder="0" shrinkToFit="0" vertical="bottom" wrapText="0"/>
    </xf>
    <xf borderId="0" fillId="0" fontId="57" numFmtId="11" xfId="0" applyAlignment="1" applyFont="1" applyNumberFormat="1">
      <alignment horizontal="right" readingOrder="0" shrinkToFit="0" vertical="bottom" wrapText="0"/>
    </xf>
    <xf borderId="0" fillId="0" fontId="60" numFmtId="0" xfId="0" applyAlignment="1" applyFont="1">
      <alignment readingOrder="0" shrinkToFit="0" vertical="bottom" wrapText="0"/>
    </xf>
    <xf borderId="0" fillId="0" fontId="61" numFmtId="0" xfId="0" applyAlignment="1" applyFont="1">
      <alignment readingOrder="0" shrinkToFit="0" vertical="bottom" wrapText="0"/>
    </xf>
    <xf borderId="0" fillId="0" fontId="57" numFmtId="0" xfId="0" applyAlignment="1" applyFont="1">
      <alignment shrinkToFit="0" vertical="bottom" wrapText="0"/>
    </xf>
    <xf borderId="0" fillId="2" fontId="4" numFmtId="0" xfId="0" applyAlignment="1" applyFont="1">
      <alignment horizontal="center" readingOrder="0" vertical="bottom"/>
    </xf>
    <xf borderId="0" fillId="2" fontId="4" numFmtId="0" xfId="0" applyAlignment="1" applyFont="1">
      <alignment horizontal="center" vertical="bottom"/>
    </xf>
    <xf borderId="0" fillId="2" fontId="62" numFmtId="0" xfId="0" applyAlignment="1" applyFont="1">
      <alignment horizontal="center" readingOrder="0" vertical="bottom"/>
    </xf>
    <xf borderId="0" fillId="2" fontId="4" numFmtId="0" xfId="0" applyAlignment="1" applyFont="1">
      <alignment horizontal="center" vertical="bottom"/>
    </xf>
    <xf borderId="0" fillId="2" fontId="4" numFmtId="164" xfId="0" applyAlignment="1" applyFont="1" applyNumberFormat="1">
      <alignment horizontal="center" vertical="bottom"/>
    </xf>
    <xf borderId="0" fillId="2" fontId="4" numFmtId="165" xfId="0" applyAlignment="1" applyFont="1" applyNumberFormat="1">
      <alignment horizontal="center" vertical="bottom"/>
    </xf>
    <xf borderId="0" fillId="2" fontId="4" numFmtId="165" xfId="0" applyAlignment="1" applyFont="1" applyNumberFormat="1">
      <alignment horizontal="center" vertical="bottom"/>
    </xf>
    <xf borderId="3" fillId="2" fontId="4" numFmtId="0" xfId="0" applyAlignment="1" applyBorder="1" applyFont="1">
      <alignment horizontal="center" readingOrder="0" vertical="bottom"/>
    </xf>
    <xf borderId="3" fillId="2" fontId="4" numFmtId="0" xfId="0" applyAlignment="1" applyBorder="1" applyFont="1">
      <alignment horizontal="center" vertical="bottom"/>
    </xf>
    <xf borderId="3" fillId="2" fontId="4" numFmtId="0" xfId="0" applyAlignment="1" applyBorder="1" applyFont="1">
      <alignment horizontal="center" vertical="bottom"/>
    </xf>
    <xf borderId="3" fillId="0" fontId="6" numFmtId="0" xfId="0" applyAlignment="1" applyBorder="1" applyFont="1">
      <alignment horizontal="center" readingOrder="0"/>
    </xf>
    <xf borderId="3" fillId="2" fontId="4" numFmtId="164" xfId="0" applyAlignment="1" applyBorder="1" applyFont="1" applyNumberFormat="1">
      <alignment horizontal="center" vertical="bottom"/>
    </xf>
    <xf borderId="3" fillId="0" fontId="2" numFmtId="20" xfId="0" applyAlignment="1" applyBorder="1" applyFont="1" applyNumberFormat="1">
      <alignment horizontal="center" readingOrder="0" vertical="bottom"/>
    </xf>
    <xf borderId="3" fillId="0" fontId="2" numFmtId="164" xfId="0" applyAlignment="1" applyBorder="1" applyFont="1" applyNumberFormat="1">
      <alignment horizontal="center" readingOrder="0" vertical="bottom"/>
    </xf>
    <xf borderId="3" fillId="0" fontId="2" numFmtId="165" xfId="0" applyAlignment="1" applyBorder="1" applyFont="1" applyNumberFormat="1">
      <alignment horizontal="center" readingOrder="0" vertical="bottom"/>
    </xf>
    <xf borderId="3" fillId="0" fontId="2" numFmtId="0" xfId="0" applyAlignment="1" applyBorder="1" applyFont="1">
      <alignment horizontal="center" vertical="bottom"/>
    </xf>
    <xf borderId="3" fillId="0" fontId="2" numFmtId="0" xfId="0" applyAlignment="1" applyBorder="1" applyFont="1">
      <alignment horizontal="center" vertical="bottom"/>
    </xf>
    <xf borderId="3" fillId="0" fontId="2" numFmtId="165" xfId="0" applyAlignment="1" applyBorder="1" applyFont="1" applyNumberFormat="1">
      <alignment horizontal="center" readingOrder="0" vertical="bottom"/>
    </xf>
    <xf borderId="3" fillId="0" fontId="2" numFmtId="175" xfId="0" applyAlignment="1" applyBorder="1" applyFont="1" applyNumberFormat="1">
      <alignment horizontal="center" readingOrder="0" vertical="bottom"/>
    </xf>
    <xf borderId="3" fillId="0" fontId="2" numFmtId="165" xfId="0" applyAlignment="1" applyBorder="1" applyFont="1" applyNumberFormat="1">
      <alignment horizontal="center" vertical="bottom"/>
    </xf>
    <xf borderId="3" fillId="0" fontId="2" numFmtId="0" xfId="0" applyAlignment="1" applyBorder="1" applyFont="1">
      <alignment horizontal="center"/>
    </xf>
    <xf borderId="7" fillId="0" fontId="2" numFmtId="0" xfId="0" applyAlignment="1" applyBorder="1" applyFont="1">
      <alignment horizontal="center"/>
    </xf>
    <xf borderId="42" fillId="0" fontId="2" numFmtId="0" xfId="0" applyAlignment="1" applyBorder="1" applyFont="1">
      <alignment horizontal="center"/>
    </xf>
    <xf borderId="42" fillId="0" fontId="2" numFmtId="0" xfId="0" applyAlignment="1" applyBorder="1" applyFont="1">
      <alignment horizontal="center" readingOrder="0"/>
    </xf>
    <xf borderId="0" fillId="0" fontId="4" numFmtId="0" xfId="0" applyAlignment="1" applyFont="1">
      <alignment horizontal="center" readingOrder="0" vertical="bottom"/>
    </xf>
    <xf borderId="3" fillId="0" fontId="2" numFmtId="0" xfId="0" applyAlignment="1" applyBorder="1" applyFont="1">
      <alignment horizontal="right"/>
    </xf>
    <xf borderId="3" fillId="0" fontId="2" numFmtId="0" xfId="0" applyAlignment="1" applyBorder="1" applyFont="1">
      <alignment horizontal="center" readingOrder="0" shrinkToFit="0" vertical="bottom" wrapText="0"/>
    </xf>
    <xf borderId="43" fillId="15" fontId="4" numFmtId="0" xfId="0" applyAlignment="1" applyBorder="1" applyFill="1" applyFont="1">
      <alignment horizontal="center" vertical="bottom"/>
    </xf>
    <xf borderId="43" fillId="15" fontId="4" numFmtId="0" xfId="0" applyAlignment="1" applyBorder="1" applyFont="1">
      <alignment horizontal="center" readingOrder="0" vertical="bottom"/>
    </xf>
    <xf borderId="1" fillId="15" fontId="4" numFmtId="0" xfId="0" applyAlignment="1" applyBorder="1" applyFont="1">
      <alignment horizontal="center" readingOrder="0" vertical="bottom"/>
    </xf>
    <xf borderId="42" fillId="0" fontId="2" numFmtId="3" xfId="0" applyAlignment="1" applyBorder="1" applyFont="1" applyNumberFormat="1">
      <alignment horizontal="center" readingOrder="0" vertical="bottom"/>
    </xf>
    <xf borderId="3" fillId="0" fontId="2" numFmtId="164" xfId="0" applyAlignment="1" applyBorder="1" applyFont="1" applyNumberFormat="1">
      <alignment horizontal="center" vertical="bottom"/>
    </xf>
    <xf borderId="7" fillId="15" fontId="63" numFmtId="0" xfId="0" applyAlignment="1" applyBorder="1" applyFont="1">
      <alignment horizontal="center" readingOrder="0" shrinkToFit="0" vertical="bottom" wrapText="1"/>
    </xf>
    <xf borderId="3" fillId="15" fontId="1" numFmtId="0" xfId="0" applyAlignment="1" applyBorder="1" applyFont="1">
      <alignment shrinkToFit="0" vertical="bottom" wrapText="1"/>
    </xf>
    <xf borderId="3" fillId="15" fontId="1" numFmtId="0" xfId="0" applyAlignment="1" applyBorder="1" applyFont="1">
      <alignment horizontal="center" shrinkToFit="0" vertical="bottom" wrapText="1"/>
    </xf>
    <xf borderId="3" fillId="15" fontId="1" numFmtId="165" xfId="0" applyAlignment="1" applyBorder="1" applyFont="1" applyNumberFormat="1">
      <alignment horizontal="center" shrinkToFit="0" vertical="bottom" wrapText="1"/>
    </xf>
    <xf borderId="3" fillId="16" fontId="2" numFmtId="49" xfId="0" applyAlignment="1" applyBorder="1" applyFill="1" applyFont="1" applyNumberFormat="1">
      <alignment readingOrder="0" vertical="bottom"/>
    </xf>
    <xf borderId="3" fillId="16" fontId="2" numFmtId="3" xfId="0" applyAlignment="1" applyBorder="1" applyFont="1" applyNumberFormat="1">
      <alignment horizontal="right" readingOrder="0" vertical="bottom"/>
    </xf>
    <xf borderId="3" fillId="16" fontId="2" numFmtId="165" xfId="0" applyAlignment="1" applyBorder="1" applyFont="1" applyNumberFormat="1">
      <alignment horizontal="right" vertical="bottom"/>
    </xf>
    <xf borderId="3" fillId="16" fontId="2" numFmtId="165" xfId="0" applyAlignment="1" applyBorder="1" applyFont="1" applyNumberFormat="1">
      <alignment horizontal="right" readingOrder="0" vertical="bottom"/>
    </xf>
    <xf borderId="3" fillId="16" fontId="2" numFmtId="176" xfId="0" applyAlignment="1" applyBorder="1" applyFont="1" applyNumberFormat="1">
      <alignment horizontal="right" vertical="bottom"/>
    </xf>
    <xf borderId="0" fillId="0" fontId="5" numFmtId="0" xfId="0" applyAlignment="1" applyFont="1">
      <alignment readingOrder="0" shrinkToFit="0" wrapText="0"/>
    </xf>
    <xf borderId="3" fillId="0" fontId="5" numFmtId="0" xfId="0" applyAlignment="1" applyBorder="1" applyFont="1">
      <alignment horizontal="center" readingOrder="0"/>
    </xf>
    <xf borderId="3" fillId="0" fontId="2" numFmtId="0" xfId="0" applyAlignment="1" applyBorder="1" applyFont="1">
      <alignment horizontal="center" shrinkToFit="0" vertical="bottom" wrapText="0"/>
    </xf>
    <xf borderId="0" fillId="17" fontId="2" numFmtId="0" xfId="0" applyAlignment="1" applyFill="1" applyFont="1">
      <alignment vertical="bottom"/>
    </xf>
    <xf borderId="0" fillId="17" fontId="64" numFmtId="0" xfId="0" applyAlignment="1" applyFont="1">
      <alignment readingOrder="0" vertical="bottom"/>
    </xf>
    <xf borderId="0" fillId="17" fontId="2" numFmtId="169" xfId="0" applyAlignment="1" applyFont="1" applyNumberFormat="1">
      <alignment vertical="bottom"/>
    </xf>
    <xf borderId="0" fillId="17" fontId="2" numFmtId="177" xfId="0" applyAlignment="1" applyFont="1" applyNumberFormat="1">
      <alignment vertical="bottom"/>
    </xf>
    <xf borderId="0" fillId="17" fontId="64" numFmtId="178" xfId="0" applyAlignment="1" applyFont="1" applyNumberFormat="1">
      <alignment readingOrder="0" vertical="bottom"/>
    </xf>
    <xf borderId="0" fillId="17" fontId="64" numFmtId="0" xfId="0" applyAlignment="1" applyFont="1">
      <alignment vertical="bottom"/>
    </xf>
    <xf borderId="0" fillId="17" fontId="65" numFmtId="169" xfId="0" applyAlignment="1" applyFont="1" applyNumberFormat="1">
      <alignment horizontal="center" vertical="bottom"/>
    </xf>
    <xf borderId="0" fillId="17" fontId="65" numFmtId="177" xfId="0" applyAlignment="1" applyFont="1" applyNumberFormat="1">
      <alignment horizontal="center" vertical="bottom"/>
    </xf>
    <xf borderId="0" fillId="17" fontId="65" numFmtId="169" xfId="0" applyAlignment="1" applyFont="1" applyNumberFormat="1">
      <alignment horizontal="right" vertical="bottom"/>
    </xf>
    <xf borderId="0" fillId="17" fontId="65" numFmtId="179" xfId="0" applyAlignment="1" applyFont="1" applyNumberFormat="1">
      <alignment horizontal="center" vertical="bottom"/>
    </xf>
    <xf borderId="0" fillId="4" fontId="66" numFmtId="180" xfId="0" applyAlignment="1" applyFont="1" applyNumberFormat="1">
      <alignment horizontal="center" vertical="bottom"/>
    </xf>
    <xf borderId="0" fillId="18" fontId="67" numFmtId="165" xfId="0" applyAlignment="1" applyFill="1" applyFont="1" applyNumberFormat="1">
      <alignment horizontal="center"/>
    </xf>
    <xf borderId="0" fillId="0" fontId="2" numFmtId="181" xfId="0" applyAlignment="1" applyFont="1" applyNumberFormat="1">
      <alignment vertical="bottom"/>
    </xf>
    <xf borderId="0" fillId="9" fontId="2" numFmtId="169" xfId="0" applyAlignment="1" applyFont="1" applyNumberFormat="1">
      <alignment vertical="bottom"/>
    </xf>
    <xf borderId="0" fillId="9" fontId="2" numFmtId="177" xfId="0" applyAlignment="1" applyFont="1" applyNumberFormat="1">
      <alignment vertical="bottom"/>
    </xf>
    <xf borderId="0" fillId="0" fontId="2" numFmtId="180" xfId="0" applyAlignment="1" applyFont="1" applyNumberFormat="1">
      <alignment vertical="bottom"/>
    </xf>
    <xf borderId="0" fillId="17" fontId="2" numFmtId="181" xfId="0" applyAlignment="1" applyFont="1" applyNumberFormat="1">
      <alignment horizontal="center" vertical="bottom"/>
    </xf>
    <xf borderId="0" fillId="17" fontId="65" numFmtId="181" xfId="0" applyAlignment="1" applyFont="1" applyNumberFormat="1">
      <alignment horizontal="center" vertical="bottom"/>
    </xf>
    <xf borderId="0" fillId="17" fontId="65" numFmtId="0" xfId="0" applyAlignment="1" applyFont="1">
      <alignment horizontal="center" readingOrder="0" vertical="bottom"/>
    </xf>
    <xf borderId="0" fillId="17" fontId="65" numFmtId="0" xfId="0" applyAlignment="1" applyFont="1">
      <alignment horizontal="center" vertical="bottom"/>
    </xf>
    <xf borderId="0" fillId="0" fontId="2" numFmtId="165" xfId="0" applyAlignment="1" applyFont="1" applyNumberFormat="1">
      <alignment vertical="top"/>
    </xf>
    <xf borderId="0" fillId="0" fontId="68" numFmtId="0" xfId="0" applyAlignment="1" applyFont="1">
      <alignment horizontal="right" readingOrder="0" vertical="bottom"/>
    </xf>
    <xf borderId="3" fillId="0" fontId="2" numFmtId="179" xfId="0" applyAlignment="1" applyBorder="1" applyFont="1" applyNumberFormat="1">
      <alignment horizontal="center" readingOrder="0" vertical="bottom"/>
    </xf>
    <xf borderId="3" fillId="0" fontId="2" numFmtId="180" xfId="0" applyAlignment="1" applyBorder="1" applyFont="1" applyNumberFormat="1">
      <alignment vertical="bottom"/>
    </xf>
    <xf borderId="0" fillId="0" fontId="2" numFmtId="4" xfId="0" applyAlignment="1" applyFont="1" applyNumberFormat="1">
      <alignment vertical="top"/>
    </xf>
    <xf borderId="3" fillId="0" fontId="68" numFmtId="0" xfId="0" applyAlignment="1" applyBorder="1" applyFont="1">
      <alignment horizontal="right" readingOrder="0" vertical="bottom"/>
    </xf>
    <xf borderId="3" fillId="0" fontId="2" numFmtId="175" xfId="0" applyAlignment="1" applyBorder="1" applyFont="1" applyNumberFormat="1">
      <alignment horizontal="center" vertical="bottom"/>
    </xf>
    <xf borderId="3" fillId="0" fontId="2" numFmtId="179" xfId="0" applyAlignment="1" applyBorder="1" applyFont="1" applyNumberFormat="1">
      <alignment horizontal="center" vertical="bottom"/>
    </xf>
    <xf borderId="3" fillId="0" fontId="2" numFmtId="0" xfId="0" applyAlignment="1" applyBorder="1" applyFont="1">
      <alignment readingOrder="0" vertical="bottom"/>
    </xf>
    <xf borderId="3" fillId="0" fontId="69" numFmtId="169" xfId="0" applyAlignment="1" applyBorder="1" applyFont="1" applyNumberFormat="1">
      <alignment horizontal="center" vertical="bottom"/>
    </xf>
    <xf borderId="3" fillId="0" fontId="2" numFmtId="180" xfId="0" applyAlignment="1" applyBorder="1" applyFont="1" applyNumberFormat="1">
      <alignment horizontal="center" vertical="bottom"/>
    </xf>
    <xf borderId="3" fillId="0" fontId="2" numFmtId="169" xfId="0" applyAlignment="1" applyBorder="1" applyFont="1" applyNumberFormat="1">
      <alignment horizontal="center" readingOrder="0" vertical="bottom"/>
    </xf>
    <xf borderId="3" fillId="0" fontId="68" numFmtId="0" xfId="0" applyAlignment="1" applyBorder="1" applyFont="1">
      <alignment vertical="bottom"/>
    </xf>
    <xf borderId="3" fillId="0" fontId="5" numFmtId="0" xfId="0" applyAlignment="1" applyBorder="1" applyFont="1">
      <alignment horizontal="center"/>
    </xf>
    <xf borderId="3" fillId="0" fontId="5" numFmtId="0" xfId="0" applyBorder="1" applyFont="1"/>
  </cellXfs>
  <cellStyles count="1">
    <cellStyle xfId="0" name="Normal" builtinId="0"/>
  </cellStyles>
  <dxfs count="6">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B7E1CD"/>
          <bgColor rgb="FFB7E1CD"/>
        </patternFill>
      </fill>
      <border/>
    </dxf>
  </dxfs>
  <tableStyles count="3">
    <tableStyle count="4" pivot="0" name="ADS CAPTACIÓN-style">
      <tableStyleElement dxfId="1" type="headerRow"/>
      <tableStyleElement dxfId="2" type="firstRowStripe"/>
      <tableStyleElement dxfId="3" type="secondRowStripe"/>
      <tableStyleElement dxfId="4" size="0" type="wholeTable"/>
    </tableStyle>
    <tableStyle count="4" pivot="0" name="ADS IMG CAPT-style">
      <tableStyleElement dxfId="1" type="headerRow"/>
      <tableStyleElement dxfId="2" type="firstRowStripe"/>
      <tableStyleElement dxfId="3" type="secondRowStripe"/>
      <tableStyleElement dxfId="4" size="0" type="wholeTable"/>
    </tableStyle>
    <tableStyle count="2" pivot="0" name="Compras TAG-style">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F13" displayName="Tabla_1" name="Tabla_1" id="1">
  <tableColumns count="6">
    <tableColumn name="Descripción" id="1"/>
    <tableColumn name="Estado" id="2"/>
    <tableColumn name="Anuncios 9:16" id="3"/>
    <tableColumn name="Anuncios 1:1" id="4"/>
    <tableColumn name="Título" id="5"/>
    <tableColumn name="Captions" id="6"/>
  </tableColumns>
  <tableStyleInfo name="ADS CAPTACIÓN-style" showColumnStripes="0" showFirstColumn="1" showLastColumn="1" showRowStripes="1"/>
</table>
</file>

<file path=xl/tables/table2.xml><?xml version="1.0" encoding="utf-8"?>
<table xmlns="http://schemas.openxmlformats.org/spreadsheetml/2006/main" ref="A1:F6" displayName="Tabla_2" name="Tabla_2" id="2">
  <tableColumns count="6">
    <tableColumn name="Descripción" id="1"/>
    <tableColumn name="Estado" id="2"/>
    <tableColumn name="Anuncios 9:16" id="3"/>
    <tableColumn name="Anuncios 1:1" id="4"/>
    <tableColumn name="Título" id="5"/>
    <tableColumn name="Captions" id="6"/>
  </tableColumns>
  <tableStyleInfo name="ADS IMG CAPT-style" showColumnStripes="0" showFirstColumn="1" showLastColumn="1" showRowStripes="1"/>
</table>
</file>

<file path=xl/tables/table3.xml><?xml version="1.0" encoding="utf-8"?>
<table xmlns="http://schemas.openxmlformats.org/spreadsheetml/2006/main" headerRowCount="0" ref="G14:G15" displayName="Table_1" name="Table_1" id="3">
  <tableColumns count="1">
    <tableColumn name="Column1" id="1"/>
  </tableColumns>
  <tableStyleInfo name="Compras TAG-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docs.google.com/document/d/1xLbBHoLntJ_q1YEG78BI-2uTH2YviUiNgR4R0MloDI8/edit?tab=t.0" TargetMode="External"/><Relationship Id="rId42" Type="http://schemas.openxmlformats.org/officeDocument/2006/relationships/hyperlink" Target="https://docs.google.com/document/d/18sqJNryR8E90jMSULoJzNkwpikACTNEzZekAZnA70P4/edit?tab=t.0" TargetMode="External"/><Relationship Id="rId41" Type="http://schemas.openxmlformats.org/officeDocument/2006/relationships/hyperlink" Target="https://docs.google.com/document/d/17mhC_YkTkgDMNck0Gx9yYPN6DGRf2elMK-Sg3hvrFnA/edit?tab=t.0" TargetMode="External"/><Relationship Id="rId44" Type="http://schemas.openxmlformats.org/officeDocument/2006/relationships/hyperlink" Target="https://docs.google.com/document/d/1xxtlbIEjuVEZ5Yre1Y9uzTFeh6ROBY0jfHwJq1snVC0/edit?tab=t.0" TargetMode="External"/><Relationship Id="rId43" Type="http://schemas.openxmlformats.org/officeDocument/2006/relationships/hyperlink" Target="https://docs.google.com/document/d/1EuCgvq_EULUPYcrCLY7v0qKQK3P_llZX15890IzJ1zI/edit?tab=t.0" TargetMode="External"/><Relationship Id="rId46" Type="http://schemas.openxmlformats.org/officeDocument/2006/relationships/hyperlink" Target="https://docs.google.com/document/d/1lJV9wflENGKyzGzJtMvioHPcWK-xfX98iaj2aOefrP4/edit?tab=t.0" TargetMode="External"/><Relationship Id="rId45" Type="http://schemas.openxmlformats.org/officeDocument/2006/relationships/hyperlink" Target="https://docs.google.com/document/d/1IURtvjV8W-qvdyBQYsp8BSkLd4rBHL7wbKhdDa9TrJw/edit?tab=t.0" TargetMode="External"/><Relationship Id="rId80" Type="http://schemas.openxmlformats.org/officeDocument/2006/relationships/hyperlink" Target="https://docs.google.com/document/d/15KNP9w1IpctkzuScoRonBx5u70AjKBGOV84mnQ1xgjo/edit?tab=t.0" TargetMode="External"/><Relationship Id="rId82" Type="http://schemas.openxmlformats.org/officeDocument/2006/relationships/drawing" Target="../drawings/drawing2.xml"/><Relationship Id="rId81" Type="http://schemas.openxmlformats.org/officeDocument/2006/relationships/hyperlink" Target="https://docs.google.com/document/d/1HU6Bk3N5YFkKOAyOyPVAKH_WfMQ02eOz7_2rHozY-5k/edit?tab=t.0" TargetMode="External"/><Relationship Id="rId1" Type="http://schemas.openxmlformats.org/officeDocument/2006/relationships/hyperlink" Target="https://docs.google.com/document/d/1WvcpBmW5-OXQGcOtCFB6jdwTAraQhHCVWJkpHNO4h40/edit?tab=t.0" TargetMode="External"/><Relationship Id="rId2" Type="http://schemas.openxmlformats.org/officeDocument/2006/relationships/hyperlink" Target="https://docs.google.com/document/d/1Nq5pZ_6VXgWbMEsyszZv7LllEDXTZ8zqH7Kz6k1Nrng/edit?tab=t.0" TargetMode="External"/><Relationship Id="rId3" Type="http://schemas.openxmlformats.org/officeDocument/2006/relationships/hyperlink" Target="https://docs.google.com/document/d/1ikW-FC-gjP8-GRy_J0NsRESWwv0IxTjlj_fB7n9dTcQ/edit?tab=t.0" TargetMode="External"/><Relationship Id="rId4" Type="http://schemas.openxmlformats.org/officeDocument/2006/relationships/hyperlink" Target="https://docs.google.com/document/d/1cN4rnY5qlKL4n9BAITSlD1fU24KZFIk70qZKFfZlvt0/edit?tab=t.0" TargetMode="External"/><Relationship Id="rId9" Type="http://schemas.openxmlformats.org/officeDocument/2006/relationships/hyperlink" Target="https://docs.google.com/document/d/18_nZ0WTOsGyB1Fz_xdS0TurHEeKWztorA3-sWZPJbds/edit?tab=t.0" TargetMode="External"/><Relationship Id="rId48" Type="http://schemas.openxmlformats.org/officeDocument/2006/relationships/hyperlink" Target="https://docs.google.com/document/d/1AHj_3FEcwTk5iyTW5HddiYcRTVhvxGRpcY4HNM957Zo/edit?tab=t.0" TargetMode="External"/><Relationship Id="rId47" Type="http://schemas.openxmlformats.org/officeDocument/2006/relationships/hyperlink" Target="https://docs.google.com/document/d/1lJV9wflENGKyzGzJtMvioHPcWK-xfX98iaj2aOefrP4/edit?tab=t.0" TargetMode="External"/><Relationship Id="rId49" Type="http://schemas.openxmlformats.org/officeDocument/2006/relationships/hyperlink" Target="https://docs.google.com/document/d/1U_89z3kVJwAv5X_S1kDNT5CSo73a291vicp2KztUyY4/edit?tab=t.0" TargetMode="External"/><Relationship Id="rId5" Type="http://schemas.openxmlformats.org/officeDocument/2006/relationships/hyperlink" Target="https://docs.google.com/document/d/1XKZU0hApDcTiFnvZztYyyRU5y3rn9bmle4_EJ0dynZ0/edit?tab=t.0" TargetMode="External"/><Relationship Id="rId6" Type="http://schemas.openxmlformats.org/officeDocument/2006/relationships/hyperlink" Target="https://docs.google.com/document/d/1KhVTp1MGmEEJ5TSxXpX7DUjzmbADfEgF--Pn57baENo/edit?tab=t.0" TargetMode="External"/><Relationship Id="rId7" Type="http://schemas.openxmlformats.org/officeDocument/2006/relationships/hyperlink" Target="https://docs.google.com/document/d/18_nZ0WTOsGyB1Fz_xdS0TurHEeKWztorA3-sWZPJbds/edit?tab=t.0" TargetMode="External"/><Relationship Id="rId8" Type="http://schemas.openxmlformats.org/officeDocument/2006/relationships/hyperlink" Target="https://docs.google.com/document/d/1ehgYRagT4B_b4swEvy2UxBW9zsqPEvqarLrfauHUpB8/edit?tab=t.0" TargetMode="External"/><Relationship Id="rId73" Type="http://schemas.openxmlformats.org/officeDocument/2006/relationships/hyperlink" Target="https://docs.google.com/document/d/1obCwbzKu-HVupBNX-4IUFPkJn7qNL6mMaap4qxjOcNE/edit?tab=t.0" TargetMode="External"/><Relationship Id="rId72" Type="http://schemas.openxmlformats.org/officeDocument/2006/relationships/hyperlink" Target="https://docs.google.com/document/d/1ssCl5Wr0-U_6CCcBM7k7pqNCe5hw_oqtJEErxnFrJ1c/edit?tab=t.0" TargetMode="External"/><Relationship Id="rId31" Type="http://schemas.openxmlformats.org/officeDocument/2006/relationships/hyperlink" Target="https://docs.google.com/document/d/1pLq0L1uNe9bKagFErazVcQA4pdtleYtgFAjXqOqyjyA/edit?tab=t.0" TargetMode="External"/><Relationship Id="rId75" Type="http://schemas.openxmlformats.org/officeDocument/2006/relationships/hyperlink" Target="https://docs.google.com/document/d/1FwqUVOBXtjvIQC4ep-PXw65vSVQ6_TnFA3MnPV9rd6g/edit?tab=t.0" TargetMode="External"/><Relationship Id="rId30" Type="http://schemas.openxmlformats.org/officeDocument/2006/relationships/hyperlink" Target="https://docs.google.com/document/d/1cbQsxkKTBW_B-84dsNvslSU6of3TujwWxI8SgxaYw88/edit?tab=t.0" TargetMode="External"/><Relationship Id="rId74" Type="http://schemas.openxmlformats.org/officeDocument/2006/relationships/hyperlink" Target="https://docs.google.com/document/d/1gzxFX1UQ1dd_o0pKLNJDLcMjOzL6Z-kOP8XPU3oZIO4/edit?tab=t.0" TargetMode="External"/><Relationship Id="rId33" Type="http://schemas.openxmlformats.org/officeDocument/2006/relationships/hyperlink" Target="https://docs.google.com/document/d/1SYw1Y5iKzEf8_W4QDtCG0y6Tfuv65DGXG8JgaDZDGTM/edit?tab=t.0" TargetMode="External"/><Relationship Id="rId77" Type="http://schemas.openxmlformats.org/officeDocument/2006/relationships/hyperlink" Target="https://docs.google.com/document/d/1Qxq07LdWA7_xsTcEuoRU8JXprZfujchZveGrV4r6NxM/edit?tab=t.0" TargetMode="External"/><Relationship Id="rId32" Type="http://schemas.openxmlformats.org/officeDocument/2006/relationships/hyperlink" Target="https://docs.google.com/document/d/1lgjIO6DGQzqQriUFVAOIrNg0m_eALTICCoTXu2BYY5Y/edit?tab=t.0" TargetMode="External"/><Relationship Id="rId76" Type="http://schemas.openxmlformats.org/officeDocument/2006/relationships/hyperlink" Target="https://docs.google.com/document/d/1g3jNj82wj5TcxY3tA79_UhDtHtYFGILtkqeKdL0_4P8/edit?tab=t.0" TargetMode="External"/><Relationship Id="rId35" Type="http://schemas.openxmlformats.org/officeDocument/2006/relationships/hyperlink" Target="https://docs.google.com/document/d/1S8TT67anrCS4zshm8BzUiA_bGignWPp16VpXJ9oyX64/edit?tab=t.0" TargetMode="External"/><Relationship Id="rId79" Type="http://schemas.openxmlformats.org/officeDocument/2006/relationships/hyperlink" Target="https://docs.google.com/document/d/1os7P0coVIkZXnM4YTLhOkXDqI30WChtNUk68Pns_QAk/edit?tab=t.0" TargetMode="External"/><Relationship Id="rId34" Type="http://schemas.openxmlformats.org/officeDocument/2006/relationships/hyperlink" Target="https://docs.google.com/document/d/1aOxSzxdNH1_b40Co2s6u0yMV40uUQN0MScKJ3-CE94c/edit?tab=t.0" TargetMode="External"/><Relationship Id="rId78" Type="http://schemas.openxmlformats.org/officeDocument/2006/relationships/hyperlink" Target="https://docs.google.com/document/d/1AIuM1S5rHlJW6iU2vXiSafAoKJrFuijbTmugk3HUJfQ/edit?tab=t.0" TargetMode="External"/><Relationship Id="rId71" Type="http://schemas.openxmlformats.org/officeDocument/2006/relationships/hyperlink" Target="https://docs.google.com/document/d/15kRvo9qgWYttQp95I3IE-AGXi9PHQwahAclCRTc1fxo/edit?tab=t.0" TargetMode="External"/><Relationship Id="rId70" Type="http://schemas.openxmlformats.org/officeDocument/2006/relationships/hyperlink" Target="https://docs.google.com/document/d/1sClqZb35kLkcjzDnm4T5qiF3pBOLg1bk0C1dSrYLiSo/edit?tab=t.0" TargetMode="External"/><Relationship Id="rId37" Type="http://schemas.openxmlformats.org/officeDocument/2006/relationships/hyperlink" Target="https://docs.google.com/document/d/1kU3FTR1dESuIZR-tvECDWPcf_keUeceKEUmXFRKm-bo/edit?tab=t.0" TargetMode="External"/><Relationship Id="rId36" Type="http://schemas.openxmlformats.org/officeDocument/2006/relationships/hyperlink" Target="https://docs.google.com/document/d/1Iry8SCpWuSaNT8fis6oOgkmzQE-ZYv4_TETAI54ewa4/edit?tab=t.0" TargetMode="External"/><Relationship Id="rId39" Type="http://schemas.openxmlformats.org/officeDocument/2006/relationships/hyperlink" Target="https://docs.google.com/document/d/1CqxYCYRd9M4JcYpQ9L3pI6ZH8yQmFqp6MfiWrqVN0p4/edit?tab=t.0" TargetMode="External"/><Relationship Id="rId38" Type="http://schemas.openxmlformats.org/officeDocument/2006/relationships/hyperlink" Target="https://docs.google.com/document/d/1Ti3mSc6D9r-AEnVoS1f95mrJZklhA_3P6mwSQxKev5I/edit?tab=t.0" TargetMode="External"/><Relationship Id="rId62" Type="http://schemas.openxmlformats.org/officeDocument/2006/relationships/hyperlink" Target="https://docs.google.com/document/d/18H2OsgzmfHue-7oXz0X44mc39TuXu8489ZZC-MuYgTY/edit?tab=t.0" TargetMode="External"/><Relationship Id="rId61" Type="http://schemas.openxmlformats.org/officeDocument/2006/relationships/hyperlink" Target="https://docs.google.com/document/d/1Ti3mSc6D9r-AEnVoS1f95mrJZklhA_3P6mwSQxKev5I/edit?tab=t.0" TargetMode="External"/><Relationship Id="rId20" Type="http://schemas.openxmlformats.org/officeDocument/2006/relationships/hyperlink" Target="https://docs.google.com/document/d/1RDoyw8BYQC87tC57IicxBiOfFCu4wzsMgUVddyZN7k4/edit?tab=t.0" TargetMode="External"/><Relationship Id="rId64" Type="http://schemas.openxmlformats.org/officeDocument/2006/relationships/hyperlink" Target="https://docs.google.com/document/d/1EktpMj9OV8pSvaKk7iSUR52u5BuzRcyOtb_FvzawjSA/edit?tab=t.0" TargetMode="External"/><Relationship Id="rId63" Type="http://schemas.openxmlformats.org/officeDocument/2006/relationships/hyperlink" Target="https://docs.google.com/document/d/1U0wJuvgCNAKFD3y0cSpbQhiUKxEum55GzLVkKvd9j3c/edit?tab=t.0" TargetMode="External"/><Relationship Id="rId22" Type="http://schemas.openxmlformats.org/officeDocument/2006/relationships/hyperlink" Target="https://docs.google.com/document/d/1xLbBHoLntJ_q1YEG78BI-2uTH2YviUiNgR4R0MloDI8/edit?tab=t.0" TargetMode="External"/><Relationship Id="rId66" Type="http://schemas.openxmlformats.org/officeDocument/2006/relationships/hyperlink" Target="https://docs.google.com/document/d/1EuCgvq_EULUPYcrCLY7v0qKQK3P_llZX15890IzJ1zI/edit?tab=t.0" TargetMode="External"/><Relationship Id="rId21" Type="http://schemas.openxmlformats.org/officeDocument/2006/relationships/hyperlink" Target="https://docs.google.com/document/d/1NSP6jkjIDhcCwQY1oXT_urnDycvBkmQzj0CAHZBPhps/edit?tab=t.0" TargetMode="External"/><Relationship Id="rId65" Type="http://schemas.openxmlformats.org/officeDocument/2006/relationships/hyperlink" Target="https://docs.google.com/document/d/1Wi7T5ZPafBlw19NSPb0BiVh0tcvM69AK9d5kPwuhZ_0/edit?tab=t.0" TargetMode="External"/><Relationship Id="rId24" Type="http://schemas.openxmlformats.org/officeDocument/2006/relationships/hyperlink" Target="https://docs.google.com/document/d/1LZ8RqJmihC1RmaoH39v8MM55hN5M2NLJeUe825_bo9A/edit?tab=t.0" TargetMode="External"/><Relationship Id="rId68" Type="http://schemas.openxmlformats.org/officeDocument/2006/relationships/hyperlink" Target="https://docs.google.com/document/d/1gSG3WRWTrh39Y-s51IvNP_Jvr2pqia7v5Pb-zjOzId4/edit?tab=t.0" TargetMode="External"/><Relationship Id="rId23" Type="http://schemas.openxmlformats.org/officeDocument/2006/relationships/hyperlink" Target="https://docs.google.com/document/d/1wYWzX5ROR1JXCQXpjLHQItCUdCLs0pKPKjeAdG_Ti50/edit?tab=t.0" TargetMode="External"/><Relationship Id="rId67" Type="http://schemas.openxmlformats.org/officeDocument/2006/relationships/hyperlink" Target="https://docs.google.com/document/d/10NzwlJgVzcDuTROtLnj9FtnlI7mybL-WekEGu5iKp_M/edit?tab=t.0" TargetMode="External"/><Relationship Id="rId60" Type="http://schemas.openxmlformats.org/officeDocument/2006/relationships/hyperlink" Target="https://docs.google.com/document/d/1qDlxjw4IwiJ2T63Ko4Yub29mcI-yVzvehiM7EJjAnDQ/edit?tab=t.0" TargetMode="External"/><Relationship Id="rId26" Type="http://schemas.openxmlformats.org/officeDocument/2006/relationships/hyperlink" Target="https://docs.google.com/document/d/1-v7MBICT3T5MsM-WEwNThvnwfix0aezlFfCx4XYfpnU/edit?tab=t.0" TargetMode="External"/><Relationship Id="rId25" Type="http://schemas.openxmlformats.org/officeDocument/2006/relationships/hyperlink" Target="https://docs.google.com/document/d/1udCjIgYhZfPgn_Y9IajPTB8XbvUJeVIz8Cykjn1RJFQ/edit?tab=t.0" TargetMode="External"/><Relationship Id="rId69" Type="http://schemas.openxmlformats.org/officeDocument/2006/relationships/hyperlink" Target="https://docs.google.com/document/d/1VXqwUwk-_WQ74GIfXNhPhBmC4NOCgcgO4r6l-9R0ONk/edit?tab=t.0" TargetMode="External"/><Relationship Id="rId28" Type="http://schemas.openxmlformats.org/officeDocument/2006/relationships/hyperlink" Target="https://docs.google.com/document/d/1tAiipxNPbmOw-qeGms6Y0ODK0Xq3lbDje3n7aLRar68/edit?tab=t.0" TargetMode="External"/><Relationship Id="rId27" Type="http://schemas.openxmlformats.org/officeDocument/2006/relationships/hyperlink" Target="https://docs.google.com/document/d/1OWj1aRYVb8n5QXHYnB_SSrQTtbz0U72mDOaaOrUo4Ow/edit?tab=t.0" TargetMode="External"/><Relationship Id="rId29" Type="http://schemas.openxmlformats.org/officeDocument/2006/relationships/hyperlink" Target="https://docs.google.com/document/d/1IURtvjV8W-qvdyBQYsp8BSkLd4rBHL7wbKhdDa9TrJw/edit?tab=t.0" TargetMode="External"/><Relationship Id="rId51" Type="http://schemas.openxmlformats.org/officeDocument/2006/relationships/hyperlink" Target="https://docs.google.com/document/d/1srVA_lYw-vFZjbcbgB34NMuwbZ8mRExNik7oFBgQ8Xw/edit?tab=t.0" TargetMode="External"/><Relationship Id="rId50" Type="http://schemas.openxmlformats.org/officeDocument/2006/relationships/hyperlink" Target="https://docs.google.com/document/d/1srVA_lYw-vFZjbcbgB34NMuwbZ8mRExNik7oFBgQ8Xw/edit?tab=t.0" TargetMode="External"/><Relationship Id="rId53" Type="http://schemas.openxmlformats.org/officeDocument/2006/relationships/hyperlink" Target="https://docs.google.com/document/d/10ZUWzlE9OBCMZV3WlkkwxeNlG-NC6uRlTYiUWaF9deQ/edit?tab=t.0" TargetMode="External"/><Relationship Id="rId52" Type="http://schemas.openxmlformats.org/officeDocument/2006/relationships/hyperlink" Target="https://docs.google.com/document/d/1it4zPv9FUVEZyFmPBbqAfMe-E9zV4sRLqugS4En1Nf4/edit?tab=t.0" TargetMode="External"/><Relationship Id="rId11" Type="http://schemas.openxmlformats.org/officeDocument/2006/relationships/hyperlink" Target="https://docs.google.com/document/d/183OwI5cUVdngaQBK_IHh7f_D-eO6YPlBl4FeXE2SXr8/edit?tab=t.0" TargetMode="External"/><Relationship Id="rId55" Type="http://schemas.openxmlformats.org/officeDocument/2006/relationships/hyperlink" Target="https://docs.google.com/document/d/1QWTW1FGw-dOLgaq9fdByqsKS8Rr9w920Ui1MeM9EZkY/edit?tab=t.0" TargetMode="External"/><Relationship Id="rId10" Type="http://schemas.openxmlformats.org/officeDocument/2006/relationships/hyperlink" Target="https://docs.google.com/document/d/1Hiri3Vr9VQFVb4jieGKlMJbXMyhb4P8gXEJ2FtN0GXA/edit?tab=t.0" TargetMode="External"/><Relationship Id="rId54" Type="http://schemas.openxmlformats.org/officeDocument/2006/relationships/hyperlink" Target="https://docs.google.com/document/d/1Bu8Pus-Hxq326HzL9ONtL--chnpDrETyLw0Ap6ERZao/edit?tab=t.0" TargetMode="External"/><Relationship Id="rId13" Type="http://schemas.openxmlformats.org/officeDocument/2006/relationships/hyperlink" Target="https://docs.google.com/document/d/1FFeYLdjoLoX_xCi6h9qAB3DSlfYKaTX8MT-VeDGniEk/edit?tab=t.0" TargetMode="External"/><Relationship Id="rId57" Type="http://schemas.openxmlformats.org/officeDocument/2006/relationships/hyperlink" Target="https://docs.google.com/document/d/1LD34-vCFDTfXfySnRGAzU_pBAVMCSTYDs4tMsfVL34c/edit?tab=t.0" TargetMode="External"/><Relationship Id="rId12" Type="http://schemas.openxmlformats.org/officeDocument/2006/relationships/hyperlink" Target="https://docs.google.com/document/d/1MAMxLUCkY4-8xR7chXZ7PdBG6E0bqfBKgOJnDYigCz8/edit?tab=t.0" TargetMode="External"/><Relationship Id="rId56" Type="http://schemas.openxmlformats.org/officeDocument/2006/relationships/hyperlink" Target="https://docs.google.com/document/d/12dpH_dPAce8EZwSP55iJlEsQ79k4WOsPDXgUuvV0RZ4/edit?tab=t.0" TargetMode="External"/><Relationship Id="rId15" Type="http://schemas.openxmlformats.org/officeDocument/2006/relationships/hyperlink" Target="https://docs.google.com/document/d/1Hiri3Vr9VQFVb4jieGKlMJbXMyhb4P8gXEJ2FtN0GXA/edit?tab=t.0" TargetMode="External"/><Relationship Id="rId59" Type="http://schemas.openxmlformats.org/officeDocument/2006/relationships/hyperlink" Target="https://docs.google.com/document/d/1RbBVRwf5p0hPJAF4R0B8rG3Vj70H973fEibQ6QRoocs/edit?tab=t.0" TargetMode="External"/><Relationship Id="rId14" Type="http://schemas.openxmlformats.org/officeDocument/2006/relationships/hyperlink" Target="https://docs.google.com/document/d/1NZJ_FYr6D2Dw5F7tFtS44aSeVUmnefuhunkHf7pdzbA/edit?tab=t.0" TargetMode="External"/><Relationship Id="rId58" Type="http://schemas.openxmlformats.org/officeDocument/2006/relationships/hyperlink" Target="https://docs.google.com/document/d/1S8TT67anrCS4zshm8BzUiA_bGignWPp16VpXJ9oyX64/edit?tab=t.0" TargetMode="External"/><Relationship Id="rId17" Type="http://schemas.openxmlformats.org/officeDocument/2006/relationships/hyperlink" Target="https://docs.google.com/document/d/1o5elAkdxhd4lkzqzqwcFzWxowFOyMRwigGfeJmsUSrw/edit?tab=t.0" TargetMode="External"/><Relationship Id="rId16" Type="http://schemas.openxmlformats.org/officeDocument/2006/relationships/hyperlink" Target="https://docs.google.com/document/d/1dXJHcr8tbaDx4RZfh2oJxYHQdRKgfqy5ljng4YEyXsA/edit?tab=t.0" TargetMode="External"/><Relationship Id="rId19" Type="http://schemas.openxmlformats.org/officeDocument/2006/relationships/hyperlink" Target="https://docs.google.com/document/d/1Dbn94rG-YYx73T4KQOWOx9ksE5C4ZFG0O4cSNfL3C3Q/edit?tab=t.0" TargetMode="External"/><Relationship Id="rId18" Type="http://schemas.openxmlformats.org/officeDocument/2006/relationships/hyperlink" Target="https://docs.google.com/document/d/1B5rsedlvWqlFm0JZqDf9GzCNd1fMDYD091PCNEmavo0/edit?tab=t.0"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berganzaivania.com/masterclass-v2" TargetMode="External"/><Relationship Id="rId2" Type="http://schemas.openxmlformats.org/officeDocument/2006/relationships/hyperlink" Target="https://www.berganzaivania.com/cyltco-org" TargetMode="External"/><Relationship Id="rId3" Type="http://schemas.openxmlformats.org/officeDocument/2006/relationships/hyperlink" Target="https://berganzaivania.com/cyltco-registro-reel" TargetMode="External"/><Relationship Id="rId4" Type="http://schemas.openxmlformats.org/officeDocument/2006/relationships/hyperlink" Target="https://www.berganzaivania.com/cyltco-org" TargetMode="External"/><Relationship Id="rId9" Type="http://schemas.openxmlformats.org/officeDocument/2006/relationships/hyperlink" Target="https://berganzaivania.com/cyltco-registro-carrusel" TargetMode="External"/><Relationship Id="rId5" Type="http://schemas.openxmlformats.org/officeDocument/2006/relationships/hyperlink" Target="https://berganzaivania.com/cyltco-registro-bio" TargetMode="External"/><Relationship Id="rId6" Type="http://schemas.openxmlformats.org/officeDocument/2006/relationships/hyperlink" Target="https://www.berganzaivania.com/cyltco-org" TargetMode="External"/><Relationship Id="rId7" Type="http://schemas.openxmlformats.org/officeDocument/2006/relationships/hyperlink" Target="https://berganzaivania.com/cyltco-registro-historias" TargetMode="External"/><Relationship Id="rId8" Type="http://schemas.openxmlformats.org/officeDocument/2006/relationships/hyperlink" Target="https://www.berganzaivania.com/cyltco-org" TargetMode="External"/><Relationship Id="rId31" Type="http://schemas.openxmlformats.org/officeDocument/2006/relationships/hyperlink" Target="https://berganzaivania.com/regalo-creaylanzatucursoonline" TargetMode="External"/><Relationship Id="rId30" Type="http://schemas.openxmlformats.org/officeDocument/2006/relationships/hyperlink" Target="https://berganzaivania.com/turegalocreaylanzatucursoonline" TargetMode="External"/><Relationship Id="rId33" Type="http://schemas.openxmlformats.org/officeDocument/2006/relationships/drawing" Target="../drawings/drawing4.xml"/><Relationship Id="rId32" Type="http://schemas.openxmlformats.org/officeDocument/2006/relationships/hyperlink" Target="https://berganzaivania.com/regalo_beautyeducatorchallenge" TargetMode="External"/><Relationship Id="rId20" Type="http://schemas.openxmlformats.org/officeDocument/2006/relationships/hyperlink" Target="https://www.berganzaivania.com/cyltco-org" TargetMode="External"/><Relationship Id="rId22" Type="http://schemas.openxmlformats.org/officeDocument/2006/relationships/hyperlink" Target="https://berganzaivania.com/beautyeducatorpro" TargetMode="External"/><Relationship Id="rId21" Type="http://schemas.openxmlformats.org/officeDocument/2006/relationships/hyperlink" Target="https://berganzaivania.com/cyltco-registro-membresiab10k" TargetMode="External"/><Relationship Id="rId24" Type="http://schemas.openxmlformats.org/officeDocument/2006/relationships/hyperlink" Target="https://berganzaivania.com/quieroserbep" TargetMode="External"/><Relationship Id="rId23" Type="http://schemas.openxmlformats.org/officeDocument/2006/relationships/hyperlink" Target="https://berganzaivania.com/checkoutbep" TargetMode="External"/><Relationship Id="rId26" Type="http://schemas.openxmlformats.org/officeDocument/2006/relationships/hyperlink" Target="https://berganzaivania.com//registro-bec-nov2025" TargetMode="External"/><Relationship Id="rId25" Type="http://schemas.openxmlformats.org/officeDocument/2006/relationships/hyperlink" Target="https://us06web.zoom.us/meeting/register/DwfPiYdoTbmLNWtV9iRaQQ" TargetMode="External"/><Relationship Id="rId28" Type="http://schemas.openxmlformats.org/officeDocument/2006/relationships/hyperlink" Target="https://berganzaivania.com/bec-envivo-nov2025" TargetMode="External"/><Relationship Id="rId27" Type="http://schemas.openxmlformats.org/officeDocument/2006/relationships/hyperlink" Target="https://www.google.com/url?q=https://us06web.zoom.us/j/82302512708?pwd%3DSZ2aWknabEHM0Fqc43qrkURrW3GWCc.1&amp;sa=D&amp;source=calendar&amp;usd=2&amp;usg=AOvVaw3JWvfehp_uzPH9E_POJjmT" TargetMode="External"/><Relationship Id="rId29" Type="http://schemas.openxmlformats.org/officeDocument/2006/relationships/hyperlink" Target="https://sndflw.com/i/creaylanzatucursoonline" TargetMode="External"/><Relationship Id="rId11" Type="http://schemas.openxmlformats.org/officeDocument/2006/relationships/hyperlink" Target="https://berganzaivania.com/cyltco-registro-dm" TargetMode="External"/><Relationship Id="rId10" Type="http://schemas.openxmlformats.org/officeDocument/2006/relationships/hyperlink" Target="https://www.berganzaivania.com/cyltco-org" TargetMode="External"/><Relationship Id="rId13" Type="http://schemas.openxmlformats.org/officeDocument/2006/relationships/hyperlink" Target="https://berganzaivania.com/cyltco-registro-yt-bio" TargetMode="External"/><Relationship Id="rId12" Type="http://schemas.openxmlformats.org/officeDocument/2006/relationships/hyperlink" Target="https://www.berganzaivania.com/cyltco-org" TargetMode="External"/><Relationship Id="rId15" Type="http://schemas.openxmlformats.org/officeDocument/2006/relationships/hyperlink" Target="https://berganzaivania.com/cyltco-registro-correo" TargetMode="External"/><Relationship Id="rId14" Type="http://schemas.openxmlformats.org/officeDocument/2006/relationships/hyperlink" Target="https://www.berganzaivania.com/cyltco-org" TargetMode="External"/><Relationship Id="rId17" Type="http://schemas.openxmlformats.org/officeDocument/2006/relationships/hyperlink" Target="https://berganzaivania.com/cyltco-registro-comunidadwhaib" TargetMode="External"/><Relationship Id="rId16" Type="http://schemas.openxmlformats.org/officeDocument/2006/relationships/hyperlink" Target="https://www.berganzaivania.com/cyltco-org" TargetMode="External"/><Relationship Id="rId19" Type="http://schemas.openxmlformats.org/officeDocument/2006/relationships/hyperlink" Target="https://berganzaivania.com/cyltco-registro-comunidadib" TargetMode="External"/><Relationship Id="rId18" Type="http://schemas.openxmlformats.org/officeDocument/2006/relationships/hyperlink" Target="https://www.berganzaivania.com/cyltco-org"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dropbox.com/scl/fi/0snp9pcrr50ebdf7lekja/AD1-BEC-CAPT-AGOSTO25.mp4?rlkey=3q03kxuwdkv3x2o8jr3dzu764&amp;st=rqdjzzyr&amp;dl=0" TargetMode="External"/><Relationship Id="rId2" Type="http://schemas.openxmlformats.org/officeDocument/2006/relationships/hyperlink" Target="https://www.dropbox.com/scl/fi/59arebsdtkmik4u8uj95l/AD1-BEC-CAPT-AGOSTO25.mp4?rlkey=u3ed7h50518joszhp05fw8tr1&amp;st=ql4fpvnw&amp;dl=0" TargetMode="External"/><Relationship Id="rId3" Type="http://schemas.openxmlformats.org/officeDocument/2006/relationships/hyperlink" Target="https://www.dropbox.com/scl/fi/997kshvh10y7rrlc3rqa3/AD4-BEC-CAPT-AGOSTO25.mp4?rlkey=49offejwo5ev9zrozzt9djqzr&amp;st=qa18ox9t&amp;dl=0" TargetMode="External"/><Relationship Id="rId4" Type="http://schemas.openxmlformats.org/officeDocument/2006/relationships/hyperlink" Target="https://www.dropbox.com/scl/fi/x4ewlkkigp7fqz20amn17/AD4-BEC-CAPT-AGOSTO25.mp4?rlkey=i3fleca3bupvwg43x1noxymvw&amp;st=335fmfxz&amp;dl=0" TargetMode="External"/><Relationship Id="rId9" Type="http://schemas.openxmlformats.org/officeDocument/2006/relationships/hyperlink" Target="https://www.dropbox.com/scl/fi/1b44zv4r2b0sg2kgh1hmq/AD7-BEC-CAPT-AGOSTO.mp4?rlkey=9tav44hds5j712ut17l60tg9q&amp;st=typ97p4a&amp;dl=0" TargetMode="External"/><Relationship Id="rId5" Type="http://schemas.openxmlformats.org/officeDocument/2006/relationships/hyperlink" Target="https://www.dropbox.com/scl/fi/dkikhtnnunommzyu7pcvt/AD5-BEC-CAPT-AGOSTO25.mp4?rlkey=68uyf8j5aivfoiuidz7otcflw&amp;st=2pbcmnrl&amp;dl=0" TargetMode="External"/><Relationship Id="rId6" Type="http://schemas.openxmlformats.org/officeDocument/2006/relationships/hyperlink" Target="https://www.dropbox.com/scl/fi/bnuf8h58kaacxon9606th/AD5-BEC-CAPT-AGOSTO25.mp4?rlkey=f8yledta6st6dj5dc0infzczr&amp;st=qc8eg739&amp;dl=0" TargetMode="External"/><Relationship Id="rId7" Type="http://schemas.openxmlformats.org/officeDocument/2006/relationships/hyperlink" Target="https://www.dropbox.com/scl/fi/t5xrmnb450kuveo5277iw/AD6-BEC-AGOSTO25.mp4?rlkey=3qbltkqytllb5q2xdhtg33wb3&amp;st=412l6zj9&amp;dl=0" TargetMode="External"/><Relationship Id="rId8" Type="http://schemas.openxmlformats.org/officeDocument/2006/relationships/hyperlink" Target="https://www.dropbox.com/scl/fi/t5xrmnb450kuveo5277iw/AD6-BEC-AGOSTO25.mp4?rlkey=3qbltkqytllb5q2xdhtg33wb3&amp;st=g2aqr2kv&amp;dl=0" TargetMode="External"/><Relationship Id="rId21" Type="http://schemas.openxmlformats.org/officeDocument/2006/relationships/table" Target="../tables/table1.xml"/><Relationship Id="rId11" Type="http://schemas.openxmlformats.org/officeDocument/2006/relationships/hyperlink" Target="https://www.dropbox.com/scl/fi/iebzqpv320j00a23ktjub/AD1-BEC-FEB26.mp4?rlkey=acbbzkguqzgwnu1j408o7hpwr&amp;st=5i22j21x&amp;dl=0" TargetMode="External"/><Relationship Id="rId10" Type="http://schemas.openxmlformats.org/officeDocument/2006/relationships/hyperlink" Target="https://www.dropbox.com/scl/fi/njrgkfgp4kyxe7ckwpcau/AD7-BEC-CAPT-AGOSTO25.mp4?rlkey=f2i7ty3q4lfkyz7l641nzmnwd&amp;st=07og1g6b&amp;dl=0" TargetMode="External"/><Relationship Id="rId13" Type="http://schemas.openxmlformats.org/officeDocument/2006/relationships/hyperlink" Target="https://www.dropbox.com/scl/fi/vuwz4f58viq45hsbppavo/AD2-BEC-FEB26.mp4?rlkey=ggcndhpf9dfcco1129t10i14y&amp;st=mt5z6ge7&amp;dl=0" TargetMode="External"/><Relationship Id="rId12" Type="http://schemas.openxmlformats.org/officeDocument/2006/relationships/hyperlink" Target="https://www.dropbox.com/scl/fi/97vln431myh9eu3lxjpo3/AD1-BEC-FEB26.mp4?rlkey=bsqtob45imqiqpx3mlu2v9mn7&amp;st=ibql3myl&amp;dl=0" TargetMode="External"/><Relationship Id="rId15" Type="http://schemas.openxmlformats.org/officeDocument/2006/relationships/hyperlink" Target="https://www.dropbox.com/scl/fi/w7ff7gkivkpe8qphcpljb/AD3-BEC-FEB26.mp4?rlkey=irzy05j3rt11im4i3d7v7hg02&amp;st=vdvigi1r&amp;dl=0" TargetMode="External"/><Relationship Id="rId14" Type="http://schemas.openxmlformats.org/officeDocument/2006/relationships/hyperlink" Target="https://www.dropbox.com/scl/fi/t19r2xdkx3d588e5h26vl/AD2-BEC-FEB26.mp4?rlkey=w4limsnzyzcpe1zupykmmazuq&amp;st=s9sdzlxt&amp;dl=0" TargetMode="External"/><Relationship Id="rId17" Type="http://schemas.openxmlformats.org/officeDocument/2006/relationships/hyperlink" Target="https://www.dropbox.com/scl/fi/leqoet2oo6k9f5gbzf4po/AD4-BEC-FEB26.mp4?rlkey=zriq89by6fe15rpagrgxzb10c&amp;st=8w6sndi3&amp;dl=0" TargetMode="External"/><Relationship Id="rId16" Type="http://schemas.openxmlformats.org/officeDocument/2006/relationships/hyperlink" Target="https://www.dropbox.com/scl/fi/ijkmjtfylp8pfel2h7l0a/AD3-BEC-FEB26.mp4?rlkey=2iozfiweco6cuoc90x7vnd5fk&amp;st=zxcsby4g&amp;dl=0" TargetMode="External"/><Relationship Id="rId19" Type="http://schemas.openxmlformats.org/officeDocument/2006/relationships/drawing" Target="../drawings/drawing5.xml"/><Relationship Id="rId18" Type="http://schemas.openxmlformats.org/officeDocument/2006/relationships/hyperlink" Target="https://www.dropbox.com/scl/fi/bg8ks6j5l3ib54ao39lb1/AD4-BEC-FEB26.mp4?rlkey=iahh0jfvyk5fmpzdps58uxc7z&amp;st=je28cynn&amp;dl=0"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www.dropbox.com/scl/fi/tggc6mjifqkc5h10flbcp/1.png?rlkey=egll6icydla4t71mnc0s45pn6&amp;st=yruieztz&amp;dl=0" TargetMode="External"/><Relationship Id="rId2" Type="http://schemas.openxmlformats.org/officeDocument/2006/relationships/hyperlink" Target="https://www.dropbox.com/scl/fi/0lrqu65lqejbheaww4q6t/1.png?rlkey=gr9m2x92k61x6w4l593tp8uvs&amp;st=snd4je8u&amp;dl=0" TargetMode="External"/><Relationship Id="rId3" Type="http://schemas.openxmlformats.org/officeDocument/2006/relationships/hyperlink" Target="https://www.dropbox.com/scl/fi/l9vaikvcejdnsgtzgnqxk/2.png?rlkey=i3wl1voite1v7o5ooi6q7db74&amp;st=2wx71snu&amp;dl=0" TargetMode="External"/><Relationship Id="rId4" Type="http://schemas.openxmlformats.org/officeDocument/2006/relationships/hyperlink" Target="https://www.dropbox.com/scl/fi/wdmtxlpgn9dtlsi48y99h/2.png?rlkey=g31kff69fsow3q4ea87i3iu72&amp;st=6ng891yx&amp;dl=0" TargetMode="External"/><Relationship Id="rId9" Type="http://schemas.openxmlformats.org/officeDocument/2006/relationships/hyperlink" Target="https://www.dropbox.com/scl/fi/w2afj213nb2gw2nqq0pg0/5.png?rlkey=2a0oqvngn34o8hg8u7d8z0mew&amp;st=4xw8wdzq&amp;dl=0" TargetMode="External"/><Relationship Id="rId5" Type="http://schemas.openxmlformats.org/officeDocument/2006/relationships/hyperlink" Target="https://www.dropbox.com/scl/fi/ahw9tudc7gbp68g86sooc/3.png?rlkey=upaymge5gis472n9d3ayou3xv&amp;st=l6xs8hu4&amp;dl=0" TargetMode="External"/><Relationship Id="rId6" Type="http://schemas.openxmlformats.org/officeDocument/2006/relationships/hyperlink" Target="https://www.dropbox.com/scl/fi/vy3wanepwfiu7d0iir7p7/3.png?rlkey=kpgsy7141e2hh42mvivn29ivh&amp;st=mq8hooya&amp;dl=0" TargetMode="External"/><Relationship Id="rId7" Type="http://schemas.openxmlformats.org/officeDocument/2006/relationships/hyperlink" Target="https://www.dropbox.com/scl/fi/ce9evvue6vllpq1n5d5qz/4.png?rlkey=5dng3tjnuwcm9t67b5ycgltda&amp;st=81tg3i5h&amp;dl=0" TargetMode="External"/><Relationship Id="rId8" Type="http://schemas.openxmlformats.org/officeDocument/2006/relationships/hyperlink" Target="https://www.dropbox.com/scl/fi/2nfem6eaap76j06523t1c/4.png?rlkey=ua2ed6pmnezrnz0lrarnmtl8g&amp;st=fmk138pd&amp;dl=0" TargetMode="External"/><Relationship Id="rId11" Type="http://schemas.openxmlformats.org/officeDocument/2006/relationships/drawing" Target="../drawings/drawing6.xml"/><Relationship Id="rId10" Type="http://schemas.openxmlformats.org/officeDocument/2006/relationships/hyperlink" Target="https://www.dropbox.com/scl/fi/5kbzb4jl9pvf7rkrdqkmh/5.png?rlkey=zj9nky4ebi1hircddzy5xinj1&amp;st=48ywz1z1&amp;dl=0" TargetMode="External"/><Relationship Id="rId13"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ma.de"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wa.me/" TargetMode="Externa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38"/>
    <col customWidth="1" min="6" max="6" width="16.0"/>
    <col customWidth="1" min="7" max="7" width="14.75"/>
    <col customWidth="1" min="9" max="9" width="5.5"/>
  </cols>
  <sheetData>
    <row r="1">
      <c r="A1" s="1" t="s">
        <v>0</v>
      </c>
      <c r="B1" s="2"/>
      <c r="C1" s="2" t="s">
        <v>1</v>
      </c>
      <c r="D1" s="3"/>
      <c r="E1" s="3"/>
      <c r="F1" s="1"/>
      <c r="G1" s="1" t="s">
        <v>2</v>
      </c>
      <c r="H1" s="2"/>
      <c r="I1" s="2"/>
      <c r="J1" s="4" t="s">
        <v>3</v>
      </c>
      <c r="L1" s="5">
        <f>'Captación marzo'!J4</f>
        <v>0</v>
      </c>
      <c r="M1" s="3"/>
    </row>
    <row r="2">
      <c r="A2" s="6">
        <v>5000.0</v>
      </c>
      <c r="B2" s="7"/>
      <c r="C2" s="6">
        <v>4500.0</v>
      </c>
      <c r="D2" s="3"/>
      <c r="E2" s="3"/>
      <c r="F2" s="8"/>
      <c r="G2" s="8">
        <v>200.0</v>
      </c>
      <c r="H2" s="7"/>
      <c r="I2" s="7"/>
      <c r="J2" s="4" t="s">
        <v>4</v>
      </c>
      <c r="K2" s="4"/>
      <c r="L2" s="4"/>
      <c r="M2" s="3"/>
    </row>
    <row r="3" ht="16.5" customHeight="1">
      <c r="A3" s="4"/>
      <c r="B3" s="3"/>
      <c r="C3" s="9"/>
      <c r="D3" s="10"/>
      <c r="E3" s="11" t="s">
        <v>5</v>
      </c>
      <c r="F3" s="11" t="s">
        <v>6</v>
      </c>
      <c r="G3" s="3"/>
      <c r="H3" s="3"/>
      <c r="I3" s="3"/>
      <c r="J3" s="4" t="s">
        <v>7</v>
      </c>
      <c r="L3" s="12" t="str">
        <f>#REF!</f>
        <v>#REF!</v>
      </c>
      <c r="M3" s="3"/>
    </row>
    <row r="4">
      <c r="A4" s="4" t="s">
        <v>8</v>
      </c>
      <c r="B4" s="3"/>
      <c r="C4" s="9">
        <v>1.0</v>
      </c>
      <c r="D4" s="10">
        <f>C2*C4</f>
        <v>4500</v>
      </c>
      <c r="E4" s="13">
        <f>'Captación marzo'!N4</f>
        <v>0</v>
      </c>
      <c r="F4" s="14">
        <f t="shared" ref="F4:F5" si="1">D4-E4</f>
        <v>4500</v>
      </c>
      <c r="G4" s="3"/>
      <c r="H4" s="3"/>
      <c r="I4" s="3"/>
      <c r="J4" s="4" t="s">
        <v>9</v>
      </c>
      <c r="L4" s="12" t="str">
        <f>SUM(L1:L3)</f>
        <v>#REF!</v>
      </c>
      <c r="M4" s="3"/>
    </row>
    <row r="5">
      <c r="A5" s="4" t="s">
        <v>10</v>
      </c>
      <c r="B5" s="3"/>
      <c r="C5" s="9">
        <v>0.0</v>
      </c>
      <c r="D5" s="10">
        <f>C2*C5</f>
        <v>0</v>
      </c>
      <c r="E5" s="10" t="str">
        <f>#REF!</f>
        <v>#REF!</v>
      </c>
      <c r="F5" s="14" t="str">
        <f t="shared" si="1"/>
        <v>#REF!</v>
      </c>
      <c r="G5" s="3"/>
      <c r="H5" s="3"/>
      <c r="I5" s="3"/>
      <c r="J5" s="3"/>
      <c r="K5" s="3"/>
      <c r="L5" s="3"/>
      <c r="M5" s="3"/>
    </row>
    <row r="6">
      <c r="A6" s="3"/>
      <c r="B6" s="3"/>
      <c r="C6" s="3"/>
      <c r="D6" s="3"/>
      <c r="E6" s="3"/>
      <c r="F6" s="3"/>
      <c r="G6" s="3"/>
      <c r="H6" s="3"/>
      <c r="I6" s="3"/>
      <c r="J6" s="4" t="s">
        <v>11</v>
      </c>
      <c r="L6" s="15">
        <v>200.0</v>
      </c>
      <c r="M6" s="3"/>
    </row>
    <row r="7">
      <c r="A7" s="16"/>
      <c r="B7" s="16"/>
      <c r="C7" s="17" t="s">
        <v>12</v>
      </c>
      <c r="D7" s="18" t="s">
        <v>13</v>
      </c>
      <c r="E7" s="18" t="s">
        <v>10</v>
      </c>
      <c r="F7" s="17" t="s">
        <v>14</v>
      </c>
      <c r="G7" s="17" t="s">
        <v>15</v>
      </c>
      <c r="H7" s="17" t="s">
        <v>16</v>
      </c>
      <c r="I7" s="16"/>
      <c r="J7" s="19" t="s">
        <v>17</v>
      </c>
      <c r="L7" s="20" t="str">
        <f>L4+L6</f>
        <v>#REF!</v>
      </c>
      <c r="M7" s="16"/>
      <c r="N7" s="21"/>
      <c r="O7" s="21"/>
      <c r="P7" s="21"/>
      <c r="Q7" s="21"/>
      <c r="R7" s="21"/>
      <c r="S7" s="21"/>
      <c r="T7" s="21"/>
      <c r="U7" s="21"/>
      <c r="V7" s="21"/>
      <c r="W7" s="21"/>
      <c r="X7" s="21"/>
      <c r="Y7" s="21"/>
      <c r="Z7" s="21"/>
      <c r="AA7" s="21"/>
    </row>
    <row r="8">
      <c r="A8" s="2" t="s">
        <v>18</v>
      </c>
      <c r="C8" s="22" t="s">
        <v>19</v>
      </c>
      <c r="D8" s="23">
        <v>2.0</v>
      </c>
      <c r="E8" s="23">
        <v>0.25</v>
      </c>
      <c r="F8" s="24">
        <f>D4/D8</f>
        <v>2250</v>
      </c>
      <c r="G8" s="24">
        <f>D5/E8</f>
        <v>0</v>
      </c>
      <c r="H8" s="24">
        <f t="shared" ref="H8:H10" si="2">F8+G8</f>
        <v>2250</v>
      </c>
      <c r="I8" s="3"/>
      <c r="L8" s="5"/>
      <c r="M8" s="3"/>
    </row>
    <row r="9">
      <c r="A9" s="2" t="s">
        <v>20</v>
      </c>
      <c r="C9" s="22" t="s">
        <v>21</v>
      </c>
      <c r="D9" s="23">
        <v>2.5</v>
      </c>
      <c r="E9" s="23">
        <v>0.5</v>
      </c>
      <c r="F9" s="24">
        <f>D4/D9</f>
        <v>1800</v>
      </c>
      <c r="G9" s="24">
        <f>D5/E9</f>
        <v>0</v>
      </c>
      <c r="H9" s="24">
        <f t="shared" si="2"/>
        <v>1800</v>
      </c>
      <c r="I9" s="3"/>
      <c r="L9" s="25"/>
      <c r="M9" s="3"/>
    </row>
    <row r="10">
      <c r="A10" s="3"/>
      <c r="B10" s="3"/>
      <c r="C10" s="22" t="s">
        <v>22</v>
      </c>
      <c r="D10" s="23">
        <v>3.0</v>
      </c>
      <c r="E10" s="23">
        <v>0.6</v>
      </c>
      <c r="F10" s="24">
        <f>D4/D10</f>
        <v>1500</v>
      </c>
      <c r="G10" s="24">
        <f>D5/E10</f>
        <v>0</v>
      </c>
      <c r="H10" s="24">
        <f t="shared" si="2"/>
        <v>1500</v>
      </c>
      <c r="I10" s="3"/>
      <c r="L10" s="3"/>
      <c r="M10" s="3"/>
    </row>
    <row r="11">
      <c r="A11" s="3"/>
      <c r="B11" s="3"/>
      <c r="C11" s="3"/>
      <c r="D11" s="26"/>
      <c r="E11" s="26"/>
      <c r="F11" s="3"/>
      <c r="G11" s="3"/>
      <c r="H11" s="3"/>
      <c r="I11" s="3"/>
      <c r="L11" s="25"/>
      <c r="M11" s="3"/>
    </row>
    <row r="12">
      <c r="A12" s="3"/>
      <c r="B12" s="3"/>
      <c r="C12" s="3"/>
      <c r="D12" s="26"/>
      <c r="E12" s="26"/>
      <c r="F12" s="3"/>
      <c r="G12" s="3"/>
      <c r="H12" s="3"/>
      <c r="I12" s="3"/>
      <c r="M12" s="27"/>
    </row>
    <row r="13">
      <c r="B13" s="28" t="s">
        <v>23</v>
      </c>
      <c r="C13" s="25"/>
      <c r="D13" s="26"/>
      <c r="E13" s="26"/>
      <c r="F13" s="3"/>
      <c r="G13" s="3"/>
      <c r="H13" s="3"/>
      <c r="I13" s="3"/>
      <c r="L13" s="25"/>
      <c r="M13" s="3"/>
    </row>
    <row r="14">
      <c r="A14" s="29" t="s">
        <v>24</v>
      </c>
      <c r="B14" s="30"/>
      <c r="C14" s="27" t="s">
        <v>25</v>
      </c>
      <c r="E14" s="26"/>
      <c r="F14" s="3"/>
      <c r="G14" s="3"/>
      <c r="H14" s="3"/>
      <c r="I14" s="3"/>
      <c r="L14" s="25"/>
      <c r="M14" s="3"/>
    </row>
    <row r="15">
      <c r="A15" s="29" t="s">
        <v>26</v>
      </c>
      <c r="B15" s="30"/>
      <c r="C15" s="27" t="s">
        <v>27</v>
      </c>
      <c r="E15" s="26"/>
      <c r="F15" s="3"/>
      <c r="G15" s="3"/>
      <c r="H15" s="3"/>
      <c r="I15" s="3"/>
      <c r="M15" s="3"/>
    </row>
    <row r="16">
      <c r="A16" s="29" t="s">
        <v>28</v>
      </c>
      <c r="B16" s="29"/>
      <c r="C16" s="27" t="s">
        <v>29</v>
      </c>
      <c r="E16" s="26"/>
      <c r="F16" s="3"/>
      <c r="G16" s="3"/>
      <c r="H16" s="3"/>
      <c r="I16" s="3"/>
      <c r="M16" s="26"/>
    </row>
    <row r="17">
      <c r="A17" s="12"/>
      <c r="B17" s="12"/>
      <c r="C17" s="3"/>
      <c r="D17" s="26"/>
      <c r="E17" s="26"/>
      <c r="F17" s="3"/>
      <c r="G17" s="3"/>
      <c r="H17" s="3"/>
      <c r="I17" s="3"/>
      <c r="M17" s="26"/>
    </row>
    <row r="18">
      <c r="A18" s="12"/>
      <c r="B18" s="12"/>
      <c r="C18" s="3"/>
      <c r="D18" s="26"/>
      <c r="E18" s="26"/>
      <c r="F18" s="3"/>
      <c r="G18" s="3"/>
      <c r="H18" s="3"/>
      <c r="I18" s="3"/>
      <c r="M18" s="26"/>
    </row>
    <row r="19">
      <c r="A19" s="12"/>
      <c r="B19" s="12"/>
      <c r="C19" s="3"/>
      <c r="D19" s="26"/>
      <c r="E19" s="26"/>
      <c r="F19" s="3"/>
      <c r="G19" s="3"/>
      <c r="H19" s="3"/>
      <c r="I19" s="3"/>
      <c r="L19" s="25"/>
      <c r="M19" s="3"/>
    </row>
    <row r="20">
      <c r="A20" s="12"/>
      <c r="B20" s="12"/>
      <c r="C20" s="2"/>
      <c r="D20" s="24"/>
      <c r="E20" s="24"/>
      <c r="F20" s="3"/>
      <c r="G20" s="3"/>
      <c r="H20" s="3"/>
      <c r="I20" s="3"/>
      <c r="J20" s="22"/>
      <c r="K20" s="3"/>
      <c r="L20" s="3"/>
    </row>
    <row r="21">
      <c r="A21" s="3"/>
      <c r="B21" s="3"/>
      <c r="C21" s="3"/>
      <c r="D21" s="3"/>
      <c r="E21" s="3"/>
      <c r="F21" s="3"/>
      <c r="G21" s="3"/>
      <c r="H21" s="3"/>
      <c r="I21" s="3"/>
      <c r="J21" s="22"/>
      <c r="K21" s="3"/>
      <c r="L21" s="3"/>
    </row>
    <row r="22">
      <c r="A22" s="3"/>
      <c r="B22" s="2"/>
      <c r="C22" s="3"/>
      <c r="D22" s="2"/>
      <c r="E22" s="2"/>
      <c r="F22" s="2"/>
      <c r="G22" s="2"/>
      <c r="H22" s="3"/>
      <c r="I22" s="3"/>
      <c r="J22" s="22"/>
      <c r="K22" s="22"/>
      <c r="L22" s="3"/>
      <c r="M22" s="3"/>
    </row>
    <row r="23">
      <c r="A23" s="3"/>
      <c r="B23" s="3"/>
      <c r="C23" s="2"/>
      <c r="D23" s="24"/>
      <c r="E23" s="24"/>
      <c r="F23" s="22"/>
      <c r="G23" s="22"/>
      <c r="H23" s="3"/>
      <c r="I23" s="3"/>
      <c r="J23" s="22"/>
      <c r="K23" s="24"/>
      <c r="L23" s="3"/>
      <c r="M23" s="3"/>
    </row>
    <row r="24">
      <c r="A24" s="3"/>
      <c r="B24" s="3"/>
      <c r="C24" s="2"/>
      <c r="D24" s="24"/>
      <c r="E24" s="24"/>
      <c r="F24" s="22"/>
      <c r="G24" s="22"/>
      <c r="H24" s="3"/>
      <c r="I24" s="3"/>
      <c r="J24" s="22"/>
      <c r="K24" s="24"/>
      <c r="L24" s="3"/>
      <c r="M24" s="3"/>
    </row>
    <row r="25">
      <c r="A25" s="3"/>
      <c r="B25" s="3"/>
      <c r="C25" s="2"/>
      <c r="D25" s="24"/>
      <c r="E25" s="24"/>
      <c r="F25" s="22"/>
      <c r="G25" s="22"/>
      <c r="H25" s="3"/>
      <c r="I25" s="3"/>
      <c r="J25" s="3"/>
      <c r="K25" s="3"/>
      <c r="L25" s="3"/>
      <c r="M25" s="3"/>
    </row>
    <row r="26">
      <c r="A26" s="3"/>
      <c r="B26" s="3"/>
      <c r="C26" s="3"/>
      <c r="D26" s="3"/>
      <c r="E26" s="3"/>
      <c r="F26" s="3"/>
      <c r="G26" s="3"/>
      <c r="H26" s="3"/>
      <c r="I26" s="3"/>
    </row>
    <row r="27">
      <c r="A27" s="3"/>
      <c r="B27" s="2"/>
      <c r="C27" s="3"/>
      <c r="D27" s="3"/>
      <c r="E27" s="3"/>
      <c r="F27" s="3"/>
      <c r="G27" s="3"/>
      <c r="H27" s="3"/>
      <c r="I27" s="3"/>
    </row>
    <row r="28">
      <c r="A28" s="3"/>
      <c r="B28" s="3"/>
      <c r="C28" s="2"/>
      <c r="D28" s="24"/>
      <c r="E28" s="24"/>
      <c r="F28" s="24"/>
      <c r="G28" s="24"/>
      <c r="H28" s="3"/>
      <c r="I28" s="3"/>
    </row>
    <row r="29">
      <c r="A29" s="3"/>
      <c r="B29" s="3"/>
      <c r="C29" s="2"/>
      <c r="D29" s="24"/>
      <c r="E29" s="24"/>
      <c r="F29" s="24"/>
      <c r="G29" s="24"/>
      <c r="H29" s="3"/>
      <c r="I29" s="3"/>
    </row>
    <row r="30">
      <c r="A30" s="3"/>
      <c r="B30" s="3"/>
      <c r="C30" s="2"/>
      <c r="D30" s="24"/>
      <c r="E30" s="24"/>
      <c r="F30" s="24"/>
      <c r="G30" s="24"/>
      <c r="H30" s="3"/>
      <c r="I30" s="3"/>
    </row>
    <row r="31">
      <c r="A31" s="3"/>
      <c r="B31" s="3"/>
      <c r="C31" s="3"/>
      <c r="D31" s="3"/>
      <c r="E31" s="3"/>
      <c r="F31" s="3"/>
      <c r="G31" s="3"/>
      <c r="H31" s="3"/>
      <c r="I31" s="3"/>
    </row>
    <row r="32">
      <c r="A32" s="3"/>
      <c r="B32" s="2"/>
      <c r="C32" s="10"/>
      <c r="D32" s="3"/>
      <c r="E32" s="3"/>
      <c r="F32" s="3"/>
      <c r="G32" s="3"/>
      <c r="H32" s="3"/>
      <c r="I32" s="3"/>
    </row>
    <row r="33">
      <c r="A33" s="3"/>
      <c r="B33" s="3"/>
      <c r="C33" s="2"/>
      <c r="D33" s="10"/>
      <c r="E33" s="10"/>
      <c r="F33" s="10"/>
      <c r="G33" s="10"/>
      <c r="H33" s="3"/>
      <c r="I33" s="3"/>
      <c r="J33" s="3"/>
      <c r="K33" s="3"/>
      <c r="L33" s="3"/>
      <c r="M33" s="3"/>
    </row>
    <row r="34">
      <c r="A34" s="3"/>
      <c r="B34" s="3"/>
      <c r="C34" s="2"/>
      <c r="D34" s="10"/>
      <c r="E34" s="10"/>
      <c r="F34" s="10"/>
      <c r="G34" s="10"/>
      <c r="H34" s="3"/>
      <c r="I34" s="3"/>
      <c r="J34" s="3"/>
      <c r="K34" s="3"/>
      <c r="L34" s="3"/>
      <c r="M34" s="3"/>
    </row>
    <row r="35">
      <c r="A35" s="3"/>
      <c r="B35" s="3"/>
      <c r="C35" s="2"/>
      <c r="D35" s="10"/>
      <c r="E35" s="10"/>
      <c r="F35" s="10"/>
      <c r="G35" s="10"/>
      <c r="H35" s="3"/>
      <c r="I35" s="3"/>
      <c r="J35" s="3"/>
      <c r="K35" s="3"/>
      <c r="L35" s="3"/>
      <c r="M35" s="3"/>
    </row>
    <row r="36">
      <c r="A36" s="3"/>
      <c r="B36" s="3"/>
      <c r="C36" s="3"/>
      <c r="D36" s="3"/>
      <c r="E36" s="3"/>
      <c r="F36" s="3"/>
      <c r="G36" s="3"/>
      <c r="H36" s="3"/>
      <c r="I36" s="3"/>
      <c r="J36" s="3"/>
      <c r="K36" s="3"/>
      <c r="L36" s="3"/>
      <c r="M36" s="3"/>
    </row>
    <row r="37">
      <c r="A37" s="3"/>
      <c r="B37" s="3"/>
      <c r="C37" s="3"/>
      <c r="D37" s="2"/>
      <c r="E37" s="2"/>
      <c r="F37" s="2"/>
      <c r="G37" s="2"/>
      <c r="H37" s="3"/>
      <c r="I37" s="3"/>
      <c r="J37" s="3"/>
      <c r="K37" s="3"/>
      <c r="L37" s="3"/>
      <c r="M37" s="3"/>
    </row>
    <row r="38">
      <c r="A38" s="3"/>
      <c r="B38" s="3"/>
      <c r="C38" s="2"/>
      <c r="D38" s="10"/>
      <c r="E38" s="10"/>
      <c r="F38" s="10"/>
      <c r="G38" s="10"/>
      <c r="H38" s="3"/>
      <c r="I38" s="3"/>
      <c r="J38" s="3"/>
      <c r="K38" s="3"/>
      <c r="L38" s="3"/>
      <c r="M38" s="3"/>
    </row>
    <row r="39">
      <c r="A39" s="3"/>
      <c r="B39" s="3"/>
      <c r="C39" s="2"/>
      <c r="D39" s="10"/>
      <c r="E39" s="10"/>
      <c r="F39" s="10"/>
      <c r="G39" s="10"/>
      <c r="H39" s="3"/>
      <c r="I39" s="3"/>
      <c r="J39" s="3"/>
      <c r="K39" s="3"/>
      <c r="L39" s="3"/>
      <c r="M39" s="3"/>
    </row>
    <row r="40">
      <c r="A40" s="3"/>
      <c r="B40" s="3"/>
      <c r="C40" s="2"/>
      <c r="D40" s="10"/>
      <c r="E40" s="10"/>
      <c r="F40" s="10"/>
      <c r="G40" s="10"/>
      <c r="H40" s="3"/>
      <c r="I40" s="3"/>
      <c r="J40" s="3"/>
      <c r="K40" s="3"/>
      <c r="L40" s="3"/>
      <c r="M40" s="3"/>
    </row>
    <row r="41">
      <c r="A41" s="3"/>
      <c r="B41" s="3"/>
      <c r="C41" s="3"/>
      <c r="D41" s="3"/>
      <c r="E41" s="3"/>
      <c r="F41" s="3"/>
      <c r="G41" s="3"/>
      <c r="H41" s="3"/>
      <c r="I41" s="3"/>
      <c r="J41" s="3"/>
      <c r="K41" s="3"/>
      <c r="L41" s="3"/>
      <c r="M41" s="3"/>
    </row>
    <row r="42">
      <c r="I42" s="3"/>
      <c r="J42" s="31"/>
      <c r="K42" s="32"/>
      <c r="L42" s="3"/>
      <c r="M42" s="3"/>
    </row>
    <row r="43">
      <c r="I43" s="3"/>
      <c r="J43" s="31"/>
      <c r="K43" s="32"/>
      <c r="L43" s="3"/>
      <c r="M43" s="3"/>
    </row>
    <row r="44">
      <c r="I44" s="3"/>
      <c r="J44" s="31"/>
      <c r="K44" s="32"/>
      <c r="L44" s="3"/>
      <c r="M44" s="3"/>
    </row>
    <row r="45">
      <c r="I45" s="3"/>
      <c r="J45" s="3"/>
      <c r="K45" s="32"/>
      <c r="L45" s="3"/>
      <c r="M45" s="3"/>
    </row>
    <row r="46">
      <c r="I46" s="3"/>
    </row>
    <row r="47">
      <c r="I47" s="31"/>
    </row>
    <row r="48">
      <c r="I48" s="31"/>
    </row>
    <row r="49">
      <c r="I49" s="3"/>
    </row>
  </sheetData>
  <mergeCells count="12">
    <mergeCell ref="C14:D14"/>
    <mergeCell ref="C15:D15"/>
    <mergeCell ref="C16:D16"/>
    <mergeCell ref="L20:M20"/>
    <mergeCell ref="L21:M21"/>
    <mergeCell ref="J1:K1"/>
    <mergeCell ref="J3:K3"/>
    <mergeCell ref="J4:K4"/>
    <mergeCell ref="J6:K6"/>
    <mergeCell ref="J7:K7"/>
    <mergeCell ref="A8:B8"/>
    <mergeCell ref="A9:B9"/>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88"/>
    <col customWidth="1" min="2" max="2" width="2.0"/>
    <col customWidth="1" min="5" max="5" width="2.0"/>
    <col customWidth="1" min="8" max="8" width="1.88"/>
    <col customWidth="1" min="11" max="11" width="1.75"/>
    <col customWidth="1" min="14" max="14" width="1.88"/>
    <col customWidth="1" min="16" max="16" width="14.25"/>
    <col customWidth="1" min="17" max="17" width="2.0"/>
    <col customWidth="1" min="19" max="19" width="14.63"/>
    <col customWidth="1" min="20" max="20" width="1.88"/>
    <col customWidth="1" min="22" max="22" width="16.0"/>
    <col customWidth="1" min="23" max="23" width="2.13"/>
    <col customWidth="1" min="24" max="24" width="19.13"/>
    <col customWidth="1" min="25" max="25" width="22.38"/>
    <col customWidth="1" min="26" max="26" width="2.13"/>
    <col customWidth="1" min="28" max="28" width="22.0"/>
    <col customWidth="1" min="29" max="29" width="2.13"/>
    <col customWidth="1" min="32" max="32" width="26.13"/>
    <col customWidth="1" min="38" max="38" width="6.38"/>
    <col customWidth="1" min="40" max="40" width="17.5"/>
    <col customWidth="1" min="43" max="43" width="22.0"/>
    <col customWidth="1" min="44" max="44" width="2.13"/>
    <col customWidth="1" min="46" max="46" width="22.0"/>
    <col customWidth="1" min="47" max="47" width="2.13"/>
    <col customWidth="1" min="49" max="49" width="22.0"/>
  </cols>
  <sheetData>
    <row r="1">
      <c r="C1" s="33"/>
      <c r="D1" s="33"/>
      <c r="I1" s="33"/>
      <c r="J1" s="33"/>
      <c r="O1" s="33"/>
      <c r="P1" s="33"/>
      <c r="U1" s="33"/>
      <c r="V1" s="33"/>
    </row>
    <row r="2">
      <c r="C2" s="33"/>
      <c r="D2" s="33"/>
      <c r="I2" s="33"/>
      <c r="J2" s="33"/>
      <c r="O2" s="33"/>
      <c r="P2" s="33"/>
      <c r="U2" s="33"/>
      <c r="V2" s="33"/>
      <c r="X2" s="34"/>
      <c r="AA2" s="34"/>
      <c r="AP2" s="35"/>
      <c r="AQ2" s="35"/>
    </row>
    <row r="3">
      <c r="C3" s="36" t="s">
        <v>30</v>
      </c>
      <c r="D3" s="33"/>
      <c r="I3" s="36" t="s">
        <v>31</v>
      </c>
      <c r="J3" s="33"/>
      <c r="O3" s="36" t="s">
        <v>32</v>
      </c>
      <c r="P3" s="33"/>
      <c r="R3" s="37">
        <v>45983.0</v>
      </c>
      <c r="U3" s="36" t="s">
        <v>33</v>
      </c>
      <c r="V3" s="33"/>
      <c r="X3" s="34" t="s">
        <v>34</v>
      </c>
      <c r="AA3" s="26" t="s">
        <v>35</v>
      </c>
      <c r="AB3" s="3"/>
      <c r="AC3" s="3"/>
      <c r="AE3" s="26" t="s">
        <v>36</v>
      </c>
      <c r="AM3" s="38" t="s">
        <v>37</v>
      </c>
      <c r="AN3" s="39"/>
      <c r="AP3" s="40"/>
      <c r="AQ3" s="35"/>
      <c r="AS3" s="34"/>
    </row>
    <row r="4">
      <c r="C4" s="33"/>
      <c r="D4" s="33"/>
      <c r="I4" s="33"/>
      <c r="J4" s="33"/>
      <c r="O4" s="33"/>
      <c r="P4" s="33"/>
      <c r="U4" s="33"/>
      <c r="V4" s="33"/>
      <c r="AB4" s="3"/>
      <c r="AC4" s="3"/>
      <c r="AP4" s="41" t="s">
        <v>36</v>
      </c>
      <c r="AQ4" s="42"/>
      <c r="AS4" s="26" t="s">
        <v>36</v>
      </c>
    </row>
    <row r="5">
      <c r="C5" s="43" t="s">
        <v>38</v>
      </c>
      <c r="D5" s="44"/>
      <c r="F5" s="45"/>
      <c r="I5" s="43" t="s">
        <v>39</v>
      </c>
      <c r="J5" s="44"/>
      <c r="O5" s="43" t="s">
        <v>40</v>
      </c>
      <c r="P5" s="46"/>
      <c r="R5" s="43" t="s">
        <v>41</v>
      </c>
      <c r="S5" s="44"/>
      <c r="U5" s="43" t="s">
        <v>42</v>
      </c>
      <c r="V5" s="44"/>
      <c r="X5" s="43" t="s">
        <v>43</v>
      </c>
      <c r="Y5" s="44"/>
      <c r="AA5" s="47" t="s">
        <v>44</v>
      </c>
      <c r="AB5" s="48"/>
      <c r="AC5" s="3"/>
      <c r="AE5" s="49" t="s">
        <v>45</v>
      </c>
      <c r="AF5" s="50"/>
      <c r="AM5" s="51" t="s">
        <v>46</v>
      </c>
      <c r="AN5" s="46"/>
      <c r="AP5" s="52" t="s">
        <v>47</v>
      </c>
      <c r="AQ5" s="42"/>
      <c r="AS5" s="53" t="s">
        <v>48</v>
      </c>
    </row>
    <row r="6">
      <c r="C6" s="54" t="s">
        <v>49</v>
      </c>
      <c r="D6" s="55"/>
      <c r="E6" s="56"/>
      <c r="F6" s="57"/>
      <c r="H6" s="56"/>
      <c r="I6" s="58" t="s">
        <v>50</v>
      </c>
      <c r="J6" s="55"/>
      <c r="K6" s="56"/>
      <c r="N6" s="56"/>
      <c r="O6" s="58" t="s">
        <v>51</v>
      </c>
      <c r="P6" s="55"/>
      <c r="Q6" s="56"/>
      <c r="R6" s="58" t="s">
        <v>52</v>
      </c>
      <c r="S6" s="55"/>
      <c r="T6" s="56"/>
      <c r="U6" s="59" t="s">
        <v>53</v>
      </c>
      <c r="V6" s="55"/>
      <c r="W6" s="56"/>
      <c r="X6" s="60" t="s">
        <v>54</v>
      </c>
      <c r="Y6" s="55"/>
      <c r="Z6" s="56"/>
      <c r="AA6" s="61" t="s">
        <v>44</v>
      </c>
      <c r="AB6" s="62"/>
      <c r="AC6" s="63"/>
      <c r="AE6" s="64" t="s">
        <v>45</v>
      </c>
      <c r="AF6" s="55"/>
      <c r="AM6" s="65" t="s">
        <v>46</v>
      </c>
      <c r="AN6" s="55"/>
      <c r="AP6" s="66" t="s">
        <v>44</v>
      </c>
      <c r="AQ6" s="67"/>
      <c r="AS6" s="68" t="s">
        <v>44</v>
      </c>
      <c r="AT6" s="69"/>
      <c r="AV6" s="45"/>
    </row>
    <row r="7">
      <c r="C7" s="33"/>
      <c r="D7" s="33"/>
      <c r="I7" s="33"/>
      <c r="J7" s="33"/>
      <c r="U7" s="33"/>
      <c r="V7" s="33"/>
      <c r="AA7" s="3"/>
      <c r="AB7" s="3"/>
      <c r="AC7" s="3"/>
      <c r="AP7" s="70" t="s">
        <v>44</v>
      </c>
      <c r="AQ7" s="55"/>
      <c r="AS7" s="71" t="s">
        <v>55</v>
      </c>
      <c r="AT7" s="55"/>
      <c r="AV7" s="34"/>
    </row>
    <row r="8">
      <c r="I8" s="33"/>
      <c r="J8" s="33"/>
      <c r="O8" s="72" t="s">
        <v>56</v>
      </c>
      <c r="P8" s="73"/>
      <c r="U8" s="43" t="s">
        <v>57</v>
      </c>
      <c r="V8" s="44"/>
      <c r="X8" s="43" t="s">
        <v>58</v>
      </c>
      <c r="Y8" s="44"/>
      <c r="AA8" s="68" t="s">
        <v>59</v>
      </c>
      <c r="AB8" s="74"/>
      <c r="AC8" s="3"/>
      <c r="AE8" s="49" t="s">
        <v>60</v>
      </c>
      <c r="AF8" s="50"/>
      <c r="AM8" s="51" t="s">
        <v>61</v>
      </c>
      <c r="AN8" s="46"/>
      <c r="AP8" s="42"/>
      <c r="AQ8" s="42"/>
      <c r="AS8" s="3"/>
      <c r="AT8" s="3"/>
    </row>
    <row r="9">
      <c r="I9" s="33"/>
      <c r="J9" s="33"/>
      <c r="L9" s="75" t="s">
        <v>62</v>
      </c>
      <c r="O9" s="58" t="s">
        <v>63</v>
      </c>
      <c r="P9" s="55"/>
      <c r="U9" s="58" t="s">
        <v>64</v>
      </c>
      <c r="V9" s="55"/>
      <c r="W9" s="56"/>
      <c r="X9" s="60" t="s">
        <v>65</v>
      </c>
      <c r="Y9" s="55"/>
      <c r="Z9" s="56"/>
      <c r="AA9" s="71" t="s">
        <v>66</v>
      </c>
      <c r="AB9" s="55"/>
      <c r="AC9" s="63"/>
      <c r="AE9" s="64" t="s">
        <v>67</v>
      </c>
      <c r="AF9" s="55"/>
      <c r="AM9" s="65" t="s">
        <v>68</v>
      </c>
      <c r="AN9" s="55"/>
      <c r="AP9" s="66" t="s">
        <v>59</v>
      </c>
      <c r="AQ9" s="67"/>
      <c r="AS9" s="68" t="s">
        <v>69</v>
      </c>
      <c r="AT9" s="74"/>
      <c r="AV9" s="45" t="s">
        <v>70</v>
      </c>
    </row>
    <row r="10">
      <c r="C10" s="76"/>
      <c r="I10" s="33"/>
      <c r="J10" s="33"/>
      <c r="L10" s="77" t="s">
        <v>71</v>
      </c>
      <c r="M10" s="78"/>
      <c r="N10" s="78"/>
      <c r="O10" s="78"/>
      <c r="P10" s="78"/>
      <c r="X10" s="34"/>
      <c r="AA10" s="3"/>
      <c r="AB10" s="3"/>
      <c r="AC10" s="3"/>
      <c r="AP10" s="70" t="s">
        <v>72</v>
      </c>
      <c r="AQ10" s="55"/>
      <c r="AS10" s="71" t="s">
        <v>73</v>
      </c>
      <c r="AT10" s="55"/>
      <c r="AV10" s="79"/>
    </row>
    <row r="11">
      <c r="C11" s="57"/>
      <c r="I11" s="33"/>
      <c r="J11" s="33"/>
      <c r="L11" s="77" t="s">
        <v>74</v>
      </c>
      <c r="M11" s="78"/>
      <c r="N11" s="78"/>
      <c r="O11" s="78"/>
      <c r="P11" s="78"/>
      <c r="U11" s="72" t="s">
        <v>75</v>
      </c>
      <c r="V11" s="73"/>
      <c r="X11" s="43" t="s">
        <v>76</v>
      </c>
      <c r="Y11" s="44"/>
      <c r="AA11" s="68" t="s">
        <v>77</v>
      </c>
      <c r="AB11" s="74"/>
      <c r="AC11" s="3"/>
      <c r="AE11" s="49" t="s">
        <v>78</v>
      </c>
      <c r="AF11" s="50"/>
      <c r="AM11" s="51" t="s">
        <v>79</v>
      </c>
      <c r="AN11" s="46"/>
      <c r="AP11" s="42"/>
      <c r="AQ11" s="42"/>
      <c r="AS11" s="3"/>
      <c r="AT11" s="3"/>
    </row>
    <row r="12">
      <c r="I12" s="33"/>
      <c r="J12" s="33"/>
      <c r="L12" s="77" t="s">
        <v>80</v>
      </c>
      <c r="O12" s="33"/>
      <c r="P12" s="33"/>
      <c r="U12" s="58" t="s">
        <v>81</v>
      </c>
      <c r="V12" s="55"/>
      <c r="W12" s="56"/>
      <c r="X12" s="60" t="s">
        <v>82</v>
      </c>
      <c r="Y12" s="55"/>
      <c r="Z12" s="56"/>
      <c r="AA12" s="80" t="s">
        <v>83</v>
      </c>
      <c r="AB12" s="55"/>
      <c r="AC12" s="63"/>
      <c r="AE12" s="64" t="s">
        <v>84</v>
      </c>
      <c r="AF12" s="55"/>
      <c r="AM12" s="65" t="s">
        <v>85</v>
      </c>
      <c r="AN12" s="55"/>
      <c r="AP12" s="66" t="s">
        <v>77</v>
      </c>
      <c r="AQ12" s="67"/>
      <c r="AS12" s="68" t="s">
        <v>77</v>
      </c>
      <c r="AT12" s="50"/>
      <c r="AV12" s="45"/>
    </row>
    <row r="13">
      <c r="I13" s="33"/>
      <c r="J13" s="33"/>
      <c r="L13" s="77" t="s">
        <v>86</v>
      </c>
      <c r="O13" s="33"/>
      <c r="P13" s="33"/>
      <c r="AA13" s="3"/>
      <c r="AB13" s="3"/>
      <c r="AC13" s="3"/>
      <c r="AP13" s="81" t="s">
        <v>87</v>
      </c>
      <c r="AQ13" s="55"/>
      <c r="AS13" s="82" t="s">
        <v>88</v>
      </c>
      <c r="AT13" s="55"/>
      <c r="AV13" s="34"/>
    </row>
    <row r="14">
      <c r="C14" s="33"/>
      <c r="D14" s="33"/>
      <c r="I14" s="33"/>
      <c r="J14" s="33"/>
      <c r="L14" s="75" t="s">
        <v>89</v>
      </c>
      <c r="O14" s="33"/>
      <c r="P14" s="33"/>
      <c r="U14" s="72" t="s">
        <v>90</v>
      </c>
      <c r="V14" s="73"/>
      <c r="X14" s="43" t="s">
        <v>91</v>
      </c>
      <c r="Y14" s="44"/>
      <c r="Z14" s="56"/>
      <c r="AA14" s="83" t="s">
        <v>92</v>
      </c>
      <c r="AB14" s="84"/>
      <c r="AC14" s="3"/>
      <c r="AE14" s="49" t="s">
        <v>93</v>
      </c>
      <c r="AF14" s="50"/>
      <c r="AM14" s="51" t="s">
        <v>94</v>
      </c>
      <c r="AN14" s="46"/>
      <c r="AP14" s="42"/>
      <c r="AQ14" s="42"/>
      <c r="AS14" s="3"/>
      <c r="AT14" s="3"/>
    </row>
    <row r="15">
      <c r="C15" s="33"/>
      <c r="D15" s="33"/>
      <c r="I15" s="33"/>
      <c r="J15" s="33"/>
      <c r="L15" s="34" t="s">
        <v>95</v>
      </c>
      <c r="O15" s="33"/>
      <c r="P15" s="33"/>
      <c r="U15" s="58" t="s">
        <v>96</v>
      </c>
      <c r="V15" s="55"/>
      <c r="X15" s="60" t="s">
        <v>97</v>
      </c>
      <c r="Y15" s="55"/>
      <c r="AA15" s="85" t="s">
        <v>98</v>
      </c>
      <c r="AB15" s="62"/>
      <c r="AC15" s="63"/>
      <c r="AE15" s="64" t="s">
        <v>99</v>
      </c>
      <c r="AF15" s="55"/>
      <c r="AM15" s="65" t="s">
        <v>100</v>
      </c>
      <c r="AN15" s="55"/>
      <c r="AP15" s="66" t="s">
        <v>101</v>
      </c>
      <c r="AQ15" s="67"/>
      <c r="AS15" s="68" t="s">
        <v>101</v>
      </c>
      <c r="AT15" s="69"/>
      <c r="AV15" s="45"/>
    </row>
    <row r="16">
      <c r="C16" s="33"/>
      <c r="D16" s="33"/>
      <c r="I16" s="33"/>
      <c r="J16" s="33"/>
      <c r="L16" s="34" t="s">
        <v>102</v>
      </c>
      <c r="O16" s="33"/>
      <c r="P16" s="33"/>
      <c r="AA16" s="3"/>
      <c r="AB16" s="3"/>
      <c r="AC16" s="3"/>
      <c r="AP16" s="70" t="s">
        <v>103</v>
      </c>
      <c r="AQ16" s="55"/>
      <c r="AS16" s="71" t="s">
        <v>104</v>
      </c>
      <c r="AT16" s="55"/>
      <c r="AV16" s="34"/>
    </row>
    <row r="17">
      <c r="C17" s="33"/>
      <c r="D17" s="33"/>
      <c r="I17" s="33"/>
      <c r="J17" s="33"/>
      <c r="L17" s="34" t="s">
        <v>105</v>
      </c>
      <c r="O17" s="33"/>
      <c r="P17" s="33"/>
      <c r="X17" s="43" t="s">
        <v>106</v>
      </c>
      <c r="Y17" s="44"/>
      <c r="AA17" s="86" t="s">
        <v>107</v>
      </c>
      <c r="AB17" s="67"/>
      <c r="AC17" s="3"/>
      <c r="AE17" s="49" t="s">
        <v>108</v>
      </c>
      <c r="AF17" s="50"/>
      <c r="AP17" s="42"/>
      <c r="AQ17" s="42"/>
      <c r="AS17" s="3"/>
      <c r="AT17" s="3"/>
    </row>
    <row r="18">
      <c r="C18" s="33"/>
      <c r="D18" s="33"/>
      <c r="I18" s="33"/>
      <c r="J18" s="33"/>
      <c r="O18" s="33"/>
      <c r="P18" s="33"/>
      <c r="W18" s="56"/>
      <c r="X18" s="60" t="s">
        <v>109</v>
      </c>
      <c r="Y18" s="55"/>
      <c r="Z18" s="56"/>
      <c r="AA18" s="81" t="s">
        <v>110</v>
      </c>
      <c r="AB18" s="55"/>
      <c r="AC18" s="63"/>
      <c r="AE18" s="64" t="s">
        <v>111</v>
      </c>
      <c r="AF18" s="55"/>
      <c r="AP18" s="87"/>
      <c r="AQ18" s="88"/>
      <c r="AS18" s="68" t="s">
        <v>112</v>
      </c>
      <c r="AT18" s="74"/>
      <c r="AV18" s="45"/>
    </row>
    <row r="19">
      <c r="C19" s="33"/>
      <c r="D19" s="33"/>
      <c r="I19" s="33"/>
      <c r="J19" s="33"/>
      <c r="O19" s="33"/>
      <c r="P19" s="33"/>
      <c r="U19" s="33"/>
      <c r="V19" s="33"/>
      <c r="X19" s="34"/>
      <c r="AA19" s="3"/>
      <c r="AB19" s="3"/>
      <c r="AC19" s="3"/>
      <c r="AP19" s="89"/>
      <c r="AQ19" s="55"/>
      <c r="AS19" s="71" t="s">
        <v>113</v>
      </c>
      <c r="AT19" s="55"/>
      <c r="AV19" s="34"/>
    </row>
    <row r="20">
      <c r="C20" s="33"/>
      <c r="D20" s="33"/>
      <c r="I20" s="33"/>
      <c r="J20" s="33"/>
      <c r="O20" s="33"/>
      <c r="P20" s="33"/>
      <c r="U20" s="33"/>
      <c r="V20" s="33"/>
      <c r="X20" s="34"/>
      <c r="AA20" s="86" t="s">
        <v>114</v>
      </c>
      <c r="AB20" s="67"/>
      <c r="AC20" s="3"/>
      <c r="AE20" s="49" t="s">
        <v>115</v>
      </c>
      <c r="AF20" s="50"/>
      <c r="AP20" s="90"/>
      <c r="AQ20" s="90"/>
      <c r="AS20" s="3"/>
      <c r="AT20" s="3"/>
      <c r="AV20" s="34"/>
    </row>
    <row r="21">
      <c r="C21" s="33"/>
      <c r="D21" s="33"/>
      <c r="I21" s="33"/>
      <c r="J21" s="33"/>
      <c r="O21" s="33"/>
      <c r="P21" s="33"/>
      <c r="U21" s="33"/>
      <c r="V21" s="33"/>
      <c r="X21" s="43" t="s">
        <v>116</v>
      </c>
      <c r="Y21" s="44"/>
      <c r="AA21" s="81" t="s">
        <v>117</v>
      </c>
      <c r="AB21" s="55"/>
      <c r="AC21" s="3"/>
      <c r="AE21" s="64" t="s">
        <v>118</v>
      </c>
      <c r="AF21" s="55"/>
      <c r="AP21" s="86" t="s">
        <v>119</v>
      </c>
      <c r="AQ21" s="67"/>
      <c r="AS21" s="91" t="s">
        <v>119</v>
      </c>
      <c r="AT21" s="69"/>
    </row>
    <row r="22">
      <c r="C22" s="33"/>
      <c r="D22" s="33"/>
      <c r="I22" s="33"/>
      <c r="J22" s="33"/>
      <c r="O22" s="33"/>
      <c r="P22" s="33"/>
      <c r="U22" s="33"/>
      <c r="V22" s="33"/>
      <c r="X22" s="92" t="s">
        <v>120</v>
      </c>
      <c r="Y22" s="55"/>
      <c r="AA22" s="42"/>
      <c r="AB22" s="42"/>
      <c r="AC22" s="3"/>
      <c r="AP22" s="81" t="s">
        <v>121</v>
      </c>
      <c r="AQ22" s="55"/>
      <c r="AS22" s="93" t="s">
        <v>104</v>
      </c>
      <c r="AT22" s="55"/>
      <c r="AV22" s="45"/>
    </row>
    <row r="23">
      <c r="C23" s="33"/>
      <c r="D23" s="33"/>
      <c r="I23" s="33"/>
      <c r="J23" s="33"/>
      <c r="O23" s="33"/>
      <c r="P23" s="33"/>
      <c r="U23" s="33"/>
      <c r="V23" s="33"/>
      <c r="AA23" s="86" t="s">
        <v>122</v>
      </c>
      <c r="AB23" s="67"/>
      <c r="AC23" s="3"/>
      <c r="AE23" s="49" t="s">
        <v>123</v>
      </c>
      <c r="AF23" s="50"/>
      <c r="AP23" s="90"/>
      <c r="AQ23" s="90"/>
      <c r="AS23" s="94"/>
      <c r="AT23" s="94"/>
      <c r="AV23" s="34"/>
    </row>
    <row r="24">
      <c r="C24" s="33"/>
      <c r="D24" s="33"/>
      <c r="I24" s="33"/>
      <c r="J24" s="33"/>
      <c r="O24" s="33"/>
      <c r="P24" s="33"/>
      <c r="U24" s="33"/>
      <c r="V24" s="33"/>
      <c r="X24" s="43" t="s">
        <v>124</v>
      </c>
      <c r="Y24" s="44"/>
      <c r="AA24" s="81" t="s">
        <v>125</v>
      </c>
      <c r="AB24" s="55"/>
      <c r="AC24" s="3"/>
      <c r="AE24" s="64" t="s">
        <v>126</v>
      </c>
      <c r="AF24" s="55"/>
      <c r="AP24" s="86" t="s">
        <v>127</v>
      </c>
      <c r="AQ24" s="67"/>
      <c r="AS24" s="91" t="s">
        <v>114</v>
      </c>
      <c r="AT24" s="69"/>
    </row>
    <row r="25">
      <c r="C25" s="33"/>
      <c r="D25" s="33"/>
      <c r="I25" s="33"/>
      <c r="J25" s="33"/>
      <c r="O25" s="33"/>
      <c r="P25" s="33"/>
      <c r="U25" s="33"/>
      <c r="V25" s="33"/>
      <c r="X25" s="92" t="s">
        <v>128</v>
      </c>
      <c r="Y25" s="55"/>
      <c r="AC25" s="3"/>
      <c r="AP25" s="81" t="s">
        <v>129</v>
      </c>
      <c r="AQ25" s="55"/>
      <c r="AS25" s="93" t="s">
        <v>104</v>
      </c>
      <c r="AT25" s="55"/>
    </row>
    <row r="26">
      <c r="AC26" s="3"/>
      <c r="AE26" s="49" t="s">
        <v>130</v>
      </c>
      <c r="AF26" s="50"/>
      <c r="AP26" s="52" t="s">
        <v>131</v>
      </c>
      <c r="AQ26" s="42"/>
      <c r="AS26" s="3"/>
      <c r="AT26" s="3"/>
    </row>
    <row r="27">
      <c r="X27" s="43" t="s">
        <v>132</v>
      </c>
      <c r="Y27" s="44"/>
      <c r="AC27" s="3"/>
      <c r="AE27" s="64" t="s">
        <v>133</v>
      </c>
      <c r="AF27" s="55"/>
      <c r="AP27" s="86" t="s">
        <v>134</v>
      </c>
      <c r="AQ27" s="67"/>
      <c r="AS27" s="91" t="s">
        <v>122</v>
      </c>
      <c r="AT27" s="74"/>
    </row>
    <row r="28">
      <c r="C28" s="33"/>
      <c r="D28" s="33"/>
      <c r="I28" s="33"/>
      <c r="J28" s="33"/>
      <c r="O28" s="33"/>
      <c r="P28" s="33"/>
      <c r="U28" s="33"/>
      <c r="V28" s="33"/>
      <c r="X28" s="92" t="s">
        <v>135</v>
      </c>
      <c r="Y28" s="55"/>
      <c r="AC28" s="3"/>
      <c r="AP28" s="95" t="s">
        <v>136</v>
      </c>
      <c r="AQ28" s="55"/>
      <c r="AS28" s="96" t="s">
        <v>137</v>
      </c>
      <c r="AT28" s="55"/>
    </row>
    <row r="29">
      <c r="C29" s="33"/>
      <c r="D29" s="33"/>
      <c r="I29" s="33"/>
      <c r="J29" s="33"/>
      <c r="O29" s="33"/>
      <c r="P29" s="33"/>
      <c r="AC29" s="3"/>
      <c r="AE29" s="49" t="s">
        <v>138</v>
      </c>
      <c r="AF29" s="50"/>
      <c r="AP29" s="42"/>
      <c r="AQ29" s="42"/>
    </row>
    <row r="30">
      <c r="C30" s="43" t="s">
        <v>139</v>
      </c>
      <c r="D30" s="44"/>
      <c r="I30" s="43" t="s">
        <v>140</v>
      </c>
      <c r="J30" s="44"/>
      <c r="O30" s="43" t="s">
        <v>141</v>
      </c>
      <c r="P30" s="44"/>
      <c r="R30" s="72" t="s">
        <v>142</v>
      </c>
      <c r="S30" s="73"/>
      <c r="U30" s="72" t="s">
        <v>143</v>
      </c>
      <c r="V30" s="73"/>
      <c r="X30" s="43" t="s">
        <v>144</v>
      </c>
      <c r="Y30" s="44"/>
      <c r="AC30" s="3"/>
      <c r="AE30" s="64" t="s">
        <v>145</v>
      </c>
      <c r="AF30" s="55"/>
      <c r="AP30" s="86" t="s">
        <v>146</v>
      </c>
      <c r="AQ30" s="67"/>
    </row>
    <row r="31">
      <c r="C31" s="97" t="s">
        <v>147</v>
      </c>
      <c r="D31" s="55"/>
      <c r="I31" s="98" t="s">
        <v>148</v>
      </c>
      <c r="J31" s="55"/>
      <c r="O31" s="98" t="s">
        <v>149</v>
      </c>
      <c r="P31" s="55"/>
      <c r="R31" s="98" t="s">
        <v>150</v>
      </c>
      <c r="S31" s="55"/>
      <c r="U31" s="98" t="s">
        <v>151</v>
      </c>
      <c r="V31" s="55"/>
      <c r="X31" s="99" t="s">
        <v>152</v>
      </c>
      <c r="Y31" s="55"/>
      <c r="AC31" s="3"/>
      <c r="AP31" s="100" t="s">
        <v>153</v>
      </c>
      <c r="AQ31" s="55"/>
    </row>
    <row r="32">
      <c r="C32" s="33"/>
      <c r="D32" s="33"/>
      <c r="I32" s="33"/>
      <c r="J32" s="33"/>
      <c r="O32" s="33"/>
      <c r="P32" s="33"/>
      <c r="U32" s="33"/>
      <c r="V32" s="33"/>
      <c r="AC32" s="3"/>
      <c r="AE32" s="49" t="s">
        <v>154</v>
      </c>
      <c r="AF32" s="50"/>
      <c r="AP32" s="42"/>
      <c r="AQ32" s="42"/>
    </row>
    <row r="33">
      <c r="C33" s="33"/>
      <c r="D33" s="33"/>
      <c r="I33" s="33"/>
      <c r="J33" s="33"/>
      <c r="O33" s="33"/>
      <c r="P33" s="33"/>
      <c r="U33" s="33"/>
      <c r="V33" s="33"/>
      <c r="X33" s="43" t="s">
        <v>155</v>
      </c>
      <c r="Y33" s="44"/>
      <c r="AC33" s="3"/>
      <c r="AE33" s="64" t="s">
        <v>156</v>
      </c>
      <c r="AF33" s="55"/>
      <c r="AP33" s="86" t="s">
        <v>157</v>
      </c>
      <c r="AQ33" s="67"/>
    </row>
    <row r="34">
      <c r="C34" s="33"/>
      <c r="D34" s="33"/>
      <c r="I34" s="33"/>
      <c r="J34" s="33"/>
      <c r="O34" s="33"/>
      <c r="P34" s="33"/>
      <c r="U34" s="33"/>
      <c r="V34" s="33"/>
      <c r="X34" s="92" t="s">
        <v>158</v>
      </c>
      <c r="Y34" s="55"/>
      <c r="AC34" s="3"/>
      <c r="AP34" s="81" t="s">
        <v>159</v>
      </c>
      <c r="AQ34" s="55"/>
    </row>
    <row r="35">
      <c r="C35" s="33"/>
      <c r="D35" s="33"/>
      <c r="I35" s="33"/>
      <c r="J35" s="33"/>
      <c r="O35" s="33"/>
      <c r="P35" s="33"/>
      <c r="U35" s="33"/>
      <c r="V35" s="33"/>
      <c r="AC35" s="3"/>
      <c r="AE35" s="49" t="s">
        <v>160</v>
      </c>
      <c r="AF35" s="50"/>
      <c r="AP35" s="42"/>
      <c r="AQ35" s="42"/>
    </row>
    <row r="36">
      <c r="C36" s="33"/>
      <c r="D36" s="33"/>
      <c r="I36" s="33"/>
      <c r="J36" s="33"/>
      <c r="O36" s="33"/>
      <c r="P36" s="33"/>
      <c r="U36" s="33"/>
      <c r="V36" s="33"/>
      <c r="X36" s="43" t="s">
        <v>161</v>
      </c>
      <c r="Y36" s="44"/>
      <c r="Z36" s="39"/>
      <c r="AC36" s="3"/>
      <c r="AE36" s="64" t="s">
        <v>162</v>
      </c>
      <c r="AF36" s="55"/>
      <c r="AP36" s="86" t="s">
        <v>163</v>
      </c>
      <c r="AQ36" s="67"/>
    </row>
    <row r="37">
      <c r="C37" s="33"/>
      <c r="D37" s="33"/>
      <c r="I37" s="33"/>
      <c r="J37" s="33"/>
      <c r="O37" s="33"/>
      <c r="P37" s="33"/>
      <c r="U37" s="33"/>
      <c r="V37" s="33"/>
      <c r="X37" s="101" t="s">
        <v>164</v>
      </c>
      <c r="Y37" s="55"/>
      <c r="Z37" s="39"/>
      <c r="AC37" s="3"/>
      <c r="AP37" s="81" t="s">
        <v>165</v>
      </c>
      <c r="AQ37" s="55"/>
    </row>
    <row r="38">
      <c r="C38" s="33"/>
      <c r="D38" s="33"/>
      <c r="I38" s="33"/>
      <c r="J38" s="33"/>
      <c r="O38" s="33"/>
      <c r="P38" s="33"/>
      <c r="U38" s="33"/>
      <c r="V38" s="33"/>
      <c r="Z38" s="39"/>
      <c r="AC38" s="3"/>
      <c r="AP38" s="42"/>
      <c r="AQ38" s="42"/>
    </row>
    <row r="39">
      <c r="C39" s="33"/>
      <c r="D39" s="33"/>
      <c r="I39" s="33"/>
      <c r="J39" s="33"/>
      <c r="O39" s="33"/>
      <c r="P39" s="33"/>
      <c r="U39" s="33"/>
      <c r="V39" s="33"/>
      <c r="X39" s="43" t="s">
        <v>166</v>
      </c>
      <c r="Y39" s="44"/>
      <c r="Z39" s="39"/>
      <c r="AC39" s="3"/>
      <c r="AP39" s="86" t="s">
        <v>167</v>
      </c>
      <c r="AQ39" s="67"/>
    </row>
    <row r="40">
      <c r="C40" s="33"/>
      <c r="D40" s="33"/>
      <c r="I40" s="33"/>
      <c r="J40" s="33"/>
      <c r="O40" s="33"/>
      <c r="P40" s="33"/>
      <c r="U40" s="33"/>
      <c r="V40" s="33"/>
      <c r="X40" s="101" t="s">
        <v>168</v>
      </c>
      <c r="Y40" s="55"/>
      <c r="Z40" s="39"/>
      <c r="AC40" s="3"/>
      <c r="AP40" s="81" t="s">
        <v>169</v>
      </c>
      <c r="AQ40" s="55"/>
    </row>
    <row r="41">
      <c r="C41" s="33"/>
      <c r="D41" s="33"/>
      <c r="I41" s="33"/>
      <c r="J41" s="33"/>
      <c r="O41" s="33"/>
      <c r="P41" s="33"/>
      <c r="U41" s="33"/>
      <c r="V41" s="33"/>
      <c r="Z41" s="39"/>
      <c r="AC41" s="3"/>
      <c r="AP41" s="42"/>
      <c r="AQ41" s="42"/>
    </row>
    <row r="42">
      <c r="C42" s="33"/>
      <c r="D42" s="33"/>
      <c r="I42" s="33"/>
      <c r="J42" s="33"/>
      <c r="O42" s="33"/>
      <c r="P42" s="33"/>
      <c r="U42" s="33"/>
      <c r="V42" s="33"/>
      <c r="X42" s="43" t="s">
        <v>170</v>
      </c>
      <c r="Y42" s="44"/>
      <c r="Z42" s="39"/>
      <c r="AC42" s="3"/>
      <c r="AP42" s="86" t="s">
        <v>114</v>
      </c>
      <c r="AQ42" s="67"/>
    </row>
    <row r="43">
      <c r="C43" s="33"/>
      <c r="D43" s="33"/>
      <c r="I43" s="33"/>
      <c r="J43" s="33"/>
      <c r="O43" s="33"/>
      <c r="P43" s="33"/>
      <c r="U43" s="33"/>
      <c r="V43" s="33"/>
      <c r="X43" s="101" t="s">
        <v>171</v>
      </c>
      <c r="Y43" s="55"/>
      <c r="Z43" s="39"/>
      <c r="AC43" s="3"/>
      <c r="AP43" s="81" t="s">
        <v>172</v>
      </c>
      <c r="AQ43" s="55"/>
    </row>
    <row r="44">
      <c r="C44" s="33"/>
      <c r="D44" s="33"/>
      <c r="I44" s="33"/>
      <c r="J44" s="33"/>
      <c r="O44" s="33"/>
      <c r="P44" s="33"/>
      <c r="U44" s="33"/>
      <c r="V44" s="33"/>
      <c r="Z44" s="39"/>
      <c r="AC44" s="3"/>
      <c r="AP44" s="42"/>
      <c r="AQ44" s="42"/>
    </row>
    <row r="45">
      <c r="C45" s="33"/>
      <c r="D45" s="33"/>
      <c r="I45" s="33"/>
      <c r="J45" s="33"/>
      <c r="O45" s="33"/>
      <c r="P45" s="33"/>
      <c r="U45" s="33"/>
      <c r="V45" s="33"/>
      <c r="X45" s="43" t="s">
        <v>173</v>
      </c>
      <c r="Y45" s="44"/>
      <c r="Z45" s="39"/>
      <c r="AC45" s="3"/>
      <c r="AP45" s="86" t="s">
        <v>122</v>
      </c>
      <c r="AQ45" s="67"/>
    </row>
    <row r="46">
      <c r="C46" s="33"/>
      <c r="D46" s="33"/>
      <c r="I46" s="33"/>
      <c r="J46" s="33"/>
      <c r="O46" s="33"/>
      <c r="P46" s="33"/>
      <c r="U46" s="33"/>
      <c r="V46" s="33"/>
      <c r="X46" s="102" t="s">
        <v>174</v>
      </c>
      <c r="Y46" s="55"/>
      <c r="Z46" s="39"/>
      <c r="AA46" s="3"/>
      <c r="AB46" s="3"/>
      <c r="AC46" s="3"/>
      <c r="AP46" s="81" t="s">
        <v>175</v>
      </c>
      <c r="AQ46" s="55"/>
    </row>
    <row r="47">
      <c r="C47" s="33"/>
      <c r="D47" s="33"/>
      <c r="I47" s="33"/>
      <c r="J47" s="33"/>
      <c r="O47" s="33"/>
      <c r="P47" s="33"/>
      <c r="U47" s="33"/>
      <c r="V47" s="33"/>
      <c r="Z47" s="39"/>
      <c r="AA47" s="3"/>
      <c r="AB47" s="3"/>
      <c r="AC47" s="3"/>
      <c r="AP47" s="42"/>
      <c r="AQ47" s="42"/>
    </row>
    <row r="48">
      <c r="C48" s="33"/>
      <c r="D48" s="33"/>
      <c r="I48" s="33"/>
      <c r="J48" s="33"/>
      <c r="O48" s="33"/>
      <c r="P48" s="33"/>
      <c r="U48" s="33"/>
      <c r="V48" s="33"/>
      <c r="X48" s="43" t="s">
        <v>176</v>
      </c>
      <c r="Y48" s="44"/>
      <c r="Z48" s="39"/>
      <c r="AA48" s="3"/>
      <c r="AB48" s="3"/>
      <c r="AC48" s="3"/>
      <c r="AP48" s="42"/>
      <c r="AQ48" s="42"/>
    </row>
    <row r="49">
      <c r="C49" s="33"/>
      <c r="D49" s="33"/>
      <c r="I49" s="33"/>
      <c r="J49" s="33"/>
      <c r="O49" s="33"/>
      <c r="P49" s="33"/>
      <c r="U49" s="33"/>
      <c r="V49" s="33"/>
      <c r="X49" s="101" t="s">
        <v>177</v>
      </c>
      <c r="Y49" s="55"/>
      <c r="Z49" s="39"/>
      <c r="AA49" s="3"/>
      <c r="AB49" s="3"/>
      <c r="AC49" s="3"/>
      <c r="AP49" s="42"/>
      <c r="AQ49" s="42"/>
    </row>
    <row r="50">
      <c r="C50" s="33"/>
      <c r="D50" s="33"/>
      <c r="I50" s="33"/>
      <c r="J50" s="33"/>
      <c r="O50" s="33"/>
      <c r="P50" s="33"/>
      <c r="U50" s="33"/>
      <c r="V50" s="33"/>
      <c r="Z50" s="39"/>
      <c r="AA50" s="3"/>
      <c r="AB50" s="3"/>
      <c r="AC50" s="3"/>
      <c r="AP50" s="42"/>
      <c r="AQ50" s="42"/>
    </row>
    <row r="51">
      <c r="C51" s="33"/>
      <c r="D51" s="33"/>
      <c r="I51" s="33"/>
      <c r="J51" s="33"/>
      <c r="O51" s="33"/>
      <c r="P51" s="33"/>
      <c r="U51" s="33"/>
      <c r="V51" s="33"/>
      <c r="X51" s="43" t="s">
        <v>178</v>
      </c>
      <c r="Y51" s="44"/>
      <c r="Z51" s="39"/>
      <c r="AA51" s="3"/>
      <c r="AB51" s="3"/>
      <c r="AC51" s="3"/>
      <c r="AP51" s="42"/>
      <c r="AQ51" s="42"/>
    </row>
    <row r="52">
      <c r="C52" s="33"/>
      <c r="D52" s="33"/>
      <c r="I52" s="33"/>
      <c r="J52" s="33"/>
      <c r="O52" s="33"/>
      <c r="P52" s="33"/>
      <c r="U52" s="33"/>
      <c r="V52" s="33"/>
      <c r="X52" s="92" t="s">
        <v>179</v>
      </c>
      <c r="Y52" s="55"/>
      <c r="Z52" s="39"/>
      <c r="AA52" s="3"/>
      <c r="AB52" s="3"/>
      <c r="AC52" s="3"/>
      <c r="AP52" s="42"/>
      <c r="AQ52" s="42"/>
    </row>
    <row r="53">
      <c r="C53" s="33"/>
      <c r="D53" s="33"/>
      <c r="I53" s="33"/>
      <c r="J53" s="33"/>
      <c r="O53" s="33"/>
      <c r="P53" s="33"/>
      <c r="U53" s="33"/>
      <c r="V53" s="33"/>
      <c r="Z53" s="39"/>
      <c r="AA53" s="3"/>
      <c r="AB53" s="3"/>
      <c r="AC53" s="3"/>
      <c r="AP53" s="42"/>
      <c r="AQ53" s="42"/>
    </row>
    <row r="54">
      <c r="C54" s="33"/>
      <c r="D54" s="33"/>
      <c r="I54" s="33"/>
      <c r="J54" s="33"/>
      <c r="O54" s="33"/>
      <c r="P54" s="33"/>
      <c r="U54" s="33"/>
      <c r="V54" s="33"/>
      <c r="X54" s="43" t="s">
        <v>180</v>
      </c>
      <c r="Y54" s="44"/>
      <c r="Z54" s="39"/>
      <c r="AA54" s="3"/>
      <c r="AB54" s="3"/>
      <c r="AC54" s="3"/>
      <c r="AP54" s="42"/>
      <c r="AQ54" s="42"/>
    </row>
    <row r="55">
      <c r="C55" s="33"/>
      <c r="D55" s="33"/>
      <c r="I55" s="33"/>
      <c r="J55" s="33"/>
      <c r="O55" s="33"/>
      <c r="P55" s="33"/>
      <c r="U55" s="33"/>
      <c r="V55" s="33"/>
      <c r="X55" s="92" t="s">
        <v>181</v>
      </c>
      <c r="Y55" s="55"/>
      <c r="Z55" s="39"/>
      <c r="AA55" s="3"/>
      <c r="AB55" s="3"/>
      <c r="AC55" s="3"/>
      <c r="AP55" s="42"/>
      <c r="AQ55" s="42"/>
    </row>
    <row r="56">
      <c r="C56" s="33"/>
      <c r="D56" s="33"/>
      <c r="I56" s="33"/>
      <c r="J56" s="33"/>
      <c r="O56" s="33"/>
      <c r="P56" s="33"/>
      <c r="U56" s="33"/>
      <c r="V56" s="33"/>
      <c r="Z56" s="39"/>
      <c r="AA56" s="3"/>
      <c r="AB56" s="3"/>
      <c r="AC56" s="3"/>
      <c r="AP56" s="42"/>
      <c r="AQ56" s="42"/>
    </row>
    <row r="57">
      <c r="C57" s="33"/>
      <c r="D57" s="33"/>
      <c r="I57" s="33"/>
      <c r="J57" s="33"/>
      <c r="O57" s="33"/>
      <c r="P57" s="33"/>
      <c r="U57" s="33"/>
      <c r="V57" s="33"/>
      <c r="X57" s="43" t="s">
        <v>182</v>
      </c>
      <c r="Y57" s="44"/>
      <c r="Z57" s="39"/>
      <c r="AA57" s="3"/>
      <c r="AB57" s="3"/>
      <c r="AC57" s="3"/>
      <c r="AP57" s="42"/>
      <c r="AQ57" s="42"/>
    </row>
    <row r="58">
      <c r="C58" s="33"/>
      <c r="D58" s="33"/>
      <c r="I58" s="33"/>
      <c r="J58" s="33"/>
      <c r="O58" s="33"/>
      <c r="P58" s="33"/>
      <c r="U58" s="33"/>
      <c r="V58" s="33"/>
      <c r="X58" s="92" t="s">
        <v>183</v>
      </c>
      <c r="Y58" s="55"/>
      <c r="Z58" s="39"/>
      <c r="AA58" s="3"/>
      <c r="AB58" s="3"/>
      <c r="AC58" s="3"/>
      <c r="AP58" s="42"/>
      <c r="AQ58" s="42"/>
    </row>
    <row r="59">
      <c r="C59" s="33"/>
      <c r="D59" s="33"/>
      <c r="I59" s="33"/>
      <c r="J59" s="33"/>
      <c r="O59" s="33"/>
      <c r="P59" s="33"/>
      <c r="U59" s="33"/>
      <c r="V59" s="33"/>
      <c r="Z59" s="39"/>
      <c r="AA59" s="3"/>
      <c r="AB59" s="3"/>
      <c r="AC59" s="3"/>
      <c r="AP59" s="42"/>
      <c r="AQ59" s="42"/>
    </row>
    <row r="60">
      <c r="C60" s="33"/>
      <c r="D60" s="33"/>
      <c r="I60" s="33"/>
      <c r="J60" s="33"/>
      <c r="O60" s="33"/>
      <c r="P60" s="33"/>
      <c r="U60" s="33"/>
      <c r="V60" s="33"/>
      <c r="X60" s="43" t="s">
        <v>184</v>
      </c>
      <c r="Y60" s="44"/>
      <c r="Z60" s="39"/>
      <c r="AA60" s="3"/>
      <c r="AB60" s="3"/>
      <c r="AC60" s="3"/>
      <c r="AP60" s="42"/>
      <c r="AQ60" s="42"/>
    </row>
    <row r="61">
      <c r="C61" s="33"/>
      <c r="D61" s="33"/>
      <c r="I61" s="33"/>
      <c r="J61" s="33"/>
      <c r="O61" s="33"/>
      <c r="P61" s="33"/>
      <c r="U61" s="33"/>
      <c r="V61" s="33"/>
      <c r="X61" s="92" t="s">
        <v>185</v>
      </c>
      <c r="Y61" s="55"/>
      <c r="Z61" s="39"/>
      <c r="AA61" s="3"/>
      <c r="AB61" s="3"/>
      <c r="AC61" s="3"/>
      <c r="AP61" s="42"/>
      <c r="AQ61" s="42"/>
    </row>
    <row r="62">
      <c r="C62" s="33"/>
      <c r="D62" s="33"/>
      <c r="I62" s="33"/>
      <c r="J62" s="33"/>
      <c r="O62" s="33"/>
      <c r="P62" s="33"/>
      <c r="U62" s="33"/>
      <c r="V62" s="33"/>
      <c r="Z62" s="39"/>
      <c r="AA62" s="3"/>
      <c r="AB62" s="3"/>
      <c r="AC62" s="3"/>
      <c r="AP62" s="42"/>
      <c r="AQ62" s="42"/>
    </row>
    <row r="63">
      <c r="C63" s="33"/>
      <c r="D63" s="33"/>
      <c r="I63" s="33"/>
      <c r="J63" s="33"/>
      <c r="O63" s="33"/>
      <c r="P63" s="33"/>
      <c r="U63" s="33"/>
      <c r="V63" s="33"/>
      <c r="X63" s="34" t="s">
        <v>186</v>
      </c>
      <c r="Z63" s="39"/>
      <c r="AA63" s="3"/>
      <c r="AB63" s="26" t="s">
        <v>187</v>
      </c>
      <c r="AC63" s="3"/>
      <c r="AP63" s="42"/>
      <c r="AQ63" s="42"/>
    </row>
    <row r="64">
      <c r="C64" s="33"/>
      <c r="D64" s="33"/>
      <c r="I64" s="33"/>
      <c r="J64" s="33"/>
      <c r="O64" s="33"/>
      <c r="P64" s="33"/>
      <c r="U64" s="33"/>
      <c r="V64" s="33"/>
      <c r="X64" s="103" t="s">
        <v>188</v>
      </c>
      <c r="Z64" s="39"/>
      <c r="AA64" s="3"/>
      <c r="AB64" s="3"/>
      <c r="AC64" s="3"/>
      <c r="AP64" s="42"/>
      <c r="AQ64" s="42"/>
    </row>
    <row r="65">
      <c r="C65" s="33"/>
      <c r="D65" s="33"/>
      <c r="I65" s="33"/>
      <c r="J65" s="33"/>
      <c r="O65" s="33"/>
      <c r="P65" s="33"/>
      <c r="U65" s="33"/>
      <c r="V65" s="33"/>
      <c r="Z65" s="39"/>
      <c r="AA65" s="3"/>
      <c r="AB65" s="26" t="s">
        <v>189</v>
      </c>
      <c r="AC65" s="3"/>
      <c r="AP65" s="42"/>
      <c r="AQ65" s="42"/>
    </row>
    <row r="66">
      <c r="C66" s="33"/>
      <c r="D66" s="33"/>
      <c r="I66" s="33"/>
      <c r="J66" s="33"/>
      <c r="O66" s="33"/>
      <c r="P66" s="33"/>
      <c r="U66" s="33"/>
      <c r="V66" s="33"/>
      <c r="X66" s="43" t="s">
        <v>190</v>
      </c>
      <c r="Y66" s="44"/>
      <c r="Z66" s="39"/>
      <c r="AA66" s="3"/>
      <c r="AB66" s="3"/>
      <c r="AC66" s="3"/>
      <c r="AP66" s="42"/>
      <c r="AQ66" s="42"/>
    </row>
    <row r="67">
      <c r="C67" s="33"/>
      <c r="D67" s="33"/>
      <c r="I67" s="33"/>
      <c r="J67" s="33"/>
      <c r="O67" s="33"/>
      <c r="P67" s="33"/>
      <c r="U67" s="33"/>
      <c r="V67" s="33"/>
      <c r="X67" s="92" t="s">
        <v>191</v>
      </c>
      <c r="Y67" s="55"/>
      <c r="Z67" s="39"/>
      <c r="AA67" s="3"/>
      <c r="AB67" s="26" t="s">
        <v>192</v>
      </c>
      <c r="AC67" s="3"/>
      <c r="AP67" s="42"/>
      <c r="AQ67" s="42"/>
    </row>
    <row r="68">
      <c r="C68" s="33"/>
      <c r="D68" s="33"/>
      <c r="I68" s="33"/>
      <c r="J68" s="33"/>
      <c r="O68" s="33"/>
      <c r="P68" s="33"/>
      <c r="U68" s="33"/>
      <c r="V68" s="33"/>
      <c r="Z68" s="39"/>
      <c r="AA68" s="3"/>
      <c r="AB68" s="3"/>
      <c r="AC68" s="3"/>
      <c r="AP68" s="42"/>
      <c r="AQ68" s="42"/>
    </row>
    <row r="69">
      <c r="C69" s="33"/>
      <c r="D69" s="33"/>
      <c r="I69" s="33"/>
      <c r="J69" s="33"/>
      <c r="O69" s="33"/>
      <c r="P69" s="33"/>
      <c r="U69" s="33"/>
      <c r="V69" s="33"/>
      <c r="X69" s="104" t="s">
        <v>193</v>
      </c>
      <c r="Y69" s="105"/>
      <c r="Z69" s="39"/>
      <c r="AA69" s="3"/>
      <c r="AB69" s="3"/>
      <c r="AC69" s="3"/>
      <c r="AP69" s="42"/>
      <c r="AQ69" s="42"/>
    </row>
    <row r="70">
      <c r="C70" s="33"/>
      <c r="D70" s="33"/>
      <c r="I70" s="33"/>
      <c r="J70" s="33"/>
      <c r="O70" s="33"/>
      <c r="P70" s="33"/>
      <c r="U70" s="33"/>
      <c r="V70" s="33"/>
      <c r="X70" s="106" t="s">
        <v>194</v>
      </c>
      <c r="Y70" s="55"/>
      <c r="Z70" s="39"/>
      <c r="AA70" s="3"/>
      <c r="AB70" s="3"/>
      <c r="AC70" s="3"/>
      <c r="AP70" s="42"/>
      <c r="AQ70" s="42"/>
    </row>
    <row r="71">
      <c r="C71" s="33"/>
      <c r="D71" s="33"/>
      <c r="I71" s="33"/>
      <c r="J71" s="33"/>
      <c r="O71" s="33"/>
      <c r="P71" s="33"/>
      <c r="U71" s="33"/>
      <c r="V71" s="33"/>
      <c r="Z71" s="39"/>
      <c r="AA71" s="3"/>
      <c r="AB71" s="3"/>
      <c r="AC71" s="3"/>
      <c r="AP71" s="42"/>
      <c r="AQ71" s="42"/>
    </row>
    <row r="72">
      <c r="C72" s="33"/>
      <c r="D72" s="33"/>
      <c r="I72" s="33"/>
      <c r="J72" s="33"/>
      <c r="O72" s="33"/>
      <c r="P72" s="33"/>
      <c r="U72" s="33"/>
      <c r="V72" s="33"/>
      <c r="X72" s="107" t="s">
        <v>195</v>
      </c>
      <c r="Y72" s="108"/>
      <c r="Z72" s="39"/>
      <c r="AA72" s="3"/>
      <c r="AB72" s="3"/>
      <c r="AC72" s="3"/>
      <c r="AP72" s="42"/>
      <c r="AQ72" s="42"/>
    </row>
    <row r="73">
      <c r="C73" s="33"/>
      <c r="D73" s="33"/>
      <c r="I73" s="33"/>
      <c r="J73" s="33"/>
      <c r="O73" s="33"/>
      <c r="P73" s="33"/>
      <c r="U73" s="33"/>
      <c r="V73" s="33"/>
      <c r="X73" s="98" t="s">
        <v>196</v>
      </c>
      <c r="Y73" s="55"/>
      <c r="Z73" s="39"/>
      <c r="AA73" s="3"/>
      <c r="AB73" s="3"/>
      <c r="AC73" s="3"/>
      <c r="AP73" s="42"/>
      <c r="AQ73" s="42"/>
    </row>
    <row r="74">
      <c r="C74" s="33"/>
      <c r="D74" s="33"/>
      <c r="I74" s="33"/>
      <c r="J74" s="33"/>
      <c r="O74" s="33"/>
      <c r="P74" s="33"/>
      <c r="U74" s="33"/>
      <c r="V74" s="33"/>
      <c r="Z74" s="39"/>
      <c r="AA74" s="3"/>
      <c r="AB74" s="3"/>
      <c r="AC74" s="3"/>
      <c r="AP74" s="42"/>
      <c r="AQ74" s="42"/>
    </row>
    <row r="75">
      <c r="C75" s="33"/>
      <c r="D75" s="33"/>
      <c r="I75" s="33"/>
      <c r="J75" s="33"/>
      <c r="O75" s="33"/>
      <c r="P75" s="33"/>
      <c r="U75" s="33"/>
      <c r="V75" s="33"/>
      <c r="X75" s="107" t="s">
        <v>197</v>
      </c>
      <c r="Y75" s="108"/>
      <c r="Z75" s="39"/>
      <c r="AA75" s="3"/>
      <c r="AB75" s="3"/>
      <c r="AC75" s="3"/>
      <c r="AP75" s="42"/>
      <c r="AQ75" s="42"/>
    </row>
    <row r="76">
      <c r="C76" s="33"/>
      <c r="D76" s="33"/>
      <c r="I76" s="33"/>
      <c r="J76" s="33"/>
      <c r="O76" s="33"/>
      <c r="P76" s="33"/>
      <c r="U76" s="33"/>
      <c r="V76" s="33"/>
      <c r="X76" s="98" t="s">
        <v>198</v>
      </c>
      <c r="Y76" s="55"/>
      <c r="Z76" s="39"/>
      <c r="AA76" s="3"/>
      <c r="AB76" s="3"/>
      <c r="AC76" s="3"/>
      <c r="AP76" s="42"/>
      <c r="AQ76" s="42"/>
    </row>
    <row r="77">
      <c r="C77" s="33"/>
      <c r="D77" s="33"/>
      <c r="I77" s="33"/>
      <c r="J77" s="33"/>
      <c r="O77" s="33"/>
      <c r="P77" s="33"/>
      <c r="U77" s="33"/>
      <c r="V77" s="33"/>
      <c r="AA77" s="3"/>
      <c r="AB77" s="3"/>
      <c r="AC77" s="3"/>
      <c r="AP77" s="42"/>
      <c r="AQ77" s="42"/>
    </row>
    <row r="78">
      <c r="C78" s="33"/>
      <c r="D78" s="33"/>
      <c r="I78" s="33"/>
      <c r="J78" s="33"/>
      <c r="O78" s="33"/>
      <c r="P78" s="33"/>
      <c r="U78" s="33"/>
      <c r="V78" s="33"/>
      <c r="X78" s="107" t="s">
        <v>199</v>
      </c>
      <c r="Y78" s="108"/>
      <c r="AA78" s="3"/>
      <c r="AB78" s="3"/>
      <c r="AC78" s="3"/>
      <c r="AP78" s="42"/>
      <c r="AQ78" s="42"/>
    </row>
    <row r="79">
      <c r="C79" s="33"/>
      <c r="D79" s="33"/>
      <c r="I79" s="33"/>
      <c r="J79" s="33"/>
      <c r="O79" s="33"/>
      <c r="P79" s="33"/>
      <c r="U79" s="33"/>
      <c r="V79" s="33"/>
      <c r="X79" s="98" t="s">
        <v>200</v>
      </c>
      <c r="Y79" s="55"/>
      <c r="AP79" s="42"/>
      <c r="AQ79" s="42"/>
    </row>
    <row r="80">
      <c r="C80" s="33"/>
      <c r="D80" s="33"/>
      <c r="I80" s="33"/>
      <c r="J80" s="33"/>
      <c r="O80" s="33"/>
      <c r="P80" s="33"/>
      <c r="U80" s="33"/>
      <c r="V80" s="33"/>
      <c r="AP80" s="35"/>
      <c r="AQ80" s="35"/>
    </row>
    <row r="81">
      <c r="C81" s="33"/>
      <c r="D81" s="33"/>
      <c r="I81" s="33"/>
      <c r="J81" s="33"/>
      <c r="O81" s="33"/>
      <c r="P81" s="33"/>
      <c r="U81" s="33"/>
      <c r="V81" s="33"/>
      <c r="AP81" s="35"/>
      <c r="AQ81" s="35"/>
    </row>
    <row r="82">
      <c r="C82" s="33"/>
      <c r="D82" s="33"/>
      <c r="I82" s="33"/>
      <c r="J82" s="33"/>
      <c r="O82" s="33"/>
      <c r="P82" s="33"/>
      <c r="U82" s="33"/>
      <c r="V82" s="33"/>
      <c r="AP82" s="35"/>
      <c r="AQ82" s="35"/>
    </row>
    <row r="83">
      <c r="C83" s="33"/>
      <c r="D83" s="33"/>
      <c r="I83" s="33"/>
      <c r="J83" s="33"/>
      <c r="O83" s="33"/>
      <c r="P83" s="33"/>
      <c r="U83" s="33"/>
      <c r="V83" s="33"/>
      <c r="AP83" s="35"/>
      <c r="AQ83" s="35"/>
    </row>
    <row r="84">
      <c r="C84" s="33"/>
      <c r="D84" s="33"/>
      <c r="I84" s="33"/>
      <c r="J84" s="33"/>
      <c r="O84" s="33"/>
      <c r="P84" s="33"/>
      <c r="U84" s="33"/>
      <c r="V84" s="33"/>
      <c r="AP84" s="35"/>
      <c r="AQ84" s="35"/>
    </row>
    <row r="85">
      <c r="C85" s="33"/>
      <c r="D85" s="33"/>
      <c r="I85" s="33"/>
      <c r="J85" s="33"/>
      <c r="O85" s="33"/>
      <c r="P85" s="33"/>
      <c r="U85" s="33"/>
      <c r="V85" s="33"/>
      <c r="AP85" s="35"/>
      <c r="AQ85" s="35"/>
    </row>
    <row r="86">
      <c r="C86" s="33"/>
      <c r="D86" s="33"/>
      <c r="I86" s="33"/>
      <c r="J86" s="33"/>
      <c r="O86" s="33"/>
      <c r="P86" s="33"/>
      <c r="U86" s="33"/>
      <c r="V86" s="33"/>
      <c r="AP86" s="35"/>
      <c r="AQ86" s="35"/>
    </row>
    <row r="87">
      <c r="C87" s="33"/>
      <c r="D87" s="33"/>
      <c r="I87" s="33"/>
      <c r="J87" s="33"/>
      <c r="O87" s="33"/>
      <c r="P87" s="33"/>
      <c r="U87" s="33"/>
      <c r="V87" s="33"/>
      <c r="AP87" s="35"/>
      <c r="AQ87" s="35"/>
    </row>
    <row r="88">
      <c r="C88" s="33"/>
      <c r="D88" s="33"/>
      <c r="I88" s="33"/>
      <c r="J88" s="33"/>
      <c r="O88" s="33"/>
      <c r="P88" s="33"/>
      <c r="U88" s="33"/>
      <c r="V88" s="33"/>
      <c r="AP88" s="35"/>
      <c r="AQ88" s="35"/>
    </row>
    <row r="89">
      <c r="C89" s="33"/>
      <c r="D89" s="33"/>
      <c r="I89" s="33"/>
      <c r="J89" s="33"/>
      <c r="O89" s="33"/>
      <c r="P89" s="33"/>
      <c r="U89" s="33"/>
      <c r="V89" s="33"/>
      <c r="AP89" s="35"/>
      <c r="AQ89" s="35"/>
    </row>
    <row r="90">
      <c r="C90" s="33"/>
      <c r="D90" s="33"/>
      <c r="I90" s="33"/>
      <c r="J90" s="33"/>
      <c r="O90" s="33"/>
      <c r="P90" s="33"/>
      <c r="U90" s="33"/>
      <c r="V90" s="33"/>
      <c r="AP90" s="35"/>
      <c r="AQ90" s="35"/>
    </row>
    <row r="91">
      <c r="C91" s="33"/>
      <c r="D91" s="33"/>
      <c r="I91" s="33"/>
      <c r="J91" s="33"/>
      <c r="O91" s="33"/>
      <c r="P91" s="33"/>
      <c r="U91" s="33"/>
      <c r="V91" s="33"/>
      <c r="AP91" s="35"/>
      <c r="AQ91" s="35"/>
    </row>
    <row r="92">
      <c r="C92" s="33"/>
      <c r="D92" s="33"/>
      <c r="I92" s="33"/>
      <c r="J92" s="33"/>
      <c r="O92" s="33"/>
      <c r="P92" s="33"/>
      <c r="U92" s="33"/>
      <c r="V92" s="33"/>
      <c r="AP92" s="35"/>
      <c r="AQ92" s="35"/>
    </row>
    <row r="93">
      <c r="C93" s="33"/>
      <c r="D93" s="33"/>
      <c r="I93" s="33"/>
      <c r="J93" s="33"/>
      <c r="O93" s="33"/>
      <c r="P93" s="33"/>
      <c r="U93" s="33"/>
      <c r="V93" s="33"/>
      <c r="AP93" s="35"/>
      <c r="AQ93" s="35"/>
    </row>
    <row r="94">
      <c r="C94" s="33"/>
      <c r="D94" s="33"/>
      <c r="I94" s="33"/>
      <c r="J94" s="33"/>
      <c r="O94" s="33"/>
      <c r="P94" s="33"/>
      <c r="U94" s="33"/>
      <c r="V94" s="33"/>
      <c r="AP94" s="35"/>
      <c r="AQ94" s="35"/>
    </row>
    <row r="95">
      <c r="C95" s="33"/>
      <c r="D95" s="33"/>
      <c r="I95" s="33"/>
      <c r="J95" s="33"/>
      <c r="O95" s="33"/>
      <c r="P95" s="33"/>
      <c r="U95" s="33"/>
      <c r="V95" s="33"/>
      <c r="AP95" s="35"/>
      <c r="AQ95" s="35"/>
    </row>
    <row r="96">
      <c r="C96" s="33"/>
      <c r="D96" s="33"/>
      <c r="I96" s="33"/>
      <c r="J96" s="33"/>
      <c r="O96" s="33"/>
      <c r="P96" s="33"/>
      <c r="U96" s="33"/>
      <c r="V96" s="33"/>
      <c r="AP96" s="35"/>
      <c r="AQ96" s="35"/>
    </row>
    <row r="97">
      <c r="C97" s="33"/>
      <c r="D97" s="33"/>
      <c r="I97" s="33"/>
      <c r="J97" s="33"/>
      <c r="O97" s="33"/>
      <c r="P97" s="33"/>
      <c r="U97" s="33"/>
      <c r="V97" s="33"/>
      <c r="AP97" s="35"/>
      <c r="AQ97" s="35"/>
    </row>
    <row r="98">
      <c r="C98" s="33"/>
      <c r="D98" s="33"/>
      <c r="I98" s="33"/>
      <c r="J98" s="33"/>
      <c r="O98" s="33"/>
      <c r="P98" s="33"/>
      <c r="U98" s="33"/>
      <c r="V98" s="33"/>
      <c r="AP98" s="35"/>
      <c r="AQ98" s="35"/>
    </row>
    <row r="99">
      <c r="C99" s="33"/>
      <c r="D99" s="33"/>
      <c r="I99" s="33"/>
      <c r="J99" s="33"/>
      <c r="O99" s="33"/>
      <c r="P99" s="33"/>
      <c r="U99" s="33"/>
      <c r="V99" s="33"/>
      <c r="AP99" s="35"/>
      <c r="AQ99" s="35"/>
    </row>
    <row r="100">
      <c r="C100" s="33"/>
      <c r="D100" s="33"/>
      <c r="I100" s="33"/>
      <c r="J100" s="33"/>
      <c r="O100" s="33"/>
      <c r="P100" s="33"/>
      <c r="U100" s="33"/>
      <c r="V100" s="33"/>
      <c r="AP100" s="35"/>
      <c r="AQ100" s="35"/>
    </row>
    <row r="101">
      <c r="C101" s="33"/>
      <c r="D101" s="33"/>
      <c r="I101" s="33"/>
      <c r="J101" s="33"/>
      <c r="O101" s="33"/>
      <c r="P101" s="33"/>
      <c r="U101" s="33"/>
      <c r="V101" s="33"/>
      <c r="AP101" s="35"/>
      <c r="AQ101" s="35"/>
    </row>
    <row r="102">
      <c r="C102" s="33"/>
      <c r="D102" s="33"/>
      <c r="I102" s="33"/>
      <c r="J102" s="33"/>
      <c r="O102" s="33"/>
      <c r="P102" s="33"/>
      <c r="U102" s="33"/>
      <c r="V102" s="33"/>
      <c r="AP102" s="35"/>
      <c r="AQ102" s="35"/>
    </row>
    <row r="103">
      <c r="C103" s="33"/>
      <c r="D103" s="33"/>
      <c r="I103" s="33"/>
      <c r="J103" s="33"/>
      <c r="O103" s="33"/>
      <c r="P103" s="33"/>
      <c r="U103" s="33"/>
      <c r="V103" s="33"/>
      <c r="AP103" s="35"/>
      <c r="AQ103" s="35"/>
    </row>
    <row r="104">
      <c r="C104" s="33"/>
      <c r="D104" s="33"/>
      <c r="I104" s="33"/>
      <c r="J104" s="33"/>
      <c r="O104" s="33"/>
      <c r="P104" s="33"/>
      <c r="U104" s="33"/>
      <c r="V104" s="33"/>
      <c r="AP104" s="35"/>
      <c r="AQ104" s="35"/>
    </row>
    <row r="105">
      <c r="C105" s="33"/>
      <c r="D105" s="33"/>
      <c r="I105" s="33"/>
      <c r="J105" s="33"/>
      <c r="O105" s="33"/>
      <c r="P105" s="33"/>
      <c r="U105" s="33"/>
      <c r="V105" s="33"/>
      <c r="AP105" s="35"/>
      <c r="AQ105" s="35"/>
    </row>
    <row r="106">
      <c r="C106" s="33"/>
      <c r="D106" s="33"/>
      <c r="I106" s="33"/>
      <c r="J106" s="33"/>
      <c r="O106" s="33"/>
      <c r="P106" s="33"/>
      <c r="U106" s="33"/>
      <c r="V106" s="33"/>
      <c r="AP106" s="35"/>
      <c r="AQ106" s="35"/>
    </row>
    <row r="107">
      <c r="C107" s="33"/>
      <c r="D107" s="33"/>
      <c r="I107" s="33"/>
      <c r="J107" s="33"/>
      <c r="O107" s="33"/>
      <c r="P107" s="33"/>
      <c r="U107" s="33"/>
      <c r="V107" s="33"/>
      <c r="AP107" s="35"/>
      <c r="AQ107" s="35"/>
    </row>
    <row r="108">
      <c r="C108" s="33"/>
      <c r="D108" s="33"/>
      <c r="I108" s="33"/>
      <c r="J108" s="33"/>
      <c r="O108" s="33"/>
      <c r="P108" s="33"/>
      <c r="U108" s="33"/>
      <c r="V108" s="33"/>
      <c r="AP108" s="35"/>
      <c r="AQ108" s="35"/>
    </row>
    <row r="109">
      <c r="C109" s="33"/>
      <c r="D109" s="33"/>
      <c r="I109" s="33"/>
      <c r="J109" s="33"/>
      <c r="O109" s="33"/>
      <c r="P109" s="33"/>
      <c r="U109" s="33"/>
      <c r="V109" s="33"/>
      <c r="AP109" s="35"/>
      <c r="AQ109" s="35"/>
    </row>
    <row r="110">
      <c r="C110" s="33"/>
      <c r="D110" s="33"/>
      <c r="I110" s="33"/>
      <c r="J110" s="33"/>
      <c r="O110" s="33"/>
      <c r="P110" s="33"/>
      <c r="U110" s="33"/>
      <c r="V110" s="33"/>
      <c r="AP110" s="35"/>
      <c r="AQ110" s="35"/>
    </row>
    <row r="111">
      <c r="C111" s="33"/>
      <c r="D111" s="33"/>
      <c r="I111" s="33"/>
      <c r="J111" s="33"/>
      <c r="O111" s="33"/>
      <c r="P111" s="33"/>
      <c r="U111" s="33"/>
      <c r="V111" s="33"/>
      <c r="AP111" s="35"/>
      <c r="AQ111" s="35"/>
    </row>
    <row r="112">
      <c r="C112" s="33"/>
      <c r="D112" s="33"/>
      <c r="I112" s="33"/>
      <c r="J112" s="33"/>
      <c r="O112" s="33"/>
      <c r="P112" s="33"/>
      <c r="U112" s="33"/>
      <c r="V112" s="33"/>
      <c r="AP112" s="35"/>
      <c r="AQ112" s="35"/>
    </row>
    <row r="113">
      <c r="C113" s="33"/>
      <c r="D113" s="33"/>
      <c r="I113" s="33"/>
      <c r="J113" s="33"/>
      <c r="O113" s="33"/>
      <c r="P113" s="33"/>
      <c r="U113" s="33"/>
      <c r="V113" s="33"/>
      <c r="AP113" s="35"/>
      <c r="AQ113" s="35"/>
    </row>
    <row r="114">
      <c r="C114" s="33"/>
      <c r="D114" s="33"/>
      <c r="I114" s="33"/>
      <c r="J114" s="33"/>
      <c r="O114" s="33"/>
      <c r="P114" s="33"/>
      <c r="U114" s="33"/>
      <c r="V114" s="33"/>
      <c r="AP114" s="35"/>
      <c r="AQ114" s="35"/>
    </row>
    <row r="115">
      <c r="C115" s="33"/>
      <c r="D115" s="33"/>
      <c r="I115" s="33"/>
      <c r="J115" s="33"/>
      <c r="O115" s="33"/>
      <c r="P115" s="33"/>
      <c r="U115" s="33"/>
      <c r="V115" s="33"/>
      <c r="AP115" s="35"/>
      <c r="AQ115" s="35"/>
    </row>
    <row r="116">
      <c r="C116" s="33"/>
      <c r="D116" s="33"/>
      <c r="I116" s="33"/>
      <c r="J116" s="33"/>
      <c r="O116" s="33"/>
      <c r="P116" s="33"/>
      <c r="U116" s="33"/>
      <c r="V116" s="33"/>
      <c r="AP116" s="35"/>
      <c r="AQ116" s="35"/>
    </row>
    <row r="117">
      <c r="C117" s="33"/>
      <c r="D117" s="33"/>
      <c r="I117" s="33"/>
      <c r="J117" s="33"/>
      <c r="O117" s="33"/>
      <c r="P117" s="33"/>
      <c r="U117" s="33"/>
      <c r="V117" s="33"/>
      <c r="AP117" s="35"/>
      <c r="AQ117" s="35"/>
    </row>
    <row r="118">
      <c r="C118" s="33"/>
      <c r="D118" s="33"/>
      <c r="I118" s="33"/>
      <c r="J118" s="33"/>
      <c r="O118" s="33"/>
      <c r="P118" s="33"/>
      <c r="U118" s="33"/>
      <c r="V118" s="33"/>
      <c r="AP118" s="35"/>
      <c r="AQ118" s="35"/>
    </row>
    <row r="119">
      <c r="C119" s="33"/>
      <c r="D119" s="33"/>
      <c r="I119" s="33"/>
      <c r="J119" s="33"/>
      <c r="O119" s="33"/>
      <c r="P119" s="33"/>
      <c r="U119" s="33"/>
      <c r="V119" s="33"/>
      <c r="AP119" s="35"/>
      <c r="AQ119" s="35"/>
    </row>
    <row r="120">
      <c r="C120" s="33"/>
      <c r="D120" s="33"/>
      <c r="I120" s="33"/>
      <c r="J120" s="33"/>
      <c r="O120" s="33"/>
      <c r="P120" s="33"/>
      <c r="U120" s="33"/>
      <c r="V120" s="33"/>
      <c r="AP120" s="35"/>
      <c r="AQ120" s="35"/>
    </row>
    <row r="121">
      <c r="C121" s="33"/>
      <c r="D121" s="33"/>
      <c r="I121" s="33"/>
      <c r="J121" s="33"/>
      <c r="O121" s="33"/>
      <c r="P121" s="33"/>
      <c r="U121" s="33"/>
      <c r="V121" s="33"/>
      <c r="AP121" s="35"/>
      <c r="AQ121" s="35"/>
    </row>
    <row r="122">
      <c r="C122" s="33"/>
      <c r="D122" s="33"/>
      <c r="I122" s="33"/>
      <c r="J122" s="33"/>
      <c r="O122" s="33"/>
      <c r="P122" s="33"/>
      <c r="U122" s="33"/>
      <c r="V122" s="33"/>
      <c r="AP122" s="35"/>
      <c r="AQ122" s="35"/>
    </row>
    <row r="123">
      <c r="C123" s="33"/>
      <c r="D123" s="33"/>
      <c r="I123" s="33"/>
      <c r="J123" s="33"/>
      <c r="O123" s="33"/>
      <c r="P123" s="33"/>
      <c r="U123" s="33"/>
      <c r="V123" s="33"/>
      <c r="AP123" s="35"/>
      <c r="AQ123" s="35"/>
    </row>
    <row r="124">
      <c r="C124" s="33"/>
      <c r="D124" s="33"/>
      <c r="I124" s="33"/>
      <c r="J124" s="33"/>
      <c r="O124" s="33"/>
      <c r="P124" s="33"/>
      <c r="U124" s="33"/>
      <c r="V124" s="33"/>
      <c r="AP124" s="35"/>
      <c r="AQ124" s="35"/>
    </row>
    <row r="125">
      <c r="C125" s="33"/>
      <c r="D125" s="33"/>
      <c r="I125" s="33"/>
      <c r="J125" s="33"/>
      <c r="O125" s="33"/>
      <c r="P125" s="33"/>
      <c r="U125" s="33"/>
      <c r="V125" s="33"/>
      <c r="AP125" s="35"/>
      <c r="AQ125" s="35"/>
    </row>
    <row r="126">
      <c r="C126" s="33"/>
      <c r="D126" s="33"/>
      <c r="I126" s="33"/>
      <c r="J126" s="33"/>
      <c r="O126" s="33"/>
      <c r="P126" s="33"/>
      <c r="U126" s="33"/>
      <c r="V126" s="33"/>
      <c r="AP126" s="35"/>
      <c r="AQ126" s="35"/>
    </row>
    <row r="127">
      <c r="C127" s="33"/>
      <c r="D127" s="33"/>
      <c r="I127" s="33"/>
      <c r="J127" s="33"/>
      <c r="O127" s="33"/>
      <c r="P127" s="33"/>
      <c r="U127" s="33"/>
      <c r="V127" s="33"/>
      <c r="AP127" s="35"/>
      <c r="AQ127" s="35"/>
    </row>
    <row r="128">
      <c r="C128" s="33"/>
      <c r="D128" s="33"/>
      <c r="I128" s="33"/>
      <c r="J128" s="33"/>
      <c r="O128" s="33"/>
      <c r="P128" s="33"/>
      <c r="U128" s="33"/>
      <c r="V128" s="33"/>
      <c r="AP128" s="35"/>
      <c r="AQ128" s="35"/>
    </row>
    <row r="129">
      <c r="C129" s="33"/>
      <c r="D129" s="33"/>
      <c r="I129" s="33"/>
      <c r="J129" s="33"/>
      <c r="O129" s="33"/>
      <c r="P129" s="33"/>
      <c r="U129" s="33"/>
      <c r="V129" s="33"/>
      <c r="AP129" s="35"/>
      <c r="AQ129" s="35"/>
    </row>
    <row r="130">
      <c r="C130" s="33"/>
      <c r="D130" s="33"/>
      <c r="I130" s="33"/>
      <c r="J130" s="33"/>
      <c r="O130" s="33"/>
      <c r="P130" s="33"/>
      <c r="U130" s="33"/>
      <c r="V130" s="33"/>
      <c r="AP130" s="35"/>
      <c r="AQ130" s="35"/>
    </row>
    <row r="131">
      <c r="C131" s="33"/>
      <c r="D131" s="33"/>
      <c r="I131" s="33"/>
      <c r="J131" s="33"/>
      <c r="O131" s="33"/>
      <c r="P131" s="33"/>
      <c r="U131" s="33"/>
      <c r="V131" s="33"/>
      <c r="AP131" s="35"/>
      <c r="AQ131" s="35"/>
    </row>
    <row r="132">
      <c r="C132" s="33"/>
      <c r="D132" s="33"/>
      <c r="I132" s="33"/>
      <c r="J132" s="33"/>
      <c r="O132" s="33"/>
      <c r="P132" s="33"/>
      <c r="U132" s="33"/>
      <c r="V132" s="33"/>
      <c r="AP132" s="35"/>
      <c r="AQ132" s="35"/>
    </row>
    <row r="133">
      <c r="C133" s="33"/>
      <c r="D133" s="33"/>
      <c r="I133" s="33"/>
      <c r="J133" s="33"/>
      <c r="O133" s="33"/>
      <c r="P133" s="33"/>
      <c r="U133" s="33"/>
      <c r="V133" s="33"/>
      <c r="AP133" s="35"/>
      <c r="AQ133" s="35"/>
    </row>
    <row r="134">
      <c r="C134" s="33"/>
      <c r="D134" s="33"/>
      <c r="I134" s="33"/>
      <c r="J134" s="33"/>
      <c r="O134" s="33"/>
      <c r="P134" s="33"/>
      <c r="U134" s="33"/>
      <c r="V134" s="33"/>
      <c r="AP134" s="35"/>
      <c r="AQ134" s="35"/>
    </row>
    <row r="135">
      <c r="C135" s="33"/>
      <c r="D135" s="33"/>
      <c r="I135" s="33"/>
      <c r="J135" s="33"/>
      <c r="O135" s="33"/>
      <c r="P135" s="33"/>
      <c r="U135" s="33"/>
      <c r="V135" s="33"/>
      <c r="AP135" s="35"/>
      <c r="AQ135" s="35"/>
    </row>
    <row r="136">
      <c r="C136" s="33"/>
      <c r="D136" s="33"/>
      <c r="I136" s="33"/>
      <c r="J136" s="33"/>
      <c r="O136" s="33"/>
      <c r="P136" s="33"/>
      <c r="U136" s="33"/>
      <c r="V136" s="33"/>
      <c r="AP136" s="35"/>
      <c r="AQ136" s="35"/>
    </row>
    <row r="137">
      <c r="C137" s="33"/>
      <c r="D137" s="33"/>
      <c r="I137" s="33"/>
      <c r="J137" s="33"/>
      <c r="O137" s="33"/>
      <c r="P137" s="33"/>
      <c r="U137" s="33"/>
      <c r="V137" s="33"/>
      <c r="AP137" s="35"/>
      <c r="AQ137" s="35"/>
    </row>
    <row r="138">
      <c r="C138" s="33"/>
      <c r="D138" s="33"/>
      <c r="I138" s="33"/>
      <c r="J138" s="33"/>
      <c r="O138" s="33"/>
      <c r="P138" s="33"/>
      <c r="U138" s="33"/>
      <c r="V138" s="33"/>
      <c r="AP138" s="35"/>
      <c r="AQ138" s="35"/>
    </row>
    <row r="139">
      <c r="C139" s="33"/>
      <c r="D139" s="33"/>
      <c r="I139" s="33"/>
      <c r="J139" s="33"/>
      <c r="O139" s="33"/>
      <c r="P139" s="33"/>
      <c r="U139" s="33"/>
      <c r="V139" s="33"/>
      <c r="AP139" s="35"/>
      <c r="AQ139" s="35"/>
    </row>
    <row r="140">
      <c r="C140" s="33"/>
      <c r="D140" s="33"/>
      <c r="I140" s="33"/>
      <c r="J140" s="33"/>
      <c r="O140" s="33"/>
      <c r="P140" s="33"/>
      <c r="U140" s="33"/>
      <c r="V140" s="33"/>
      <c r="AP140" s="35"/>
      <c r="AQ140" s="35"/>
    </row>
    <row r="141">
      <c r="C141" s="33"/>
      <c r="D141" s="33"/>
      <c r="I141" s="33"/>
      <c r="J141" s="33"/>
      <c r="O141" s="33"/>
      <c r="P141" s="33"/>
      <c r="U141" s="33"/>
      <c r="V141" s="33"/>
      <c r="AP141" s="35"/>
      <c r="AQ141" s="35"/>
    </row>
    <row r="142">
      <c r="C142" s="33"/>
      <c r="D142" s="33"/>
      <c r="I142" s="33"/>
      <c r="J142" s="33"/>
      <c r="O142" s="33"/>
      <c r="P142" s="33"/>
      <c r="U142" s="33"/>
      <c r="V142" s="33"/>
      <c r="AP142" s="35"/>
      <c r="AQ142" s="35"/>
    </row>
    <row r="143">
      <c r="C143" s="33"/>
      <c r="D143" s="33"/>
      <c r="I143" s="33"/>
      <c r="J143" s="33"/>
      <c r="O143" s="33"/>
      <c r="P143" s="33"/>
      <c r="U143" s="33"/>
      <c r="V143" s="33"/>
      <c r="AP143" s="35"/>
      <c r="AQ143" s="35"/>
    </row>
    <row r="144">
      <c r="C144" s="33"/>
      <c r="D144" s="33"/>
      <c r="I144" s="33"/>
      <c r="J144" s="33"/>
      <c r="O144" s="33"/>
      <c r="P144" s="33"/>
      <c r="U144" s="33"/>
      <c r="V144" s="33"/>
      <c r="AP144" s="35"/>
      <c r="AQ144" s="35"/>
    </row>
    <row r="145">
      <c r="C145" s="33"/>
      <c r="D145" s="33"/>
      <c r="I145" s="33"/>
      <c r="J145" s="33"/>
      <c r="O145" s="33"/>
      <c r="P145" s="33"/>
      <c r="U145" s="33"/>
      <c r="V145" s="33"/>
      <c r="AP145" s="35"/>
      <c r="AQ145" s="35"/>
    </row>
    <row r="146">
      <c r="C146" s="33"/>
      <c r="D146" s="33"/>
      <c r="I146" s="33"/>
      <c r="J146" s="33"/>
      <c r="O146" s="33"/>
      <c r="P146" s="33"/>
      <c r="U146" s="33"/>
      <c r="V146" s="33"/>
      <c r="AP146" s="35"/>
      <c r="AQ146" s="35"/>
    </row>
    <row r="147">
      <c r="C147" s="33"/>
      <c r="D147" s="33"/>
      <c r="I147" s="33"/>
      <c r="J147" s="33"/>
      <c r="O147" s="33"/>
      <c r="P147" s="33"/>
      <c r="U147" s="33"/>
      <c r="V147" s="33"/>
      <c r="AP147" s="35"/>
      <c r="AQ147" s="35"/>
    </row>
    <row r="148">
      <c r="C148" s="33"/>
      <c r="D148" s="33"/>
      <c r="I148" s="33"/>
      <c r="J148" s="33"/>
      <c r="O148" s="33"/>
      <c r="P148" s="33"/>
      <c r="U148" s="33"/>
      <c r="V148" s="33"/>
      <c r="AP148" s="35"/>
      <c r="AQ148" s="35"/>
    </row>
    <row r="149">
      <c r="C149" s="33"/>
      <c r="D149" s="33"/>
      <c r="I149" s="33"/>
      <c r="J149" s="33"/>
      <c r="O149" s="33"/>
      <c r="P149" s="33"/>
      <c r="U149" s="33"/>
      <c r="V149" s="33"/>
      <c r="AP149" s="35"/>
      <c r="AQ149" s="35"/>
    </row>
    <row r="150">
      <c r="C150" s="33"/>
      <c r="D150" s="33"/>
      <c r="I150" s="33"/>
      <c r="J150" s="33"/>
      <c r="O150" s="33"/>
      <c r="P150" s="33"/>
      <c r="U150" s="33"/>
      <c r="V150" s="33"/>
      <c r="AP150" s="35"/>
      <c r="AQ150" s="35"/>
    </row>
    <row r="151">
      <c r="C151" s="33"/>
      <c r="D151" s="33"/>
      <c r="I151" s="33"/>
      <c r="J151" s="33"/>
      <c r="O151" s="33"/>
      <c r="P151" s="33"/>
      <c r="U151" s="33"/>
      <c r="V151" s="33"/>
      <c r="AP151" s="35"/>
      <c r="AQ151" s="35"/>
    </row>
    <row r="152">
      <c r="C152" s="33"/>
      <c r="D152" s="33"/>
      <c r="I152" s="33"/>
      <c r="J152" s="33"/>
      <c r="O152" s="33"/>
      <c r="P152" s="33"/>
      <c r="U152" s="33"/>
      <c r="V152" s="33"/>
      <c r="AP152" s="35"/>
      <c r="AQ152" s="35"/>
    </row>
    <row r="153">
      <c r="C153" s="33"/>
      <c r="D153" s="33"/>
      <c r="I153" s="33"/>
      <c r="J153" s="33"/>
      <c r="O153" s="33"/>
      <c r="P153" s="33"/>
      <c r="U153" s="33"/>
      <c r="V153" s="33"/>
      <c r="AP153" s="35"/>
      <c r="AQ153" s="35"/>
    </row>
    <row r="154">
      <c r="C154" s="33"/>
      <c r="D154" s="33"/>
      <c r="I154" s="33"/>
      <c r="J154" s="33"/>
      <c r="O154" s="33"/>
      <c r="P154" s="33"/>
      <c r="U154" s="33"/>
      <c r="V154" s="33"/>
      <c r="AP154" s="35"/>
      <c r="AQ154" s="35"/>
    </row>
    <row r="155">
      <c r="C155" s="33"/>
      <c r="D155" s="33"/>
      <c r="I155" s="33"/>
      <c r="J155" s="33"/>
      <c r="O155" s="33"/>
      <c r="P155" s="33"/>
      <c r="U155" s="33"/>
      <c r="V155" s="33"/>
      <c r="AP155" s="35"/>
      <c r="AQ155" s="35"/>
    </row>
    <row r="156">
      <c r="C156" s="33"/>
      <c r="D156" s="33"/>
      <c r="I156" s="33"/>
      <c r="J156" s="33"/>
      <c r="O156" s="33"/>
      <c r="P156" s="33"/>
      <c r="U156" s="33"/>
      <c r="V156" s="33"/>
      <c r="AP156" s="35"/>
      <c r="AQ156" s="35"/>
    </row>
    <row r="157">
      <c r="C157" s="33"/>
      <c r="D157" s="33"/>
      <c r="I157" s="33"/>
      <c r="J157" s="33"/>
      <c r="O157" s="33"/>
      <c r="P157" s="33"/>
      <c r="U157" s="33"/>
      <c r="V157" s="33"/>
      <c r="AP157" s="35"/>
      <c r="AQ157" s="35"/>
    </row>
    <row r="158">
      <c r="C158" s="33"/>
      <c r="D158" s="33"/>
      <c r="I158" s="33"/>
      <c r="J158" s="33"/>
      <c r="O158" s="33"/>
      <c r="P158" s="33"/>
      <c r="U158" s="33"/>
      <c r="V158" s="33"/>
      <c r="AP158" s="35"/>
      <c r="AQ158" s="35"/>
    </row>
    <row r="159">
      <c r="C159" s="33"/>
      <c r="D159" s="33"/>
      <c r="I159" s="33"/>
      <c r="J159" s="33"/>
      <c r="O159" s="33"/>
      <c r="P159" s="33"/>
      <c r="U159" s="33"/>
      <c r="V159" s="33"/>
      <c r="AP159" s="35"/>
      <c r="AQ159" s="35"/>
    </row>
    <row r="160">
      <c r="C160" s="33"/>
      <c r="D160" s="33"/>
      <c r="I160" s="33"/>
      <c r="J160" s="33"/>
      <c r="O160" s="33"/>
      <c r="P160" s="33"/>
      <c r="U160" s="33"/>
      <c r="V160" s="33"/>
      <c r="AP160" s="35"/>
      <c r="AQ160" s="35"/>
    </row>
    <row r="161">
      <c r="C161" s="33"/>
      <c r="D161" s="33"/>
      <c r="I161" s="33"/>
      <c r="J161" s="33"/>
      <c r="O161" s="33"/>
      <c r="P161" s="33"/>
      <c r="U161" s="33"/>
      <c r="V161" s="33"/>
      <c r="AP161" s="35"/>
      <c r="AQ161" s="35"/>
    </row>
    <row r="162">
      <c r="C162" s="33"/>
      <c r="D162" s="33"/>
      <c r="I162" s="33"/>
      <c r="J162" s="33"/>
      <c r="O162" s="33"/>
      <c r="P162" s="33"/>
      <c r="U162" s="33"/>
      <c r="V162" s="33"/>
      <c r="AP162" s="35"/>
      <c r="AQ162" s="35"/>
    </row>
    <row r="163">
      <c r="C163" s="33"/>
      <c r="D163" s="33"/>
      <c r="I163" s="33"/>
      <c r="J163" s="33"/>
      <c r="O163" s="33"/>
      <c r="P163" s="33"/>
      <c r="U163" s="33"/>
      <c r="V163" s="33"/>
      <c r="AP163" s="35"/>
      <c r="AQ163" s="35"/>
    </row>
    <row r="164">
      <c r="C164" s="33"/>
      <c r="D164" s="33"/>
      <c r="I164" s="33"/>
      <c r="J164" s="33"/>
      <c r="O164" s="33"/>
      <c r="P164" s="33"/>
      <c r="U164" s="33"/>
      <c r="V164" s="33"/>
      <c r="AP164" s="35"/>
      <c r="AQ164" s="35"/>
    </row>
    <row r="165">
      <c r="C165" s="33"/>
      <c r="D165" s="33"/>
      <c r="I165" s="33"/>
      <c r="J165" s="33"/>
      <c r="O165" s="33"/>
      <c r="P165" s="33"/>
      <c r="U165" s="33"/>
      <c r="V165" s="33"/>
      <c r="AP165" s="35"/>
      <c r="AQ165" s="35"/>
    </row>
    <row r="166">
      <c r="C166" s="33"/>
      <c r="D166" s="33"/>
      <c r="I166" s="33"/>
      <c r="J166" s="33"/>
      <c r="O166" s="33"/>
      <c r="P166" s="33"/>
      <c r="U166" s="33"/>
      <c r="V166" s="33"/>
      <c r="AP166" s="35"/>
      <c r="AQ166" s="35"/>
    </row>
    <row r="167">
      <c r="C167" s="33"/>
      <c r="D167" s="33"/>
      <c r="I167" s="33"/>
      <c r="J167" s="33"/>
      <c r="O167" s="33"/>
      <c r="P167" s="33"/>
      <c r="U167" s="33"/>
      <c r="V167" s="33"/>
      <c r="AP167" s="35"/>
      <c r="AQ167" s="35"/>
    </row>
    <row r="168">
      <c r="C168" s="33"/>
      <c r="D168" s="33"/>
      <c r="I168" s="33"/>
      <c r="J168" s="33"/>
      <c r="O168" s="33"/>
      <c r="P168" s="33"/>
      <c r="U168" s="33"/>
      <c r="V168" s="33"/>
      <c r="AP168" s="35"/>
      <c r="AQ168" s="35"/>
    </row>
    <row r="169">
      <c r="C169" s="33"/>
      <c r="D169" s="33"/>
      <c r="I169" s="33"/>
      <c r="J169" s="33"/>
      <c r="O169" s="33"/>
      <c r="P169" s="33"/>
      <c r="U169" s="33"/>
      <c r="V169" s="33"/>
      <c r="AP169" s="35"/>
      <c r="AQ169" s="35"/>
    </row>
    <row r="170">
      <c r="C170" s="33"/>
      <c r="D170" s="33"/>
      <c r="I170" s="33"/>
      <c r="J170" s="33"/>
      <c r="O170" s="33"/>
      <c r="P170" s="33"/>
      <c r="U170" s="33"/>
      <c r="V170" s="33"/>
      <c r="AP170" s="35"/>
      <c r="AQ170" s="35"/>
    </row>
    <row r="171">
      <c r="C171" s="33"/>
      <c r="D171" s="33"/>
      <c r="I171" s="33"/>
      <c r="J171" s="33"/>
      <c r="O171" s="33"/>
      <c r="P171" s="33"/>
      <c r="U171" s="33"/>
      <c r="V171" s="33"/>
      <c r="AP171" s="35"/>
      <c r="AQ171" s="35"/>
    </row>
    <row r="172">
      <c r="C172" s="33"/>
      <c r="D172" s="33"/>
      <c r="I172" s="33"/>
      <c r="J172" s="33"/>
      <c r="O172" s="33"/>
      <c r="P172" s="33"/>
      <c r="U172" s="33"/>
      <c r="V172" s="33"/>
      <c r="AP172" s="35"/>
      <c r="AQ172" s="35"/>
    </row>
    <row r="173">
      <c r="C173" s="33"/>
      <c r="D173" s="33"/>
      <c r="I173" s="33"/>
      <c r="J173" s="33"/>
      <c r="O173" s="33"/>
      <c r="P173" s="33"/>
      <c r="U173" s="33"/>
      <c r="V173" s="33"/>
      <c r="AP173" s="35"/>
      <c r="AQ173" s="35"/>
    </row>
    <row r="174">
      <c r="C174" s="33"/>
      <c r="D174" s="33"/>
      <c r="I174" s="33"/>
      <c r="J174" s="33"/>
      <c r="O174" s="33"/>
      <c r="P174" s="33"/>
      <c r="U174" s="33"/>
      <c r="V174" s="33"/>
      <c r="AP174" s="35"/>
      <c r="AQ174" s="35"/>
    </row>
    <row r="175">
      <c r="C175" s="33"/>
      <c r="D175" s="33"/>
      <c r="I175" s="33"/>
      <c r="J175" s="33"/>
      <c r="O175" s="33"/>
      <c r="P175" s="33"/>
      <c r="U175" s="33"/>
      <c r="V175" s="33"/>
      <c r="AP175" s="35"/>
      <c r="AQ175" s="35"/>
    </row>
    <row r="176">
      <c r="C176" s="33"/>
      <c r="D176" s="33"/>
      <c r="I176" s="33"/>
      <c r="J176" s="33"/>
      <c r="O176" s="33"/>
      <c r="P176" s="33"/>
      <c r="U176" s="33"/>
      <c r="V176" s="33"/>
      <c r="AP176" s="35"/>
      <c r="AQ176" s="35"/>
    </row>
    <row r="177">
      <c r="C177" s="33"/>
      <c r="D177" s="33"/>
      <c r="I177" s="33"/>
      <c r="J177" s="33"/>
      <c r="O177" s="33"/>
      <c r="P177" s="33"/>
      <c r="U177" s="33"/>
      <c r="V177" s="33"/>
      <c r="AP177" s="35"/>
      <c r="AQ177" s="35"/>
    </row>
    <row r="178">
      <c r="C178" s="33"/>
      <c r="D178" s="33"/>
      <c r="I178" s="33"/>
      <c r="J178" s="33"/>
      <c r="O178" s="33"/>
      <c r="P178" s="33"/>
      <c r="U178" s="33"/>
      <c r="V178" s="33"/>
      <c r="AP178" s="35"/>
      <c r="AQ178" s="35"/>
    </row>
    <row r="179">
      <c r="C179" s="33"/>
      <c r="D179" s="33"/>
      <c r="I179" s="33"/>
      <c r="J179" s="33"/>
      <c r="O179" s="33"/>
      <c r="P179" s="33"/>
      <c r="U179" s="33"/>
      <c r="V179" s="33"/>
      <c r="AP179" s="35"/>
      <c r="AQ179" s="35"/>
    </row>
    <row r="180">
      <c r="C180" s="33"/>
      <c r="D180" s="33"/>
      <c r="I180" s="33"/>
      <c r="J180" s="33"/>
      <c r="O180" s="33"/>
      <c r="P180" s="33"/>
      <c r="U180" s="33"/>
      <c r="V180" s="33"/>
      <c r="AP180" s="35"/>
      <c r="AQ180" s="35"/>
    </row>
    <row r="181">
      <c r="C181" s="33"/>
      <c r="D181" s="33"/>
      <c r="I181" s="33"/>
      <c r="J181" s="33"/>
      <c r="O181" s="33"/>
      <c r="P181" s="33"/>
      <c r="U181" s="33"/>
      <c r="V181" s="33"/>
      <c r="AP181" s="35"/>
      <c r="AQ181" s="35"/>
    </row>
    <row r="182">
      <c r="C182" s="33"/>
      <c r="D182" s="33"/>
      <c r="I182" s="33"/>
      <c r="J182" s="33"/>
      <c r="O182" s="33"/>
      <c r="P182" s="33"/>
      <c r="U182" s="33"/>
      <c r="V182" s="33"/>
      <c r="AP182" s="35"/>
      <c r="AQ182" s="35"/>
    </row>
    <row r="183">
      <c r="C183" s="33"/>
      <c r="D183" s="33"/>
      <c r="I183" s="33"/>
      <c r="J183" s="33"/>
      <c r="O183" s="33"/>
      <c r="P183" s="33"/>
      <c r="U183" s="33"/>
      <c r="V183" s="33"/>
      <c r="AP183" s="35"/>
      <c r="AQ183" s="35"/>
    </row>
    <row r="184">
      <c r="C184" s="33"/>
      <c r="D184" s="33"/>
      <c r="I184" s="33"/>
      <c r="J184" s="33"/>
      <c r="O184" s="33"/>
      <c r="P184" s="33"/>
      <c r="U184" s="33"/>
      <c r="V184" s="33"/>
      <c r="AP184" s="35"/>
      <c r="AQ184" s="35"/>
    </row>
    <row r="185">
      <c r="C185" s="33"/>
      <c r="D185" s="33"/>
      <c r="I185" s="33"/>
      <c r="J185" s="33"/>
      <c r="O185" s="33"/>
      <c r="P185" s="33"/>
      <c r="U185" s="33"/>
      <c r="V185" s="33"/>
      <c r="AP185" s="35"/>
      <c r="AQ185" s="35"/>
    </row>
    <row r="186">
      <c r="C186" s="33"/>
      <c r="D186" s="33"/>
      <c r="I186" s="33"/>
      <c r="J186" s="33"/>
      <c r="O186" s="33"/>
      <c r="P186" s="33"/>
      <c r="U186" s="33"/>
      <c r="V186" s="33"/>
      <c r="AP186" s="35"/>
      <c r="AQ186" s="35"/>
    </row>
    <row r="187">
      <c r="C187" s="33"/>
      <c r="D187" s="33"/>
      <c r="I187" s="33"/>
      <c r="J187" s="33"/>
      <c r="O187" s="33"/>
      <c r="P187" s="33"/>
      <c r="U187" s="33"/>
      <c r="V187" s="33"/>
      <c r="AP187" s="35"/>
      <c r="AQ187" s="35"/>
    </row>
    <row r="188">
      <c r="C188" s="33"/>
      <c r="D188" s="33"/>
      <c r="I188" s="33"/>
      <c r="J188" s="33"/>
      <c r="O188" s="33"/>
      <c r="P188" s="33"/>
      <c r="U188" s="33"/>
      <c r="V188" s="33"/>
      <c r="AP188" s="35"/>
      <c r="AQ188" s="35"/>
    </row>
    <row r="189">
      <c r="C189" s="33"/>
      <c r="D189" s="33"/>
      <c r="I189" s="33"/>
      <c r="J189" s="33"/>
      <c r="O189" s="33"/>
      <c r="P189" s="33"/>
      <c r="U189" s="33"/>
      <c r="V189" s="33"/>
      <c r="AP189" s="35"/>
      <c r="AQ189" s="35"/>
    </row>
    <row r="190">
      <c r="C190" s="33"/>
      <c r="D190" s="33"/>
      <c r="I190" s="33"/>
      <c r="J190" s="33"/>
      <c r="O190" s="33"/>
      <c r="P190" s="33"/>
      <c r="U190" s="33"/>
      <c r="V190" s="33"/>
      <c r="AP190" s="35"/>
      <c r="AQ190" s="35"/>
    </row>
    <row r="191">
      <c r="C191" s="33"/>
      <c r="D191" s="33"/>
      <c r="I191" s="33"/>
      <c r="J191" s="33"/>
      <c r="O191" s="33"/>
      <c r="P191" s="33"/>
      <c r="U191" s="33"/>
      <c r="V191" s="33"/>
      <c r="AP191" s="35"/>
      <c r="AQ191" s="35"/>
    </row>
    <row r="192">
      <c r="C192" s="33"/>
      <c r="D192" s="33"/>
      <c r="I192" s="33"/>
      <c r="J192" s="33"/>
      <c r="O192" s="33"/>
      <c r="P192" s="33"/>
      <c r="U192" s="33"/>
      <c r="V192" s="33"/>
      <c r="AP192" s="35"/>
      <c r="AQ192" s="35"/>
    </row>
    <row r="193">
      <c r="C193" s="33"/>
      <c r="D193" s="33"/>
      <c r="I193" s="33"/>
      <c r="J193" s="33"/>
      <c r="O193" s="33"/>
      <c r="P193" s="33"/>
      <c r="U193" s="33"/>
      <c r="V193" s="33"/>
      <c r="AP193" s="35"/>
      <c r="AQ193" s="35"/>
    </row>
    <row r="194">
      <c r="C194" s="33"/>
      <c r="D194" s="33"/>
      <c r="I194" s="33"/>
      <c r="J194" s="33"/>
      <c r="O194" s="33"/>
      <c r="P194" s="33"/>
      <c r="U194" s="33"/>
      <c r="V194" s="33"/>
      <c r="AP194" s="35"/>
      <c r="AQ194" s="35"/>
    </row>
    <row r="195">
      <c r="C195" s="33"/>
      <c r="D195" s="33"/>
      <c r="I195" s="33"/>
      <c r="J195" s="33"/>
      <c r="O195" s="33"/>
      <c r="P195" s="33"/>
      <c r="U195" s="33"/>
      <c r="V195" s="33"/>
      <c r="AP195" s="35"/>
      <c r="AQ195" s="35"/>
    </row>
    <row r="196">
      <c r="C196" s="33"/>
      <c r="D196" s="33"/>
      <c r="I196" s="33"/>
      <c r="J196" s="33"/>
      <c r="O196" s="33"/>
      <c r="P196" s="33"/>
      <c r="U196" s="33"/>
      <c r="V196" s="33"/>
      <c r="AP196" s="35"/>
      <c r="AQ196" s="35"/>
    </row>
    <row r="197">
      <c r="C197" s="33"/>
      <c r="D197" s="33"/>
      <c r="I197" s="33"/>
      <c r="J197" s="33"/>
      <c r="O197" s="33"/>
      <c r="P197" s="33"/>
      <c r="U197" s="33"/>
      <c r="V197" s="33"/>
      <c r="AP197" s="35"/>
      <c r="AQ197" s="35"/>
    </row>
    <row r="198">
      <c r="C198" s="33"/>
      <c r="D198" s="33"/>
      <c r="I198" s="33"/>
      <c r="J198" s="33"/>
      <c r="O198" s="33"/>
      <c r="P198" s="33"/>
      <c r="U198" s="33"/>
      <c r="V198" s="33"/>
      <c r="AP198" s="35"/>
      <c r="AQ198" s="35"/>
    </row>
    <row r="199">
      <c r="C199" s="33"/>
      <c r="D199" s="33"/>
      <c r="I199" s="33"/>
      <c r="J199" s="33"/>
      <c r="O199" s="33"/>
      <c r="P199" s="33"/>
      <c r="U199" s="33"/>
      <c r="V199" s="33"/>
      <c r="AP199" s="35"/>
      <c r="AQ199" s="35"/>
    </row>
    <row r="200">
      <c r="C200" s="33"/>
      <c r="D200" s="33"/>
      <c r="I200" s="33"/>
      <c r="J200" s="33"/>
      <c r="O200" s="33"/>
      <c r="P200" s="33"/>
      <c r="U200" s="33"/>
      <c r="V200" s="33"/>
      <c r="AP200" s="35"/>
      <c r="AQ200" s="35"/>
    </row>
    <row r="201">
      <c r="C201" s="33"/>
      <c r="D201" s="33"/>
      <c r="I201" s="33"/>
      <c r="J201" s="33"/>
      <c r="O201" s="33"/>
      <c r="P201" s="33"/>
      <c r="U201" s="33"/>
      <c r="V201" s="33"/>
      <c r="AP201" s="35"/>
      <c r="AQ201" s="35"/>
    </row>
    <row r="202">
      <c r="C202" s="33"/>
      <c r="D202" s="33"/>
      <c r="I202" s="33"/>
      <c r="J202" s="33"/>
      <c r="O202" s="33"/>
      <c r="P202" s="33"/>
      <c r="U202" s="33"/>
      <c r="V202" s="33"/>
      <c r="AP202" s="35"/>
      <c r="AQ202" s="35"/>
    </row>
    <row r="203">
      <c r="C203" s="33"/>
      <c r="D203" s="33"/>
      <c r="I203" s="33"/>
      <c r="J203" s="33"/>
      <c r="O203" s="33"/>
      <c r="P203" s="33"/>
      <c r="U203" s="33"/>
      <c r="V203" s="33"/>
      <c r="AP203" s="35"/>
      <c r="AQ203" s="35"/>
    </row>
    <row r="204">
      <c r="C204" s="33"/>
      <c r="D204" s="33"/>
      <c r="I204" s="33"/>
      <c r="J204" s="33"/>
      <c r="O204" s="33"/>
      <c r="P204" s="33"/>
      <c r="U204" s="33"/>
      <c r="V204" s="33"/>
      <c r="AP204" s="35"/>
      <c r="AQ204" s="35"/>
    </row>
    <row r="205">
      <c r="C205" s="33"/>
      <c r="D205" s="33"/>
      <c r="I205" s="33"/>
      <c r="J205" s="33"/>
      <c r="O205" s="33"/>
      <c r="P205" s="33"/>
      <c r="U205" s="33"/>
      <c r="V205" s="33"/>
      <c r="AP205" s="35"/>
      <c r="AQ205" s="35"/>
    </row>
    <row r="206">
      <c r="C206" s="33"/>
      <c r="D206" s="33"/>
      <c r="I206" s="33"/>
      <c r="J206" s="33"/>
      <c r="O206" s="33"/>
      <c r="P206" s="33"/>
      <c r="U206" s="33"/>
      <c r="V206" s="33"/>
      <c r="AP206" s="35"/>
      <c r="AQ206" s="35"/>
    </row>
    <row r="207">
      <c r="C207" s="33"/>
      <c r="D207" s="33"/>
      <c r="I207" s="33"/>
      <c r="J207" s="33"/>
      <c r="O207" s="33"/>
      <c r="P207" s="33"/>
      <c r="U207" s="33"/>
      <c r="V207" s="33"/>
      <c r="AP207" s="35"/>
      <c r="AQ207" s="35"/>
    </row>
    <row r="208">
      <c r="C208" s="33"/>
      <c r="D208" s="33"/>
      <c r="I208" s="33"/>
      <c r="J208" s="33"/>
      <c r="O208" s="33"/>
      <c r="P208" s="33"/>
      <c r="U208" s="33"/>
      <c r="V208" s="33"/>
      <c r="AP208" s="35"/>
      <c r="AQ208" s="35"/>
    </row>
    <row r="209">
      <c r="C209" s="33"/>
      <c r="D209" s="33"/>
      <c r="I209" s="33"/>
      <c r="J209" s="33"/>
      <c r="O209" s="33"/>
      <c r="P209" s="33"/>
      <c r="U209" s="33"/>
      <c r="V209" s="33"/>
      <c r="AP209" s="35"/>
      <c r="AQ209" s="35"/>
    </row>
    <row r="210">
      <c r="C210" s="33"/>
      <c r="D210" s="33"/>
      <c r="I210" s="33"/>
      <c r="J210" s="33"/>
      <c r="O210" s="33"/>
      <c r="P210" s="33"/>
      <c r="U210" s="33"/>
      <c r="V210" s="33"/>
      <c r="AP210" s="35"/>
      <c r="AQ210" s="35"/>
    </row>
    <row r="211">
      <c r="C211" s="33"/>
      <c r="D211" s="33"/>
      <c r="I211" s="33"/>
      <c r="J211" s="33"/>
      <c r="O211" s="33"/>
      <c r="P211" s="33"/>
      <c r="U211" s="33"/>
      <c r="V211" s="33"/>
      <c r="AP211" s="35"/>
      <c r="AQ211" s="35"/>
    </row>
    <row r="212">
      <c r="C212" s="33"/>
      <c r="D212" s="33"/>
      <c r="I212" s="33"/>
      <c r="J212" s="33"/>
      <c r="O212" s="33"/>
      <c r="P212" s="33"/>
      <c r="U212" s="33"/>
      <c r="V212" s="33"/>
      <c r="AP212" s="35"/>
      <c r="AQ212" s="35"/>
    </row>
    <row r="213">
      <c r="C213" s="33"/>
      <c r="D213" s="33"/>
      <c r="I213" s="33"/>
      <c r="J213" s="33"/>
      <c r="O213" s="33"/>
      <c r="P213" s="33"/>
      <c r="U213" s="33"/>
      <c r="V213" s="33"/>
      <c r="AP213" s="35"/>
      <c r="AQ213" s="35"/>
    </row>
    <row r="214">
      <c r="C214" s="33"/>
      <c r="D214" s="33"/>
      <c r="I214" s="33"/>
      <c r="J214" s="33"/>
      <c r="O214" s="33"/>
      <c r="P214" s="33"/>
      <c r="U214" s="33"/>
      <c r="V214" s="33"/>
      <c r="AP214" s="35"/>
      <c r="AQ214" s="35"/>
    </row>
    <row r="215">
      <c r="C215" s="33"/>
      <c r="D215" s="33"/>
      <c r="I215" s="33"/>
      <c r="J215" s="33"/>
      <c r="O215" s="33"/>
      <c r="P215" s="33"/>
      <c r="U215" s="33"/>
      <c r="V215" s="33"/>
      <c r="AP215" s="35"/>
      <c r="AQ215" s="35"/>
    </row>
    <row r="216">
      <c r="C216" s="33"/>
      <c r="D216" s="33"/>
      <c r="I216" s="33"/>
      <c r="J216" s="33"/>
      <c r="O216" s="33"/>
      <c r="P216" s="33"/>
      <c r="U216" s="33"/>
      <c r="V216" s="33"/>
      <c r="AP216" s="35"/>
      <c r="AQ216" s="35"/>
    </row>
    <row r="217">
      <c r="C217" s="33"/>
      <c r="D217" s="33"/>
      <c r="I217" s="33"/>
      <c r="J217" s="33"/>
      <c r="O217" s="33"/>
      <c r="P217" s="33"/>
      <c r="U217" s="33"/>
      <c r="V217" s="33"/>
      <c r="AP217" s="35"/>
      <c r="AQ217" s="35"/>
    </row>
    <row r="218">
      <c r="C218" s="33"/>
      <c r="D218" s="33"/>
      <c r="I218" s="33"/>
      <c r="J218" s="33"/>
      <c r="O218" s="33"/>
      <c r="P218" s="33"/>
      <c r="U218" s="33"/>
      <c r="V218" s="33"/>
      <c r="AP218" s="35"/>
      <c r="AQ218" s="35"/>
    </row>
    <row r="219">
      <c r="C219" s="33"/>
      <c r="D219" s="33"/>
      <c r="I219" s="33"/>
      <c r="J219" s="33"/>
      <c r="O219" s="33"/>
      <c r="P219" s="33"/>
      <c r="U219" s="33"/>
      <c r="V219" s="33"/>
      <c r="AP219" s="35"/>
      <c r="AQ219" s="35"/>
    </row>
    <row r="220">
      <c r="C220" s="33"/>
      <c r="D220" s="33"/>
      <c r="I220" s="33"/>
      <c r="J220" s="33"/>
      <c r="O220" s="33"/>
      <c r="P220" s="33"/>
      <c r="U220" s="33"/>
      <c r="V220" s="33"/>
      <c r="AP220" s="35"/>
      <c r="AQ220" s="35"/>
    </row>
    <row r="221">
      <c r="C221" s="33"/>
      <c r="D221" s="33"/>
      <c r="I221" s="33"/>
      <c r="J221" s="33"/>
      <c r="O221" s="33"/>
      <c r="P221" s="33"/>
      <c r="U221" s="33"/>
      <c r="V221" s="33"/>
      <c r="AP221" s="35"/>
      <c r="AQ221" s="35"/>
    </row>
    <row r="222">
      <c r="C222" s="33"/>
      <c r="D222" s="33"/>
      <c r="I222" s="33"/>
      <c r="J222" s="33"/>
      <c r="O222" s="33"/>
      <c r="P222" s="33"/>
      <c r="U222" s="33"/>
      <c r="V222" s="33"/>
      <c r="AP222" s="35"/>
      <c r="AQ222" s="35"/>
    </row>
    <row r="223">
      <c r="C223" s="33"/>
      <c r="D223" s="33"/>
      <c r="I223" s="33"/>
      <c r="J223" s="33"/>
      <c r="O223" s="33"/>
      <c r="P223" s="33"/>
      <c r="U223" s="33"/>
      <c r="V223" s="33"/>
      <c r="AP223" s="35"/>
      <c r="AQ223" s="35"/>
    </row>
    <row r="224">
      <c r="C224" s="33"/>
      <c r="D224" s="33"/>
      <c r="I224" s="33"/>
      <c r="J224" s="33"/>
      <c r="O224" s="33"/>
      <c r="P224" s="33"/>
      <c r="U224" s="33"/>
      <c r="V224" s="33"/>
      <c r="AP224" s="35"/>
      <c r="AQ224" s="35"/>
    </row>
    <row r="225">
      <c r="C225" s="33"/>
      <c r="D225" s="33"/>
      <c r="I225" s="33"/>
      <c r="J225" s="33"/>
      <c r="O225" s="33"/>
      <c r="P225" s="33"/>
      <c r="U225" s="33"/>
      <c r="V225" s="33"/>
      <c r="AP225" s="35"/>
      <c r="AQ225" s="35"/>
    </row>
    <row r="226">
      <c r="C226" s="33"/>
      <c r="D226" s="33"/>
      <c r="I226" s="33"/>
      <c r="J226" s="33"/>
      <c r="O226" s="33"/>
      <c r="P226" s="33"/>
      <c r="U226" s="33"/>
      <c r="V226" s="33"/>
      <c r="AP226" s="35"/>
      <c r="AQ226" s="35"/>
    </row>
    <row r="227">
      <c r="C227" s="33"/>
      <c r="D227" s="33"/>
      <c r="I227" s="33"/>
      <c r="J227" s="33"/>
      <c r="O227" s="33"/>
      <c r="P227" s="33"/>
      <c r="U227" s="33"/>
      <c r="V227" s="33"/>
      <c r="AP227" s="35"/>
      <c r="AQ227" s="35"/>
    </row>
    <row r="228">
      <c r="C228" s="33"/>
      <c r="D228" s="33"/>
      <c r="I228" s="33"/>
      <c r="J228" s="33"/>
      <c r="O228" s="33"/>
      <c r="P228" s="33"/>
      <c r="U228" s="33"/>
      <c r="V228" s="33"/>
      <c r="AP228" s="35"/>
      <c r="AQ228" s="35"/>
    </row>
    <row r="229">
      <c r="C229" s="33"/>
      <c r="D229" s="33"/>
      <c r="I229" s="33"/>
      <c r="J229" s="33"/>
      <c r="O229" s="33"/>
      <c r="P229" s="33"/>
      <c r="U229" s="33"/>
      <c r="V229" s="33"/>
      <c r="AP229" s="35"/>
      <c r="AQ229" s="35"/>
    </row>
    <row r="230">
      <c r="C230" s="33"/>
      <c r="D230" s="33"/>
      <c r="I230" s="33"/>
      <c r="J230" s="33"/>
      <c r="O230" s="33"/>
      <c r="P230" s="33"/>
      <c r="U230" s="33"/>
      <c r="V230" s="33"/>
      <c r="AP230" s="35"/>
      <c r="AQ230" s="35"/>
    </row>
    <row r="231">
      <c r="C231" s="33"/>
      <c r="D231" s="33"/>
      <c r="I231" s="33"/>
      <c r="J231" s="33"/>
      <c r="O231" s="33"/>
      <c r="P231" s="33"/>
      <c r="U231" s="33"/>
      <c r="V231" s="33"/>
      <c r="AP231" s="35"/>
      <c r="AQ231" s="35"/>
    </row>
    <row r="232">
      <c r="C232" s="33"/>
      <c r="D232" s="33"/>
      <c r="I232" s="33"/>
      <c r="J232" s="33"/>
      <c r="O232" s="33"/>
      <c r="P232" s="33"/>
      <c r="U232" s="33"/>
      <c r="V232" s="33"/>
      <c r="AP232" s="35"/>
      <c r="AQ232" s="35"/>
    </row>
    <row r="233">
      <c r="C233" s="33"/>
      <c r="D233" s="33"/>
      <c r="I233" s="33"/>
      <c r="J233" s="33"/>
      <c r="O233" s="33"/>
      <c r="P233" s="33"/>
      <c r="U233" s="33"/>
      <c r="V233" s="33"/>
      <c r="AP233" s="35"/>
      <c r="AQ233" s="35"/>
    </row>
    <row r="234">
      <c r="C234" s="33"/>
      <c r="D234" s="33"/>
      <c r="I234" s="33"/>
      <c r="J234" s="33"/>
      <c r="O234" s="33"/>
      <c r="P234" s="33"/>
      <c r="U234" s="33"/>
      <c r="V234" s="33"/>
      <c r="AP234" s="35"/>
      <c r="AQ234" s="35"/>
    </row>
    <row r="235">
      <c r="C235" s="33"/>
      <c r="D235" s="33"/>
      <c r="I235" s="33"/>
      <c r="J235" s="33"/>
      <c r="O235" s="33"/>
      <c r="P235" s="33"/>
      <c r="U235" s="33"/>
      <c r="V235" s="33"/>
      <c r="AP235" s="35"/>
      <c r="AQ235" s="35"/>
    </row>
    <row r="236">
      <c r="C236" s="33"/>
      <c r="D236" s="33"/>
      <c r="I236" s="33"/>
      <c r="J236" s="33"/>
      <c r="O236" s="33"/>
      <c r="P236" s="33"/>
      <c r="U236" s="33"/>
      <c r="V236" s="33"/>
      <c r="AP236" s="35"/>
      <c r="AQ236" s="35"/>
    </row>
    <row r="237">
      <c r="C237" s="33"/>
      <c r="D237" s="33"/>
      <c r="I237" s="33"/>
      <c r="J237" s="33"/>
      <c r="O237" s="33"/>
      <c r="P237" s="33"/>
      <c r="U237" s="33"/>
      <c r="V237" s="33"/>
      <c r="AP237" s="35"/>
      <c r="AQ237" s="35"/>
    </row>
    <row r="238">
      <c r="C238" s="33"/>
      <c r="D238" s="33"/>
      <c r="I238" s="33"/>
      <c r="J238" s="33"/>
      <c r="O238" s="33"/>
      <c r="P238" s="33"/>
      <c r="U238" s="33"/>
      <c r="V238" s="33"/>
      <c r="AP238" s="35"/>
      <c r="AQ238" s="35"/>
    </row>
    <row r="239">
      <c r="C239" s="33"/>
      <c r="D239" s="33"/>
      <c r="I239" s="33"/>
      <c r="J239" s="33"/>
      <c r="O239" s="33"/>
      <c r="P239" s="33"/>
      <c r="U239" s="33"/>
      <c r="V239" s="33"/>
      <c r="AP239" s="35"/>
      <c r="AQ239" s="35"/>
    </row>
    <row r="240">
      <c r="C240" s="33"/>
      <c r="D240" s="33"/>
      <c r="I240" s="33"/>
      <c r="J240" s="33"/>
      <c r="O240" s="33"/>
      <c r="P240" s="33"/>
      <c r="U240" s="33"/>
      <c r="V240" s="33"/>
      <c r="AP240" s="35"/>
      <c r="AQ240" s="35"/>
    </row>
    <row r="241">
      <c r="C241" s="33"/>
      <c r="D241" s="33"/>
      <c r="I241" s="33"/>
      <c r="J241" s="33"/>
      <c r="O241" s="33"/>
      <c r="P241" s="33"/>
      <c r="U241" s="33"/>
      <c r="V241" s="33"/>
      <c r="AP241" s="35"/>
      <c r="AQ241" s="35"/>
    </row>
    <row r="242">
      <c r="C242" s="33"/>
      <c r="D242" s="33"/>
      <c r="I242" s="33"/>
      <c r="J242" s="33"/>
      <c r="O242" s="33"/>
      <c r="P242" s="33"/>
      <c r="U242" s="33"/>
      <c r="V242" s="33"/>
      <c r="AP242" s="35"/>
      <c r="AQ242" s="35"/>
    </row>
    <row r="243">
      <c r="C243" s="33"/>
      <c r="D243" s="33"/>
      <c r="I243" s="33"/>
      <c r="J243" s="33"/>
      <c r="O243" s="33"/>
      <c r="P243" s="33"/>
      <c r="U243" s="33"/>
      <c r="V243" s="33"/>
      <c r="AP243" s="35"/>
      <c r="AQ243" s="35"/>
    </row>
    <row r="244">
      <c r="C244" s="33"/>
      <c r="D244" s="33"/>
      <c r="I244" s="33"/>
      <c r="J244" s="33"/>
      <c r="O244" s="33"/>
      <c r="P244" s="33"/>
      <c r="U244" s="33"/>
      <c r="V244" s="33"/>
      <c r="AP244" s="35"/>
      <c r="AQ244" s="35"/>
    </row>
    <row r="245">
      <c r="C245" s="33"/>
      <c r="D245" s="33"/>
      <c r="I245" s="33"/>
      <c r="J245" s="33"/>
      <c r="O245" s="33"/>
      <c r="P245" s="33"/>
      <c r="U245" s="33"/>
      <c r="V245" s="33"/>
      <c r="AP245" s="35"/>
      <c r="AQ245" s="35"/>
    </row>
    <row r="246">
      <c r="C246" s="33"/>
      <c r="D246" s="33"/>
      <c r="I246" s="33"/>
      <c r="J246" s="33"/>
      <c r="O246" s="33"/>
      <c r="P246" s="33"/>
      <c r="U246" s="33"/>
      <c r="V246" s="33"/>
      <c r="AP246" s="35"/>
      <c r="AQ246" s="35"/>
    </row>
    <row r="247">
      <c r="C247" s="33"/>
      <c r="D247" s="33"/>
      <c r="I247" s="33"/>
      <c r="J247" s="33"/>
      <c r="O247" s="33"/>
      <c r="P247" s="33"/>
      <c r="U247" s="33"/>
      <c r="V247" s="33"/>
      <c r="AP247" s="35"/>
      <c r="AQ247" s="35"/>
    </row>
    <row r="248">
      <c r="C248" s="33"/>
      <c r="D248" s="33"/>
      <c r="I248" s="33"/>
      <c r="J248" s="33"/>
      <c r="O248" s="33"/>
      <c r="P248" s="33"/>
      <c r="U248" s="33"/>
      <c r="V248" s="33"/>
      <c r="AP248" s="35"/>
      <c r="AQ248" s="35"/>
    </row>
    <row r="249">
      <c r="C249" s="33"/>
      <c r="D249" s="33"/>
      <c r="I249" s="33"/>
      <c r="J249" s="33"/>
      <c r="O249" s="33"/>
      <c r="P249" s="33"/>
      <c r="U249" s="33"/>
      <c r="V249" s="33"/>
      <c r="AP249" s="35"/>
      <c r="AQ249" s="35"/>
    </row>
    <row r="250">
      <c r="C250" s="33"/>
      <c r="D250" s="33"/>
      <c r="I250" s="33"/>
      <c r="J250" s="33"/>
      <c r="O250" s="33"/>
      <c r="P250" s="33"/>
      <c r="U250" s="33"/>
      <c r="V250" s="33"/>
      <c r="AP250" s="35"/>
      <c r="AQ250" s="35"/>
    </row>
    <row r="251">
      <c r="C251" s="33"/>
      <c r="D251" s="33"/>
      <c r="I251" s="33"/>
      <c r="J251" s="33"/>
      <c r="O251" s="33"/>
      <c r="P251" s="33"/>
      <c r="U251" s="33"/>
      <c r="V251" s="33"/>
      <c r="AP251" s="35"/>
      <c r="AQ251" s="35"/>
    </row>
    <row r="252">
      <c r="C252" s="33"/>
      <c r="D252" s="33"/>
      <c r="I252" s="33"/>
      <c r="J252" s="33"/>
      <c r="O252" s="33"/>
      <c r="P252" s="33"/>
      <c r="U252" s="33"/>
      <c r="V252" s="33"/>
      <c r="AP252" s="35"/>
      <c r="AQ252" s="35"/>
    </row>
    <row r="253">
      <c r="C253" s="33"/>
      <c r="D253" s="33"/>
      <c r="I253" s="33"/>
      <c r="J253" s="33"/>
      <c r="O253" s="33"/>
      <c r="P253" s="33"/>
      <c r="U253" s="33"/>
      <c r="V253" s="33"/>
      <c r="AP253" s="35"/>
      <c r="AQ253" s="35"/>
    </row>
    <row r="254">
      <c r="C254" s="33"/>
      <c r="D254" s="33"/>
      <c r="I254" s="33"/>
      <c r="J254" s="33"/>
      <c r="O254" s="33"/>
      <c r="P254" s="33"/>
      <c r="U254" s="33"/>
      <c r="V254" s="33"/>
      <c r="AP254" s="35"/>
      <c r="AQ254" s="35"/>
    </row>
    <row r="255">
      <c r="C255" s="33"/>
      <c r="D255" s="33"/>
      <c r="I255" s="33"/>
      <c r="J255" s="33"/>
      <c r="O255" s="33"/>
      <c r="P255" s="33"/>
      <c r="U255" s="33"/>
      <c r="V255" s="33"/>
      <c r="AP255" s="35"/>
      <c r="AQ255" s="35"/>
    </row>
    <row r="256">
      <c r="C256" s="33"/>
      <c r="D256" s="33"/>
      <c r="I256" s="33"/>
      <c r="J256" s="33"/>
      <c r="O256" s="33"/>
      <c r="P256" s="33"/>
      <c r="U256" s="33"/>
      <c r="V256" s="33"/>
      <c r="AP256" s="35"/>
      <c r="AQ256" s="35"/>
    </row>
    <row r="257">
      <c r="C257" s="33"/>
      <c r="D257" s="33"/>
      <c r="I257" s="33"/>
      <c r="J257" s="33"/>
      <c r="O257" s="33"/>
      <c r="P257" s="33"/>
      <c r="U257" s="33"/>
      <c r="V257" s="33"/>
      <c r="AP257" s="35"/>
      <c r="AQ257" s="35"/>
    </row>
    <row r="258">
      <c r="C258" s="33"/>
      <c r="D258" s="33"/>
      <c r="I258" s="33"/>
      <c r="J258" s="33"/>
      <c r="O258" s="33"/>
      <c r="P258" s="33"/>
      <c r="U258" s="33"/>
      <c r="V258" s="33"/>
      <c r="AP258" s="35"/>
      <c r="AQ258" s="35"/>
    </row>
    <row r="259">
      <c r="C259" s="33"/>
      <c r="D259" s="33"/>
      <c r="I259" s="33"/>
      <c r="J259" s="33"/>
      <c r="O259" s="33"/>
      <c r="P259" s="33"/>
      <c r="U259" s="33"/>
      <c r="V259" s="33"/>
      <c r="AP259" s="35"/>
      <c r="AQ259" s="35"/>
    </row>
    <row r="260">
      <c r="C260" s="33"/>
      <c r="D260" s="33"/>
      <c r="I260" s="33"/>
      <c r="J260" s="33"/>
      <c r="O260" s="33"/>
      <c r="P260" s="33"/>
      <c r="U260" s="33"/>
      <c r="V260" s="33"/>
      <c r="AP260" s="35"/>
      <c r="AQ260" s="35"/>
    </row>
    <row r="261">
      <c r="C261" s="33"/>
      <c r="D261" s="33"/>
      <c r="I261" s="33"/>
      <c r="J261" s="33"/>
      <c r="O261" s="33"/>
      <c r="P261" s="33"/>
      <c r="U261" s="33"/>
      <c r="V261" s="33"/>
      <c r="AP261" s="35"/>
      <c r="AQ261" s="35"/>
    </row>
    <row r="262">
      <c r="C262" s="33"/>
      <c r="D262" s="33"/>
      <c r="I262" s="33"/>
      <c r="J262" s="33"/>
      <c r="O262" s="33"/>
      <c r="P262" s="33"/>
      <c r="U262" s="33"/>
      <c r="V262" s="33"/>
      <c r="AP262" s="35"/>
      <c r="AQ262" s="35"/>
    </row>
    <row r="263">
      <c r="C263" s="33"/>
      <c r="D263" s="33"/>
      <c r="I263" s="33"/>
      <c r="J263" s="33"/>
      <c r="O263" s="33"/>
      <c r="P263" s="33"/>
      <c r="U263" s="33"/>
      <c r="V263" s="33"/>
      <c r="AP263" s="35"/>
      <c r="AQ263" s="35"/>
    </row>
    <row r="264">
      <c r="C264" s="33"/>
      <c r="D264" s="33"/>
      <c r="I264" s="33"/>
      <c r="J264" s="33"/>
      <c r="O264" s="33"/>
      <c r="P264" s="33"/>
      <c r="U264" s="33"/>
      <c r="V264" s="33"/>
      <c r="AP264" s="35"/>
      <c r="AQ264" s="35"/>
    </row>
    <row r="265">
      <c r="C265" s="33"/>
      <c r="D265" s="33"/>
      <c r="I265" s="33"/>
      <c r="J265" s="33"/>
      <c r="O265" s="33"/>
      <c r="P265" s="33"/>
      <c r="U265" s="33"/>
      <c r="V265" s="33"/>
      <c r="AP265" s="35"/>
      <c r="AQ265" s="35"/>
    </row>
    <row r="266">
      <c r="C266" s="33"/>
      <c r="D266" s="33"/>
      <c r="I266" s="33"/>
      <c r="J266" s="33"/>
      <c r="O266" s="33"/>
      <c r="P266" s="33"/>
      <c r="U266" s="33"/>
      <c r="V266" s="33"/>
      <c r="AP266" s="35"/>
      <c r="AQ266" s="35"/>
    </row>
    <row r="267">
      <c r="C267" s="33"/>
      <c r="D267" s="33"/>
      <c r="I267" s="33"/>
      <c r="J267" s="33"/>
      <c r="O267" s="33"/>
      <c r="P267" s="33"/>
      <c r="U267" s="33"/>
      <c r="V267" s="33"/>
      <c r="AP267" s="35"/>
      <c r="AQ267" s="35"/>
    </row>
    <row r="268">
      <c r="C268" s="33"/>
      <c r="D268" s="33"/>
      <c r="I268" s="33"/>
      <c r="J268" s="33"/>
      <c r="O268" s="33"/>
      <c r="P268" s="33"/>
      <c r="U268" s="33"/>
      <c r="V268" s="33"/>
      <c r="AP268" s="35"/>
      <c r="AQ268" s="35"/>
    </row>
    <row r="269">
      <c r="C269" s="33"/>
      <c r="D269" s="33"/>
      <c r="I269" s="33"/>
      <c r="J269" s="33"/>
      <c r="O269" s="33"/>
      <c r="P269" s="33"/>
      <c r="U269" s="33"/>
      <c r="V269" s="33"/>
      <c r="AP269" s="35"/>
      <c r="AQ269" s="35"/>
    </row>
    <row r="270">
      <c r="C270" s="33"/>
      <c r="D270" s="33"/>
      <c r="I270" s="33"/>
      <c r="J270" s="33"/>
      <c r="O270" s="33"/>
      <c r="P270" s="33"/>
      <c r="U270" s="33"/>
      <c r="V270" s="33"/>
      <c r="AP270" s="35"/>
      <c r="AQ270" s="35"/>
    </row>
    <row r="271">
      <c r="C271" s="33"/>
      <c r="D271" s="33"/>
      <c r="I271" s="33"/>
      <c r="J271" s="33"/>
      <c r="O271" s="33"/>
      <c r="P271" s="33"/>
      <c r="U271" s="33"/>
      <c r="V271" s="33"/>
      <c r="AP271" s="35"/>
      <c r="AQ271" s="35"/>
    </row>
    <row r="272">
      <c r="C272" s="33"/>
      <c r="D272" s="33"/>
      <c r="I272" s="33"/>
      <c r="J272" s="33"/>
      <c r="O272" s="33"/>
      <c r="P272" s="33"/>
      <c r="U272" s="33"/>
      <c r="V272" s="33"/>
      <c r="AP272" s="35"/>
      <c r="AQ272" s="35"/>
    </row>
    <row r="273">
      <c r="C273" s="33"/>
      <c r="D273" s="33"/>
      <c r="I273" s="33"/>
      <c r="J273" s="33"/>
      <c r="O273" s="33"/>
      <c r="P273" s="33"/>
      <c r="U273" s="33"/>
      <c r="V273" s="33"/>
      <c r="AP273" s="35"/>
      <c r="AQ273" s="35"/>
    </row>
    <row r="274">
      <c r="C274" s="33"/>
      <c r="D274" s="33"/>
      <c r="I274" s="33"/>
      <c r="J274" s="33"/>
      <c r="O274" s="33"/>
      <c r="P274" s="33"/>
      <c r="U274" s="33"/>
      <c r="V274" s="33"/>
      <c r="AP274" s="35"/>
      <c r="AQ274" s="35"/>
    </row>
    <row r="275">
      <c r="C275" s="33"/>
      <c r="D275" s="33"/>
      <c r="I275" s="33"/>
      <c r="J275" s="33"/>
      <c r="O275" s="33"/>
      <c r="P275" s="33"/>
      <c r="U275" s="33"/>
      <c r="V275" s="33"/>
      <c r="AP275" s="35"/>
      <c r="AQ275" s="35"/>
    </row>
    <row r="276">
      <c r="C276" s="33"/>
      <c r="D276" s="33"/>
      <c r="I276" s="33"/>
      <c r="J276" s="33"/>
      <c r="O276" s="33"/>
      <c r="P276" s="33"/>
      <c r="U276" s="33"/>
      <c r="V276" s="33"/>
      <c r="AP276" s="35"/>
      <c r="AQ276" s="35"/>
    </row>
    <row r="277">
      <c r="C277" s="33"/>
      <c r="D277" s="33"/>
      <c r="I277" s="33"/>
      <c r="J277" s="33"/>
      <c r="O277" s="33"/>
      <c r="P277" s="33"/>
      <c r="U277" s="33"/>
      <c r="V277" s="33"/>
      <c r="AP277" s="35"/>
      <c r="AQ277" s="35"/>
    </row>
    <row r="278">
      <c r="C278" s="33"/>
      <c r="D278" s="33"/>
      <c r="I278" s="33"/>
      <c r="J278" s="33"/>
      <c r="O278" s="33"/>
      <c r="P278" s="33"/>
      <c r="U278" s="33"/>
      <c r="V278" s="33"/>
      <c r="AP278" s="35"/>
      <c r="AQ278" s="35"/>
    </row>
    <row r="279">
      <c r="C279" s="33"/>
      <c r="D279" s="33"/>
      <c r="I279" s="33"/>
      <c r="J279" s="33"/>
      <c r="O279" s="33"/>
      <c r="P279" s="33"/>
      <c r="U279" s="33"/>
      <c r="V279" s="33"/>
      <c r="AP279" s="35"/>
      <c r="AQ279" s="35"/>
    </row>
    <row r="280">
      <c r="C280" s="33"/>
      <c r="D280" s="33"/>
      <c r="I280" s="33"/>
      <c r="J280" s="33"/>
      <c r="O280" s="33"/>
      <c r="P280" s="33"/>
      <c r="U280" s="33"/>
      <c r="V280" s="33"/>
      <c r="AP280" s="35"/>
      <c r="AQ280" s="35"/>
    </row>
    <row r="281">
      <c r="C281" s="33"/>
      <c r="D281" s="33"/>
      <c r="I281" s="33"/>
      <c r="J281" s="33"/>
      <c r="O281" s="33"/>
      <c r="P281" s="33"/>
      <c r="U281" s="33"/>
      <c r="V281" s="33"/>
      <c r="AP281" s="35"/>
      <c r="AQ281" s="35"/>
    </row>
    <row r="282">
      <c r="C282" s="33"/>
      <c r="D282" s="33"/>
      <c r="I282" s="33"/>
      <c r="J282" s="33"/>
      <c r="O282" s="33"/>
      <c r="P282" s="33"/>
      <c r="U282" s="33"/>
      <c r="V282" s="33"/>
      <c r="AP282" s="35"/>
      <c r="AQ282" s="35"/>
    </row>
    <row r="283">
      <c r="C283" s="33"/>
      <c r="D283" s="33"/>
      <c r="I283" s="33"/>
      <c r="J283" s="33"/>
      <c r="O283" s="33"/>
      <c r="P283" s="33"/>
      <c r="U283" s="33"/>
      <c r="V283" s="33"/>
      <c r="AP283" s="35"/>
      <c r="AQ283" s="35"/>
    </row>
    <row r="284">
      <c r="C284" s="33"/>
      <c r="D284" s="33"/>
      <c r="I284" s="33"/>
      <c r="J284" s="33"/>
      <c r="O284" s="33"/>
      <c r="P284" s="33"/>
      <c r="U284" s="33"/>
      <c r="V284" s="33"/>
      <c r="AP284" s="35"/>
      <c r="AQ284" s="35"/>
    </row>
    <row r="285">
      <c r="C285" s="33"/>
      <c r="D285" s="33"/>
      <c r="I285" s="33"/>
      <c r="J285" s="33"/>
      <c r="O285" s="33"/>
      <c r="P285" s="33"/>
      <c r="U285" s="33"/>
      <c r="V285" s="33"/>
      <c r="AP285" s="35"/>
      <c r="AQ285" s="35"/>
    </row>
    <row r="286">
      <c r="C286" s="33"/>
      <c r="D286" s="33"/>
      <c r="I286" s="33"/>
      <c r="J286" s="33"/>
      <c r="O286" s="33"/>
      <c r="P286" s="33"/>
      <c r="U286" s="33"/>
      <c r="V286" s="33"/>
      <c r="AP286" s="35"/>
      <c r="AQ286" s="35"/>
    </row>
    <row r="287">
      <c r="C287" s="33"/>
      <c r="D287" s="33"/>
      <c r="I287" s="33"/>
      <c r="J287" s="33"/>
      <c r="O287" s="33"/>
      <c r="P287" s="33"/>
      <c r="U287" s="33"/>
      <c r="V287" s="33"/>
      <c r="AP287" s="35"/>
      <c r="AQ287" s="35"/>
    </row>
    <row r="288">
      <c r="C288" s="33"/>
      <c r="D288" s="33"/>
      <c r="I288" s="33"/>
      <c r="J288" s="33"/>
      <c r="O288" s="33"/>
      <c r="P288" s="33"/>
      <c r="U288" s="33"/>
      <c r="V288" s="33"/>
      <c r="AP288" s="35"/>
      <c r="AQ288" s="35"/>
    </row>
    <row r="289">
      <c r="C289" s="33"/>
      <c r="D289" s="33"/>
      <c r="I289" s="33"/>
      <c r="J289" s="33"/>
      <c r="O289" s="33"/>
      <c r="P289" s="33"/>
      <c r="U289" s="33"/>
      <c r="V289" s="33"/>
      <c r="AP289" s="35"/>
      <c r="AQ289" s="35"/>
    </row>
    <row r="290">
      <c r="C290" s="33"/>
      <c r="D290" s="33"/>
      <c r="I290" s="33"/>
      <c r="J290" s="33"/>
      <c r="O290" s="33"/>
      <c r="P290" s="33"/>
      <c r="U290" s="33"/>
      <c r="V290" s="33"/>
      <c r="AP290" s="35"/>
      <c r="AQ290" s="35"/>
    </row>
    <row r="291">
      <c r="C291" s="33"/>
      <c r="D291" s="33"/>
      <c r="I291" s="33"/>
      <c r="J291" s="33"/>
      <c r="O291" s="33"/>
      <c r="P291" s="33"/>
      <c r="U291" s="33"/>
      <c r="V291" s="33"/>
      <c r="AP291" s="35"/>
      <c r="AQ291" s="35"/>
    </row>
    <row r="292">
      <c r="C292" s="33"/>
      <c r="D292" s="33"/>
      <c r="I292" s="33"/>
      <c r="J292" s="33"/>
      <c r="O292" s="33"/>
      <c r="P292" s="33"/>
      <c r="U292" s="33"/>
      <c r="V292" s="33"/>
      <c r="AP292" s="35"/>
      <c r="AQ292" s="35"/>
    </row>
    <row r="293">
      <c r="C293" s="33"/>
      <c r="D293" s="33"/>
      <c r="I293" s="33"/>
      <c r="J293" s="33"/>
      <c r="O293" s="33"/>
      <c r="P293" s="33"/>
      <c r="U293" s="33"/>
      <c r="V293" s="33"/>
      <c r="AP293" s="35"/>
      <c r="AQ293" s="35"/>
    </row>
    <row r="294">
      <c r="C294" s="33"/>
      <c r="D294" s="33"/>
      <c r="I294" s="33"/>
      <c r="J294" s="33"/>
      <c r="O294" s="33"/>
      <c r="P294" s="33"/>
      <c r="U294" s="33"/>
      <c r="V294" s="33"/>
      <c r="AP294" s="35"/>
      <c r="AQ294" s="35"/>
    </row>
    <row r="295">
      <c r="C295" s="33"/>
      <c r="D295" s="33"/>
      <c r="I295" s="33"/>
      <c r="J295" s="33"/>
      <c r="O295" s="33"/>
      <c r="P295" s="33"/>
      <c r="U295" s="33"/>
      <c r="V295" s="33"/>
      <c r="AP295" s="35"/>
      <c r="AQ295" s="35"/>
    </row>
    <row r="296">
      <c r="C296" s="33"/>
      <c r="D296" s="33"/>
      <c r="I296" s="33"/>
      <c r="J296" s="33"/>
      <c r="O296" s="33"/>
      <c r="P296" s="33"/>
      <c r="U296" s="33"/>
      <c r="V296" s="33"/>
      <c r="AP296" s="35"/>
      <c r="AQ296" s="35"/>
    </row>
    <row r="297">
      <c r="C297" s="33"/>
      <c r="D297" s="33"/>
      <c r="I297" s="33"/>
      <c r="J297" s="33"/>
      <c r="O297" s="33"/>
      <c r="P297" s="33"/>
      <c r="U297" s="33"/>
      <c r="V297" s="33"/>
      <c r="AP297" s="35"/>
      <c r="AQ297" s="35"/>
    </row>
    <row r="298">
      <c r="C298" s="33"/>
      <c r="D298" s="33"/>
      <c r="I298" s="33"/>
      <c r="J298" s="33"/>
      <c r="O298" s="33"/>
      <c r="P298" s="33"/>
      <c r="U298" s="33"/>
      <c r="V298" s="33"/>
      <c r="AP298" s="35"/>
      <c r="AQ298" s="35"/>
    </row>
    <row r="299">
      <c r="C299" s="33"/>
      <c r="D299" s="33"/>
      <c r="I299" s="33"/>
      <c r="J299" s="33"/>
      <c r="O299" s="33"/>
      <c r="P299" s="33"/>
      <c r="U299" s="33"/>
      <c r="V299" s="33"/>
      <c r="AP299" s="35"/>
      <c r="AQ299" s="35"/>
    </row>
    <row r="300">
      <c r="C300" s="33"/>
      <c r="D300" s="33"/>
      <c r="I300" s="33"/>
      <c r="J300" s="33"/>
      <c r="O300" s="33"/>
      <c r="P300" s="33"/>
      <c r="U300" s="33"/>
      <c r="V300" s="33"/>
      <c r="AP300" s="35"/>
      <c r="AQ300" s="35"/>
    </row>
    <row r="301">
      <c r="C301" s="33"/>
      <c r="D301" s="33"/>
      <c r="I301" s="33"/>
      <c r="J301" s="33"/>
      <c r="O301" s="33"/>
      <c r="P301" s="33"/>
      <c r="U301" s="33"/>
      <c r="V301" s="33"/>
      <c r="AP301" s="35"/>
      <c r="AQ301" s="35"/>
    </row>
    <row r="302">
      <c r="C302" s="33"/>
      <c r="D302" s="33"/>
      <c r="I302" s="33"/>
      <c r="J302" s="33"/>
      <c r="O302" s="33"/>
      <c r="P302" s="33"/>
      <c r="U302" s="33"/>
      <c r="V302" s="33"/>
      <c r="AP302" s="35"/>
      <c r="AQ302" s="35"/>
    </row>
    <row r="303">
      <c r="C303" s="33"/>
      <c r="D303" s="33"/>
      <c r="I303" s="33"/>
      <c r="J303" s="33"/>
      <c r="O303" s="33"/>
      <c r="P303" s="33"/>
      <c r="U303" s="33"/>
      <c r="V303" s="33"/>
      <c r="AP303" s="35"/>
      <c r="AQ303" s="35"/>
    </row>
    <row r="304">
      <c r="C304" s="33"/>
      <c r="D304" s="33"/>
      <c r="I304" s="33"/>
      <c r="J304" s="33"/>
      <c r="O304" s="33"/>
      <c r="P304" s="33"/>
      <c r="U304" s="33"/>
      <c r="V304" s="33"/>
      <c r="AP304" s="35"/>
      <c r="AQ304" s="35"/>
    </row>
    <row r="305">
      <c r="C305" s="33"/>
      <c r="D305" s="33"/>
      <c r="I305" s="33"/>
      <c r="J305" s="33"/>
      <c r="O305" s="33"/>
      <c r="P305" s="33"/>
      <c r="U305" s="33"/>
      <c r="V305" s="33"/>
      <c r="AP305" s="35"/>
      <c r="AQ305" s="35"/>
    </row>
    <row r="306">
      <c r="C306" s="33"/>
      <c r="D306" s="33"/>
      <c r="I306" s="33"/>
      <c r="J306" s="33"/>
      <c r="O306" s="33"/>
      <c r="P306" s="33"/>
      <c r="U306" s="33"/>
      <c r="V306" s="33"/>
      <c r="AP306" s="35"/>
      <c r="AQ306" s="35"/>
    </row>
    <row r="307">
      <c r="C307" s="33"/>
      <c r="D307" s="33"/>
      <c r="I307" s="33"/>
      <c r="J307" s="33"/>
      <c r="O307" s="33"/>
      <c r="P307" s="33"/>
      <c r="U307" s="33"/>
      <c r="V307" s="33"/>
      <c r="AP307" s="35"/>
      <c r="AQ307" s="35"/>
    </row>
    <row r="308">
      <c r="C308" s="33"/>
      <c r="D308" s="33"/>
      <c r="I308" s="33"/>
      <c r="J308" s="33"/>
      <c r="O308" s="33"/>
      <c r="P308" s="33"/>
      <c r="U308" s="33"/>
      <c r="V308" s="33"/>
      <c r="AP308" s="35"/>
      <c r="AQ308" s="35"/>
    </row>
    <row r="309">
      <c r="C309" s="33"/>
      <c r="D309" s="33"/>
      <c r="I309" s="33"/>
      <c r="J309" s="33"/>
      <c r="O309" s="33"/>
      <c r="P309" s="33"/>
      <c r="U309" s="33"/>
      <c r="V309" s="33"/>
      <c r="AP309" s="35"/>
      <c r="AQ309" s="35"/>
    </row>
    <row r="310">
      <c r="C310" s="33"/>
      <c r="D310" s="33"/>
      <c r="I310" s="33"/>
      <c r="J310" s="33"/>
      <c r="O310" s="33"/>
      <c r="P310" s="33"/>
      <c r="U310" s="33"/>
      <c r="V310" s="33"/>
      <c r="AP310" s="35"/>
      <c r="AQ310" s="35"/>
    </row>
    <row r="311">
      <c r="C311" s="33"/>
      <c r="D311" s="33"/>
      <c r="I311" s="33"/>
      <c r="J311" s="33"/>
      <c r="O311" s="33"/>
      <c r="P311" s="33"/>
      <c r="U311" s="33"/>
      <c r="V311" s="33"/>
      <c r="AP311" s="35"/>
      <c r="AQ311" s="35"/>
    </row>
    <row r="312">
      <c r="C312" s="33"/>
      <c r="D312" s="33"/>
      <c r="I312" s="33"/>
      <c r="J312" s="33"/>
      <c r="O312" s="33"/>
      <c r="P312" s="33"/>
      <c r="U312" s="33"/>
      <c r="V312" s="33"/>
      <c r="AP312" s="35"/>
      <c r="AQ312" s="35"/>
    </row>
    <row r="313">
      <c r="C313" s="33"/>
      <c r="D313" s="33"/>
      <c r="I313" s="33"/>
      <c r="J313" s="33"/>
      <c r="O313" s="33"/>
      <c r="P313" s="33"/>
      <c r="U313" s="33"/>
      <c r="V313" s="33"/>
      <c r="AP313" s="35"/>
      <c r="AQ313" s="35"/>
    </row>
    <row r="314">
      <c r="C314" s="33"/>
      <c r="D314" s="33"/>
      <c r="I314" s="33"/>
      <c r="J314" s="33"/>
      <c r="O314" s="33"/>
      <c r="P314" s="33"/>
      <c r="U314" s="33"/>
      <c r="V314" s="33"/>
      <c r="AP314" s="35"/>
      <c r="AQ314" s="35"/>
    </row>
    <row r="315">
      <c r="C315" s="33"/>
      <c r="D315" s="33"/>
      <c r="I315" s="33"/>
      <c r="J315" s="33"/>
      <c r="O315" s="33"/>
      <c r="P315" s="33"/>
      <c r="U315" s="33"/>
      <c r="V315" s="33"/>
      <c r="AP315" s="35"/>
      <c r="AQ315" s="35"/>
    </row>
    <row r="316">
      <c r="C316" s="33"/>
      <c r="D316" s="33"/>
      <c r="I316" s="33"/>
      <c r="J316" s="33"/>
      <c r="O316" s="33"/>
      <c r="P316" s="33"/>
      <c r="U316" s="33"/>
      <c r="V316" s="33"/>
      <c r="AP316" s="35"/>
      <c r="AQ316" s="35"/>
    </row>
    <row r="317">
      <c r="C317" s="33"/>
      <c r="D317" s="33"/>
      <c r="I317" s="33"/>
      <c r="J317" s="33"/>
      <c r="O317" s="33"/>
      <c r="P317" s="33"/>
      <c r="U317" s="33"/>
      <c r="V317" s="33"/>
      <c r="AP317" s="35"/>
      <c r="AQ317" s="35"/>
    </row>
    <row r="318">
      <c r="C318" s="33"/>
      <c r="D318" s="33"/>
      <c r="I318" s="33"/>
      <c r="J318" s="33"/>
      <c r="O318" s="33"/>
      <c r="P318" s="33"/>
      <c r="U318" s="33"/>
      <c r="V318" s="33"/>
      <c r="AP318" s="35"/>
      <c r="AQ318" s="35"/>
    </row>
    <row r="319">
      <c r="C319" s="33"/>
      <c r="D319" s="33"/>
      <c r="I319" s="33"/>
      <c r="J319" s="33"/>
      <c r="O319" s="33"/>
      <c r="P319" s="33"/>
      <c r="U319" s="33"/>
      <c r="V319" s="33"/>
      <c r="AP319" s="35"/>
      <c r="AQ319" s="35"/>
    </row>
    <row r="320">
      <c r="C320" s="33"/>
      <c r="D320" s="33"/>
      <c r="I320" s="33"/>
      <c r="J320" s="33"/>
      <c r="O320" s="33"/>
      <c r="P320" s="33"/>
      <c r="U320" s="33"/>
      <c r="V320" s="33"/>
      <c r="AP320" s="35"/>
      <c r="AQ320" s="35"/>
    </row>
    <row r="321">
      <c r="C321" s="33"/>
      <c r="D321" s="33"/>
      <c r="I321" s="33"/>
      <c r="J321" s="33"/>
      <c r="O321" s="33"/>
      <c r="P321" s="33"/>
      <c r="U321" s="33"/>
      <c r="V321" s="33"/>
      <c r="AP321" s="35"/>
      <c r="AQ321" s="35"/>
    </row>
    <row r="322">
      <c r="C322" s="33"/>
      <c r="D322" s="33"/>
      <c r="I322" s="33"/>
      <c r="J322" s="33"/>
      <c r="O322" s="33"/>
      <c r="P322" s="33"/>
      <c r="U322" s="33"/>
      <c r="V322" s="33"/>
      <c r="AP322" s="35"/>
      <c r="AQ322" s="35"/>
    </row>
    <row r="323">
      <c r="C323" s="33"/>
      <c r="D323" s="33"/>
      <c r="I323" s="33"/>
      <c r="J323" s="33"/>
      <c r="O323" s="33"/>
      <c r="P323" s="33"/>
      <c r="U323" s="33"/>
      <c r="V323" s="33"/>
      <c r="AP323" s="35"/>
      <c r="AQ323" s="35"/>
    </row>
    <row r="324">
      <c r="C324" s="33"/>
      <c r="D324" s="33"/>
      <c r="I324" s="33"/>
      <c r="J324" s="33"/>
      <c r="O324" s="33"/>
      <c r="P324" s="33"/>
      <c r="U324" s="33"/>
      <c r="V324" s="33"/>
      <c r="AP324" s="35"/>
      <c r="AQ324" s="35"/>
    </row>
    <row r="325">
      <c r="C325" s="33"/>
      <c r="D325" s="33"/>
      <c r="I325" s="33"/>
      <c r="J325" s="33"/>
      <c r="O325" s="33"/>
      <c r="P325" s="33"/>
      <c r="U325" s="33"/>
      <c r="V325" s="33"/>
      <c r="AP325" s="35"/>
      <c r="AQ325" s="35"/>
    </row>
    <row r="326">
      <c r="C326" s="33"/>
      <c r="D326" s="33"/>
      <c r="I326" s="33"/>
      <c r="J326" s="33"/>
      <c r="O326" s="33"/>
      <c r="P326" s="33"/>
      <c r="U326" s="33"/>
      <c r="V326" s="33"/>
      <c r="AP326" s="35"/>
      <c r="AQ326" s="35"/>
    </row>
    <row r="327">
      <c r="C327" s="33"/>
      <c r="D327" s="33"/>
      <c r="I327" s="33"/>
      <c r="J327" s="33"/>
      <c r="O327" s="33"/>
      <c r="P327" s="33"/>
      <c r="U327" s="33"/>
      <c r="V327" s="33"/>
      <c r="AP327" s="35"/>
      <c r="AQ327" s="35"/>
    </row>
    <row r="328">
      <c r="C328" s="33"/>
      <c r="D328" s="33"/>
      <c r="I328" s="33"/>
      <c r="J328" s="33"/>
      <c r="O328" s="33"/>
      <c r="P328" s="33"/>
      <c r="U328" s="33"/>
      <c r="V328" s="33"/>
      <c r="AP328" s="35"/>
      <c r="AQ328" s="35"/>
    </row>
    <row r="329">
      <c r="C329" s="33"/>
      <c r="D329" s="33"/>
      <c r="I329" s="33"/>
      <c r="J329" s="33"/>
      <c r="O329" s="33"/>
      <c r="P329" s="33"/>
      <c r="U329" s="33"/>
      <c r="V329" s="33"/>
      <c r="AP329" s="35"/>
      <c r="AQ329" s="35"/>
    </row>
    <row r="330">
      <c r="C330" s="33"/>
      <c r="D330" s="33"/>
      <c r="I330" s="33"/>
      <c r="J330" s="33"/>
      <c r="O330" s="33"/>
      <c r="P330" s="33"/>
      <c r="U330" s="33"/>
      <c r="V330" s="33"/>
      <c r="AP330" s="35"/>
      <c r="AQ330" s="35"/>
    </row>
    <row r="331">
      <c r="C331" s="33"/>
      <c r="D331" s="33"/>
      <c r="I331" s="33"/>
      <c r="J331" s="33"/>
      <c r="O331" s="33"/>
      <c r="P331" s="33"/>
      <c r="U331" s="33"/>
      <c r="V331" s="33"/>
      <c r="AP331" s="35"/>
      <c r="AQ331" s="35"/>
    </row>
    <row r="332">
      <c r="C332" s="33"/>
      <c r="D332" s="33"/>
      <c r="I332" s="33"/>
      <c r="J332" s="33"/>
      <c r="O332" s="33"/>
      <c r="P332" s="33"/>
      <c r="U332" s="33"/>
      <c r="V332" s="33"/>
      <c r="AP332" s="35"/>
      <c r="AQ332" s="35"/>
    </row>
    <row r="333">
      <c r="C333" s="33"/>
      <c r="D333" s="33"/>
      <c r="I333" s="33"/>
      <c r="J333" s="33"/>
      <c r="O333" s="33"/>
      <c r="P333" s="33"/>
      <c r="U333" s="33"/>
      <c r="V333" s="33"/>
      <c r="AP333" s="35"/>
      <c r="AQ333" s="35"/>
    </row>
    <row r="334">
      <c r="C334" s="33"/>
      <c r="D334" s="33"/>
      <c r="I334" s="33"/>
      <c r="J334" s="33"/>
      <c r="O334" s="33"/>
      <c r="P334" s="33"/>
      <c r="U334" s="33"/>
      <c r="V334" s="33"/>
      <c r="AP334" s="35"/>
      <c r="AQ334" s="35"/>
    </row>
    <row r="335">
      <c r="C335" s="33"/>
      <c r="D335" s="33"/>
      <c r="I335" s="33"/>
      <c r="J335" s="33"/>
      <c r="O335" s="33"/>
      <c r="P335" s="33"/>
      <c r="U335" s="33"/>
      <c r="V335" s="33"/>
      <c r="AP335" s="35"/>
      <c r="AQ335" s="35"/>
    </row>
    <row r="336">
      <c r="C336" s="33"/>
      <c r="D336" s="33"/>
      <c r="I336" s="33"/>
      <c r="J336" s="33"/>
      <c r="O336" s="33"/>
      <c r="P336" s="33"/>
      <c r="U336" s="33"/>
      <c r="V336" s="33"/>
      <c r="AP336" s="35"/>
      <c r="AQ336" s="35"/>
    </row>
    <row r="337">
      <c r="C337" s="33"/>
      <c r="D337" s="33"/>
      <c r="I337" s="33"/>
      <c r="J337" s="33"/>
      <c r="O337" s="33"/>
      <c r="P337" s="33"/>
      <c r="U337" s="33"/>
      <c r="V337" s="33"/>
      <c r="AP337" s="35"/>
      <c r="AQ337" s="35"/>
    </row>
    <row r="338">
      <c r="C338" s="33"/>
      <c r="D338" s="33"/>
      <c r="I338" s="33"/>
      <c r="J338" s="33"/>
      <c r="O338" s="33"/>
      <c r="P338" s="33"/>
      <c r="U338" s="33"/>
      <c r="V338" s="33"/>
      <c r="AP338" s="35"/>
      <c r="AQ338" s="35"/>
    </row>
    <row r="339">
      <c r="C339" s="33"/>
      <c r="D339" s="33"/>
      <c r="I339" s="33"/>
      <c r="J339" s="33"/>
      <c r="O339" s="33"/>
      <c r="P339" s="33"/>
      <c r="U339" s="33"/>
      <c r="V339" s="33"/>
      <c r="AP339" s="35"/>
      <c r="AQ339" s="35"/>
    </row>
    <row r="340">
      <c r="C340" s="33"/>
      <c r="D340" s="33"/>
      <c r="I340" s="33"/>
      <c r="J340" s="33"/>
      <c r="O340" s="33"/>
      <c r="P340" s="33"/>
      <c r="U340" s="33"/>
      <c r="V340" s="33"/>
      <c r="AP340" s="35"/>
      <c r="AQ340" s="35"/>
    </row>
    <row r="341">
      <c r="C341" s="33"/>
      <c r="D341" s="33"/>
      <c r="I341" s="33"/>
      <c r="J341" s="33"/>
      <c r="O341" s="33"/>
      <c r="P341" s="33"/>
      <c r="U341" s="33"/>
      <c r="V341" s="33"/>
      <c r="AP341" s="35"/>
      <c r="AQ341" s="35"/>
    </row>
    <row r="342">
      <c r="C342" s="33"/>
      <c r="D342" s="33"/>
      <c r="I342" s="33"/>
      <c r="J342" s="33"/>
      <c r="O342" s="33"/>
      <c r="P342" s="33"/>
      <c r="U342" s="33"/>
      <c r="V342" s="33"/>
      <c r="AP342" s="35"/>
      <c r="AQ342" s="35"/>
    </row>
    <row r="343">
      <c r="C343" s="33"/>
      <c r="D343" s="33"/>
      <c r="I343" s="33"/>
      <c r="J343" s="33"/>
      <c r="O343" s="33"/>
      <c r="P343" s="33"/>
      <c r="U343" s="33"/>
      <c r="V343" s="33"/>
      <c r="AP343" s="35"/>
      <c r="AQ343" s="35"/>
    </row>
    <row r="344">
      <c r="C344" s="33"/>
      <c r="D344" s="33"/>
      <c r="I344" s="33"/>
      <c r="J344" s="33"/>
      <c r="O344" s="33"/>
      <c r="P344" s="33"/>
      <c r="U344" s="33"/>
      <c r="V344" s="33"/>
      <c r="AP344" s="35"/>
      <c r="AQ344" s="35"/>
    </row>
    <row r="345">
      <c r="C345" s="33"/>
      <c r="D345" s="33"/>
      <c r="I345" s="33"/>
      <c r="J345" s="33"/>
      <c r="O345" s="33"/>
      <c r="P345" s="33"/>
      <c r="U345" s="33"/>
      <c r="V345" s="33"/>
      <c r="AP345" s="35"/>
      <c r="AQ345" s="35"/>
    </row>
    <row r="346">
      <c r="C346" s="33"/>
      <c r="D346" s="33"/>
      <c r="I346" s="33"/>
      <c r="J346" s="33"/>
      <c r="O346" s="33"/>
      <c r="P346" s="33"/>
      <c r="U346" s="33"/>
      <c r="V346" s="33"/>
      <c r="AP346" s="35"/>
      <c r="AQ346" s="35"/>
    </row>
    <row r="347">
      <c r="C347" s="33"/>
      <c r="D347" s="33"/>
      <c r="I347" s="33"/>
      <c r="J347" s="33"/>
      <c r="O347" s="33"/>
      <c r="P347" s="33"/>
      <c r="U347" s="33"/>
      <c r="V347" s="33"/>
      <c r="AP347" s="35"/>
      <c r="AQ347" s="35"/>
    </row>
    <row r="348">
      <c r="C348" s="33"/>
      <c r="D348" s="33"/>
      <c r="I348" s="33"/>
      <c r="J348" s="33"/>
      <c r="O348" s="33"/>
      <c r="P348" s="33"/>
      <c r="U348" s="33"/>
      <c r="V348" s="33"/>
      <c r="AP348" s="35"/>
      <c r="AQ348" s="35"/>
    </row>
    <row r="349">
      <c r="C349" s="33"/>
      <c r="D349" s="33"/>
      <c r="I349" s="33"/>
      <c r="J349" s="33"/>
      <c r="O349" s="33"/>
      <c r="P349" s="33"/>
      <c r="U349" s="33"/>
      <c r="V349" s="33"/>
      <c r="AP349" s="35"/>
      <c r="AQ349" s="35"/>
    </row>
    <row r="350">
      <c r="C350" s="33"/>
      <c r="D350" s="33"/>
      <c r="I350" s="33"/>
      <c r="J350" s="33"/>
      <c r="O350" s="33"/>
      <c r="P350" s="33"/>
      <c r="U350" s="33"/>
      <c r="V350" s="33"/>
      <c r="AP350" s="35"/>
      <c r="AQ350" s="35"/>
    </row>
    <row r="351">
      <c r="C351" s="33"/>
      <c r="D351" s="33"/>
      <c r="I351" s="33"/>
      <c r="J351" s="33"/>
      <c r="O351" s="33"/>
      <c r="P351" s="33"/>
      <c r="U351" s="33"/>
      <c r="V351" s="33"/>
      <c r="AP351" s="35"/>
      <c r="AQ351" s="35"/>
    </row>
    <row r="352">
      <c r="C352" s="33"/>
      <c r="D352" s="33"/>
      <c r="I352" s="33"/>
      <c r="J352" s="33"/>
      <c r="O352" s="33"/>
      <c r="P352" s="33"/>
      <c r="U352" s="33"/>
      <c r="V352" s="33"/>
      <c r="AP352" s="35"/>
      <c r="AQ352" s="35"/>
    </row>
    <row r="353">
      <c r="C353" s="33"/>
      <c r="D353" s="33"/>
      <c r="I353" s="33"/>
      <c r="J353" s="33"/>
      <c r="O353" s="33"/>
      <c r="P353" s="33"/>
      <c r="U353" s="33"/>
      <c r="V353" s="33"/>
      <c r="AP353" s="35"/>
      <c r="AQ353" s="35"/>
    </row>
    <row r="354">
      <c r="C354" s="33"/>
      <c r="D354" s="33"/>
      <c r="I354" s="33"/>
      <c r="J354" s="33"/>
      <c r="O354" s="33"/>
      <c r="P354" s="33"/>
      <c r="U354" s="33"/>
      <c r="V354" s="33"/>
      <c r="AP354" s="35"/>
      <c r="AQ354" s="35"/>
    </row>
    <row r="355">
      <c r="C355" s="33"/>
      <c r="D355" s="33"/>
      <c r="I355" s="33"/>
      <c r="J355" s="33"/>
      <c r="O355" s="33"/>
      <c r="P355" s="33"/>
      <c r="U355" s="33"/>
      <c r="V355" s="33"/>
      <c r="AP355" s="35"/>
      <c r="AQ355" s="35"/>
    </row>
    <row r="356">
      <c r="C356" s="33"/>
      <c r="D356" s="33"/>
      <c r="I356" s="33"/>
      <c r="J356" s="33"/>
      <c r="O356" s="33"/>
      <c r="P356" s="33"/>
      <c r="U356" s="33"/>
      <c r="V356" s="33"/>
      <c r="AP356" s="35"/>
      <c r="AQ356" s="35"/>
    </row>
    <row r="357">
      <c r="C357" s="33"/>
      <c r="D357" s="33"/>
      <c r="I357" s="33"/>
      <c r="J357" s="33"/>
      <c r="O357" s="33"/>
      <c r="P357" s="33"/>
      <c r="U357" s="33"/>
      <c r="V357" s="33"/>
      <c r="AP357" s="35"/>
      <c r="AQ357" s="35"/>
    </row>
    <row r="358">
      <c r="C358" s="33"/>
      <c r="D358" s="33"/>
      <c r="I358" s="33"/>
      <c r="J358" s="33"/>
      <c r="O358" s="33"/>
      <c r="P358" s="33"/>
      <c r="U358" s="33"/>
      <c r="V358" s="33"/>
      <c r="AP358" s="35"/>
      <c r="AQ358" s="35"/>
    </row>
    <row r="359">
      <c r="C359" s="33"/>
      <c r="D359" s="33"/>
      <c r="I359" s="33"/>
      <c r="J359" s="33"/>
      <c r="O359" s="33"/>
      <c r="P359" s="33"/>
      <c r="U359" s="33"/>
      <c r="V359" s="33"/>
      <c r="AP359" s="35"/>
      <c r="AQ359" s="35"/>
    </row>
    <row r="360">
      <c r="C360" s="33"/>
      <c r="D360" s="33"/>
      <c r="I360" s="33"/>
      <c r="J360" s="33"/>
      <c r="O360" s="33"/>
      <c r="P360" s="33"/>
      <c r="U360" s="33"/>
      <c r="V360" s="33"/>
      <c r="AP360" s="35"/>
      <c r="AQ360" s="35"/>
    </row>
    <row r="361">
      <c r="C361" s="33"/>
      <c r="D361" s="33"/>
      <c r="I361" s="33"/>
      <c r="J361" s="33"/>
      <c r="O361" s="33"/>
      <c r="P361" s="33"/>
      <c r="U361" s="33"/>
      <c r="V361" s="33"/>
      <c r="AP361" s="35"/>
      <c r="AQ361" s="35"/>
    </row>
    <row r="362">
      <c r="C362" s="33"/>
      <c r="D362" s="33"/>
      <c r="I362" s="33"/>
      <c r="J362" s="33"/>
      <c r="O362" s="33"/>
      <c r="P362" s="33"/>
      <c r="U362" s="33"/>
      <c r="V362" s="33"/>
      <c r="AP362" s="35"/>
      <c r="AQ362" s="35"/>
    </row>
    <row r="363">
      <c r="C363" s="33"/>
      <c r="D363" s="33"/>
      <c r="I363" s="33"/>
      <c r="J363" s="33"/>
      <c r="O363" s="33"/>
      <c r="P363" s="33"/>
      <c r="U363" s="33"/>
      <c r="V363" s="33"/>
      <c r="AP363" s="35"/>
      <c r="AQ363" s="35"/>
    </row>
    <row r="364">
      <c r="C364" s="33"/>
      <c r="D364" s="33"/>
      <c r="I364" s="33"/>
      <c r="J364" s="33"/>
      <c r="O364" s="33"/>
      <c r="P364" s="33"/>
      <c r="U364" s="33"/>
      <c r="V364" s="33"/>
      <c r="AP364" s="35"/>
      <c r="AQ364" s="35"/>
    </row>
    <row r="365">
      <c r="C365" s="33"/>
      <c r="D365" s="33"/>
      <c r="I365" s="33"/>
      <c r="J365" s="33"/>
      <c r="O365" s="33"/>
      <c r="P365" s="33"/>
      <c r="U365" s="33"/>
      <c r="V365" s="33"/>
      <c r="AP365" s="35"/>
      <c r="AQ365" s="35"/>
    </row>
    <row r="366">
      <c r="C366" s="33"/>
      <c r="D366" s="33"/>
      <c r="I366" s="33"/>
      <c r="J366" s="33"/>
      <c r="O366" s="33"/>
      <c r="P366" s="33"/>
      <c r="U366" s="33"/>
      <c r="V366" s="33"/>
      <c r="AP366" s="35"/>
      <c r="AQ366" s="35"/>
    </row>
    <row r="367">
      <c r="C367" s="33"/>
      <c r="D367" s="33"/>
      <c r="I367" s="33"/>
      <c r="J367" s="33"/>
      <c r="O367" s="33"/>
      <c r="P367" s="33"/>
      <c r="U367" s="33"/>
      <c r="V367" s="33"/>
      <c r="AP367" s="35"/>
      <c r="AQ367" s="35"/>
    </row>
    <row r="368">
      <c r="C368" s="33"/>
      <c r="D368" s="33"/>
      <c r="I368" s="33"/>
      <c r="J368" s="33"/>
      <c r="O368" s="33"/>
      <c r="P368" s="33"/>
      <c r="U368" s="33"/>
      <c r="V368" s="33"/>
      <c r="AP368" s="35"/>
      <c r="AQ368" s="35"/>
    </row>
    <row r="369">
      <c r="C369" s="33"/>
      <c r="D369" s="33"/>
      <c r="I369" s="33"/>
      <c r="J369" s="33"/>
      <c r="O369" s="33"/>
      <c r="P369" s="33"/>
      <c r="U369" s="33"/>
      <c r="V369" s="33"/>
      <c r="AP369" s="35"/>
      <c r="AQ369" s="35"/>
    </row>
    <row r="370">
      <c r="C370" s="33"/>
      <c r="D370" s="33"/>
      <c r="I370" s="33"/>
      <c r="J370" s="33"/>
      <c r="O370" s="33"/>
      <c r="P370" s="33"/>
      <c r="U370" s="33"/>
      <c r="V370" s="33"/>
      <c r="AP370" s="35"/>
      <c r="AQ370" s="35"/>
    </row>
    <row r="371">
      <c r="C371" s="33"/>
      <c r="D371" s="33"/>
      <c r="I371" s="33"/>
      <c r="J371" s="33"/>
      <c r="O371" s="33"/>
      <c r="P371" s="33"/>
      <c r="U371" s="33"/>
      <c r="V371" s="33"/>
      <c r="AP371" s="35"/>
      <c r="AQ371" s="35"/>
    </row>
    <row r="372">
      <c r="C372" s="33"/>
      <c r="D372" s="33"/>
      <c r="I372" s="33"/>
      <c r="J372" s="33"/>
      <c r="O372" s="33"/>
      <c r="P372" s="33"/>
      <c r="U372" s="33"/>
      <c r="V372" s="33"/>
      <c r="AP372" s="35"/>
      <c r="AQ372" s="35"/>
    </row>
    <row r="373">
      <c r="C373" s="33"/>
      <c r="D373" s="33"/>
      <c r="I373" s="33"/>
      <c r="J373" s="33"/>
      <c r="O373" s="33"/>
      <c r="P373" s="33"/>
      <c r="U373" s="33"/>
      <c r="V373" s="33"/>
      <c r="AP373" s="35"/>
      <c r="AQ373" s="35"/>
    </row>
    <row r="374">
      <c r="C374" s="33"/>
      <c r="D374" s="33"/>
      <c r="I374" s="33"/>
      <c r="J374" s="33"/>
      <c r="O374" s="33"/>
      <c r="P374" s="33"/>
      <c r="U374" s="33"/>
      <c r="V374" s="33"/>
      <c r="AP374" s="35"/>
      <c r="AQ374" s="35"/>
    </row>
    <row r="375">
      <c r="C375" s="33"/>
      <c r="D375" s="33"/>
      <c r="I375" s="33"/>
      <c r="J375" s="33"/>
      <c r="O375" s="33"/>
      <c r="P375" s="33"/>
      <c r="U375" s="33"/>
      <c r="V375" s="33"/>
      <c r="AP375" s="35"/>
      <c r="AQ375" s="35"/>
    </row>
    <row r="376">
      <c r="C376" s="33"/>
      <c r="D376" s="33"/>
      <c r="I376" s="33"/>
      <c r="J376" s="33"/>
      <c r="O376" s="33"/>
      <c r="P376" s="33"/>
      <c r="U376" s="33"/>
      <c r="V376" s="33"/>
      <c r="AP376" s="35"/>
      <c r="AQ376" s="35"/>
    </row>
    <row r="377">
      <c r="C377" s="33"/>
      <c r="D377" s="33"/>
      <c r="I377" s="33"/>
      <c r="J377" s="33"/>
      <c r="O377" s="33"/>
      <c r="P377" s="33"/>
      <c r="U377" s="33"/>
      <c r="V377" s="33"/>
      <c r="AP377" s="35"/>
      <c r="AQ377" s="35"/>
    </row>
    <row r="378">
      <c r="C378" s="33"/>
      <c r="D378" s="33"/>
      <c r="I378" s="33"/>
      <c r="J378" s="33"/>
      <c r="O378" s="33"/>
      <c r="P378" s="33"/>
      <c r="U378" s="33"/>
      <c r="V378" s="33"/>
      <c r="AP378" s="35"/>
      <c r="AQ378" s="35"/>
    </row>
    <row r="379">
      <c r="C379" s="33"/>
      <c r="D379" s="33"/>
      <c r="I379" s="33"/>
      <c r="J379" s="33"/>
      <c r="O379" s="33"/>
      <c r="P379" s="33"/>
      <c r="U379" s="33"/>
      <c r="V379" s="33"/>
      <c r="AP379" s="35"/>
      <c r="AQ379" s="35"/>
    </row>
    <row r="380">
      <c r="C380" s="33"/>
      <c r="D380" s="33"/>
      <c r="I380" s="33"/>
      <c r="J380" s="33"/>
      <c r="O380" s="33"/>
      <c r="P380" s="33"/>
      <c r="U380" s="33"/>
      <c r="V380" s="33"/>
      <c r="AP380" s="35"/>
      <c r="AQ380" s="35"/>
    </row>
    <row r="381">
      <c r="C381" s="33"/>
      <c r="D381" s="33"/>
      <c r="I381" s="33"/>
      <c r="J381" s="33"/>
      <c r="O381" s="33"/>
      <c r="P381" s="33"/>
      <c r="U381" s="33"/>
      <c r="V381" s="33"/>
      <c r="AP381" s="35"/>
      <c r="AQ381" s="35"/>
    </row>
    <row r="382">
      <c r="C382" s="33"/>
      <c r="D382" s="33"/>
      <c r="I382" s="33"/>
      <c r="J382" s="33"/>
      <c r="O382" s="33"/>
      <c r="P382" s="33"/>
      <c r="U382" s="33"/>
      <c r="V382" s="33"/>
      <c r="AP382" s="35"/>
      <c r="AQ382" s="35"/>
    </row>
    <row r="383">
      <c r="C383" s="33"/>
      <c r="D383" s="33"/>
      <c r="I383" s="33"/>
      <c r="J383" s="33"/>
      <c r="O383" s="33"/>
      <c r="P383" s="33"/>
      <c r="U383" s="33"/>
      <c r="V383" s="33"/>
      <c r="AP383" s="35"/>
      <c r="AQ383" s="35"/>
    </row>
    <row r="384">
      <c r="C384" s="33"/>
      <c r="D384" s="33"/>
      <c r="I384" s="33"/>
      <c r="J384" s="33"/>
      <c r="O384" s="33"/>
      <c r="P384" s="33"/>
      <c r="U384" s="33"/>
      <c r="V384" s="33"/>
      <c r="AP384" s="35"/>
      <c r="AQ384" s="35"/>
    </row>
    <row r="385">
      <c r="C385" s="33"/>
      <c r="D385" s="33"/>
      <c r="I385" s="33"/>
      <c r="J385" s="33"/>
      <c r="O385" s="33"/>
      <c r="P385" s="33"/>
      <c r="U385" s="33"/>
      <c r="V385" s="33"/>
      <c r="AP385" s="35"/>
      <c r="AQ385" s="35"/>
    </row>
    <row r="386">
      <c r="C386" s="33"/>
      <c r="D386" s="33"/>
      <c r="I386" s="33"/>
      <c r="J386" s="33"/>
      <c r="O386" s="33"/>
      <c r="P386" s="33"/>
      <c r="U386" s="33"/>
      <c r="V386" s="33"/>
      <c r="AP386" s="35"/>
      <c r="AQ386" s="35"/>
    </row>
    <row r="387">
      <c r="C387" s="33"/>
      <c r="D387" s="33"/>
      <c r="I387" s="33"/>
      <c r="J387" s="33"/>
      <c r="O387" s="33"/>
      <c r="P387" s="33"/>
      <c r="U387" s="33"/>
      <c r="V387" s="33"/>
      <c r="AP387" s="35"/>
      <c r="AQ387" s="35"/>
    </row>
    <row r="388">
      <c r="C388" s="33"/>
      <c r="D388" s="33"/>
      <c r="I388" s="33"/>
      <c r="J388" s="33"/>
      <c r="O388" s="33"/>
      <c r="P388" s="33"/>
      <c r="U388" s="33"/>
      <c r="V388" s="33"/>
      <c r="AP388" s="35"/>
      <c r="AQ388" s="35"/>
    </row>
    <row r="389">
      <c r="C389" s="33"/>
      <c r="D389" s="33"/>
      <c r="I389" s="33"/>
      <c r="J389" s="33"/>
      <c r="O389" s="33"/>
      <c r="P389" s="33"/>
      <c r="U389" s="33"/>
      <c r="V389" s="33"/>
      <c r="AP389" s="35"/>
      <c r="AQ389" s="35"/>
    </row>
    <row r="390">
      <c r="C390" s="33"/>
      <c r="D390" s="33"/>
      <c r="I390" s="33"/>
      <c r="J390" s="33"/>
      <c r="O390" s="33"/>
      <c r="P390" s="33"/>
      <c r="U390" s="33"/>
      <c r="V390" s="33"/>
      <c r="AP390" s="35"/>
      <c r="AQ390" s="35"/>
    </row>
    <row r="391">
      <c r="C391" s="33"/>
      <c r="D391" s="33"/>
      <c r="I391" s="33"/>
      <c r="J391" s="33"/>
      <c r="O391" s="33"/>
      <c r="P391" s="33"/>
      <c r="U391" s="33"/>
      <c r="V391" s="33"/>
      <c r="AP391" s="35"/>
      <c r="AQ391" s="35"/>
    </row>
    <row r="392">
      <c r="C392" s="33"/>
      <c r="D392" s="33"/>
      <c r="I392" s="33"/>
      <c r="J392" s="33"/>
      <c r="O392" s="33"/>
      <c r="P392" s="33"/>
      <c r="U392" s="33"/>
      <c r="V392" s="33"/>
      <c r="AP392" s="35"/>
      <c r="AQ392" s="35"/>
    </row>
    <row r="393">
      <c r="C393" s="33"/>
      <c r="D393" s="33"/>
      <c r="I393" s="33"/>
      <c r="J393" s="33"/>
      <c r="O393" s="33"/>
      <c r="P393" s="33"/>
      <c r="U393" s="33"/>
      <c r="V393" s="33"/>
      <c r="AP393" s="35"/>
      <c r="AQ393" s="35"/>
    </row>
    <row r="394">
      <c r="C394" s="33"/>
      <c r="D394" s="33"/>
      <c r="I394" s="33"/>
      <c r="J394" s="33"/>
      <c r="O394" s="33"/>
      <c r="P394" s="33"/>
      <c r="U394" s="33"/>
      <c r="V394" s="33"/>
      <c r="AP394" s="35"/>
      <c r="AQ394" s="35"/>
    </row>
    <row r="395">
      <c r="C395" s="33"/>
      <c r="D395" s="33"/>
      <c r="I395" s="33"/>
      <c r="J395" s="33"/>
      <c r="O395" s="33"/>
      <c r="P395" s="33"/>
      <c r="U395" s="33"/>
      <c r="V395" s="33"/>
      <c r="AP395" s="35"/>
      <c r="AQ395" s="35"/>
    </row>
    <row r="396">
      <c r="C396" s="33"/>
      <c r="D396" s="33"/>
      <c r="I396" s="33"/>
      <c r="J396" s="33"/>
      <c r="O396" s="33"/>
      <c r="P396" s="33"/>
      <c r="U396" s="33"/>
      <c r="V396" s="33"/>
      <c r="AP396" s="35"/>
      <c r="AQ396" s="35"/>
    </row>
    <row r="397">
      <c r="C397" s="33"/>
      <c r="D397" s="33"/>
      <c r="I397" s="33"/>
      <c r="J397" s="33"/>
      <c r="O397" s="33"/>
      <c r="P397" s="33"/>
      <c r="U397" s="33"/>
      <c r="V397" s="33"/>
      <c r="AP397" s="35"/>
      <c r="AQ397" s="35"/>
    </row>
    <row r="398">
      <c r="C398" s="33"/>
      <c r="D398" s="33"/>
      <c r="I398" s="33"/>
      <c r="J398" s="33"/>
      <c r="O398" s="33"/>
      <c r="P398" s="33"/>
      <c r="U398" s="33"/>
      <c r="V398" s="33"/>
      <c r="AP398" s="35"/>
      <c r="AQ398" s="35"/>
    </row>
    <row r="399">
      <c r="C399" s="33"/>
      <c r="D399" s="33"/>
      <c r="I399" s="33"/>
      <c r="J399" s="33"/>
      <c r="O399" s="33"/>
      <c r="P399" s="33"/>
      <c r="U399" s="33"/>
      <c r="V399" s="33"/>
      <c r="AP399" s="35"/>
      <c r="AQ399" s="35"/>
    </row>
    <row r="400">
      <c r="C400" s="33"/>
      <c r="D400" s="33"/>
      <c r="I400" s="33"/>
      <c r="J400" s="33"/>
      <c r="O400" s="33"/>
      <c r="P400" s="33"/>
      <c r="U400" s="33"/>
      <c r="V400" s="33"/>
      <c r="AP400" s="35"/>
      <c r="AQ400" s="35"/>
    </row>
    <row r="401">
      <c r="C401" s="33"/>
      <c r="D401" s="33"/>
      <c r="I401" s="33"/>
      <c r="J401" s="33"/>
      <c r="O401" s="33"/>
      <c r="P401" s="33"/>
      <c r="U401" s="33"/>
      <c r="V401" s="33"/>
      <c r="AP401" s="35"/>
      <c r="AQ401" s="35"/>
    </row>
    <row r="402">
      <c r="C402" s="33"/>
      <c r="D402" s="33"/>
      <c r="I402" s="33"/>
      <c r="J402" s="33"/>
      <c r="O402" s="33"/>
      <c r="P402" s="33"/>
      <c r="U402" s="33"/>
      <c r="V402" s="33"/>
      <c r="AP402" s="35"/>
      <c r="AQ402" s="35"/>
    </row>
    <row r="403">
      <c r="C403" s="33"/>
      <c r="D403" s="33"/>
      <c r="I403" s="33"/>
      <c r="J403" s="33"/>
      <c r="O403" s="33"/>
      <c r="P403" s="33"/>
      <c r="U403" s="33"/>
      <c r="V403" s="33"/>
      <c r="AP403" s="35"/>
      <c r="AQ403" s="35"/>
    </row>
    <row r="404">
      <c r="C404" s="33"/>
      <c r="D404" s="33"/>
      <c r="I404" s="33"/>
      <c r="J404" s="33"/>
      <c r="O404" s="33"/>
      <c r="P404" s="33"/>
      <c r="U404" s="33"/>
      <c r="V404" s="33"/>
      <c r="AP404" s="35"/>
      <c r="AQ404" s="35"/>
    </row>
    <row r="405">
      <c r="C405" s="33"/>
      <c r="D405" s="33"/>
      <c r="I405" s="33"/>
      <c r="J405" s="33"/>
      <c r="O405" s="33"/>
      <c r="P405" s="33"/>
      <c r="U405" s="33"/>
      <c r="V405" s="33"/>
      <c r="AP405" s="35"/>
      <c r="AQ405" s="35"/>
    </row>
    <row r="406">
      <c r="C406" s="33"/>
      <c r="D406" s="33"/>
      <c r="I406" s="33"/>
      <c r="J406" s="33"/>
      <c r="O406" s="33"/>
      <c r="P406" s="33"/>
      <c r="U406" s="33"/>
      <c r="V406" s="33"/>
      <c r="AP406" s="35"/>
      <c r="AQ406" s="35"/>
    </row>
    <row r="407">
      <c r="C407" s="33"/>
      <c r="D407" s="33"/>
      <c r="I407" s="33"/>
      <c r="J407" s="33"/>
      <c r="O407" s="33"/>
      <c r="P407" s="33"/>
      <c r="U407" s="33"/>
      <c r="V407" s="33"/>
      <c r="AP407" s="35"/>
      <c r="AQ407" s="35"/>
    </row>
    <row r="408">
      <c r="C408" s="33"/>
      <c r="D408" s="33"/>
      <c r="I408" s="33"/>
      <c r="J408" s="33"/>
      <c r="O408" s="33"/>
      <c r="P408" s="33"/>
      <c r="U408" s="33"/>
      <c r="V408" s="33"/>
      <c r="AP408" s="35"/>
      <c r="AQ408" s="35"/>
    </row>
    <row r="409">
      <c r="C409" s="33"/>
      <c r="D409" s="33"/>
      <c r="I409" s="33"/>
      <c r="J409" s="33"/>
      <c r="O409" s="33"/>
      <c r="P409" s="33"/>
      <c r="U409" s="33"/>
      <c r="V409" s="33"/>
      <c r="AP409" s="35"/>
      <c r="AQ409" s="35"/>
    </row>
    <row r="410">
      <c r="C410" s="33"/>
      <c r="D410" s="33"/>
      <c r="I410" s="33"/>
      <c r="J410" s="33"/>
      <c r="O410" s="33"/>
      <c r="P410" s="33"/>
      <c r="U410" s="33"/>
      <c r="V410" s="33"/>
      <c r="AP410" s="35"/>
      <c r="AQ410" s="35"/>
    </row>
    <row r="411">
      <c r="C411" s="33"/>
      <c r="D411" s="33"/>
      <c r="I411" s="33"/>
      <c r="J411" s="33"/>
      <c r="O411" s="33"/>
      <c r="P411" s="33"/>
      <c r="U411" s="33"/>
      <c r="V411" s="33"/>
      <c r="AP411" s="35"/>
      <c r="AQ411" s="35"/>
    </row>
    <row r="412">
      <c r="C412" s="33"/>
      <c r="D412" s="33"/>
      <c r="I412" s="33"/>
      <c r="J412" s="33"/>
      <c r="O412" s="33"/>
      <c r="P412" s="33"/>
      <c r="U412" s="33"/>
      <c r="V412" s="33"/>
      <c r="AP412" s="35"/>
      <c r="AQ412" s="35"/>
    </row>
    <row r="413">
      <c r="C413" s="33"/>
      <c r="D413" s="33"/>
      <c r="I413" s="33"/>
      <c r="J413" s="33"/>
      <c r="O413" s="33"/>
      <c r="P413" s="33"/>
      <c r="U413" s="33"/>
      <c r="V413" s="33"/>
      <c r="AP413" s="35"/>
      <c r="AQ413" s="35"/>
    </row>
    <row r="414">
      <c r="C414" s="33"/>
      <c r="D414" s="33"/>
      <c r="I414" s="33"/>
      <c r="J414" s="33"/>
      <c r="O414" s="33"/>
      <c r="P414" s="33"/>
      <c r="U414" s="33"/>
      <c r="V414" s="33"/>
      <c r="AP414" s="35"/>
      <c r="AQ414" s="35"/>
    </row>
    <row r="415">
      <c r="C415" s="33"/>
      <c r="D415" s="33"/>
      <c r="I415" s="33"/>
      <c r="J415" s="33"/>
      <c r="O415" s="33"/>
      <c r="P415" s="33"/>
      <c r="U415" s="33"/>
      <c r="V415" s="33"/>
      <c r="AP415" s="35"/>
      <c r="AQ415" s="35"/>
    </row>
    <row r="416">
      <c r="C416" s="33"/>
      <c r="D416" s="33"/>
      <c r="I416" s="33"/>
      <c r="J416" s="33"/>
      <c r="O416" s="33"/>
      <c r="P416" s="33"/>
      <c r="U416" s="33"/>
      <c r="V416" s="33"/>
      <c r="AP416" s="35"/>
      <c r="AQ416" s="35"/>
    </row>
    <row r="417">
      <c r="C417" s="33"/>
      <c r="D417" s="33"/>
      <c r="I417" s="33"/>
      <c r="J417" s="33"/>
      <c r="O417" s="33"/>
      <c r="P417" s="33"/>
      <c r="U417" s="33"/>
      <c r="V417" s="33"/>
      <c r="AP417" s="35"/>
      <c r="AQ417" s="35"/>
    </row>
    <row r="418">
      <c r="C418" s="33"/>
      <c r="D418" s="33"/>
      <c r="I418" s="33"/>
      <c r="J418" s="33"/>
      <c r="O418" s="33"/>
      <c r="P418" s="33"/>
      <c r="U418" s="33"/>
      <c r="V418" s="33"/>
      <c r="AP418" s="35"/>
      <c r="AQ418" s="35"/>
    </row>
    <row r="419">
      <c r="C419" s="33"/>
      <c r="D419" s="33"/>
      <c r="I419" s="33"/>
      <c r="J419" s="33"/>
      <c r="O419" s="33"/>
      <c r="P419" s="33"/>
      <c r="U419" s="33"/>
      <c r="V419" s="33"/>
      <c r="AP419" s="35"/>
      <c r="AQ419" s="35"/>
    </row>
    <row r="420">
      <c r="C420" s="33"/>
      <c r="D420" s="33"/>
      <c r="I420" s="33"/>
      <c r="J420" s="33"/>
      <c r="O420" s="33"/>
      <c r="P420" s="33"/>
      <c r="U420" s="33"/>
      <c r="V420" s="33"/>
      <c r="AP420" s="35"/>
      <c r="AQ420" s="35"/>
    </row>
    <row r="421">
      <c r="C421" s="33"/>
      <c r="D421" s="33"/>
      <c r="I421" s="33"/>
      <c r="J421" s="33"/>
      <c r="O421" s="33"/>
      <c r="P421" s="33"/>
      <c r="U421" s="33"/>
      <c r="V421" s="33"/>
      <c r="AP421" s="35"/>
      <c r="AQ421" s="35"/>
    </row>
    <row r="422">
      <c r="C422" s="33"/>
      <c r="D422" s="33"/>
      <c r="I422" s="33"/>
      <c r="J422" s="33"/>
      <c r="O422" s="33"/>
      <c r="P422" s="33"/>
      <c r="U422" s="33"/>
      <c r="V422" s="33"/>
      <c r="AP422" s="35"/>
      <c r="AQ422" s="35"/>
    </row>
    <row r="423">
      <c r="C423" s="33"/>
      <c r="D423" s="33"/>
      <c r="I423" s="33"/>
      <c r="J423" s="33"/>
      <c r="O423" s="33"/>
      <c r="P423" s="33"/>
      <c r="U423" s="33"/>
      <c r="V423" s="33"/>
      <c r="AP423" s="35"/>
      <c r="AQ423" s="35"/>
    </row>
    <row r="424">
      <c r="C424" s="33"/>
      <c r="D424" s="33"/>
      <c r="I424" s="33"/>
      <c r="J424" s="33"/>
      <c r="O424" s="33"/>
      <c r="P424" s="33"/>
      <c r="U424" s="33"/>
      <c r="V424" s="33"/>
      <c r="AP424" s="35"/>
      <c r="AQ424" s="35"/>
    </row>
    <row r="425">
      <c r="C425" s="33"/>
      <c r="D425" s="33"/>
      <c r="I425" s="33"/>
      <c r="J425" s="33"/>
      <c r="O425" s="33"/>
      <c r="P425" s="33"/>
      <c r="U425" s="33"/>
      <c r="V425" s="33"/>
      <c r="AP425" s="35"/>
      <c r="AQ425" s="35"/>
    </row>
    <row r="426">
      <c r="C426" s="33"/>
      <c r="D426" s="33"/>
      <c r="I426" s="33"/>
      <c r="J426" s="33"/>
      <c r="O426" s="33"/>
      <c r="P426" s="33"/>
      <c r="U426" s="33"/>
      <c r="V426" s="33"/>
      <c r="AP426" s="35"/>
      <c r="AQ426" s="35"/>
    </row>
    <row r="427">
      <c r="C427" s="33"/>
      <c r="D427" s="33"/>
      <c r="I427" s="33"/>
      <c r="J427" s="33"/>
      <c r="O427" s="33"/>
      <c r="P427" s="33"/>
      <c r="U427" s="33"/>
      <c r="V427" s="33"/>
      <c r="AP427" s="35"/>
      <c r="AQ427" s="35"/>
    </row>
    <row r="428">
      <c r="C428" s="33"/>
      <c r="D428" s="33"/>
      <c r="I428" s="33"/>
      <c r="J428" s="33"/>
      <c r="O428" s="33"/>
      <c r="P428" s="33"/>
      <c r="U428" s="33"/>
      <c r="V428" s="33"/>
      <c r="AP428" s="35"/>
      <c r="AQ428" s="35"/>
    </row>
    <row r="429">
      <c r="C429" s="33"/>
      <c r="D429" s="33"/>
      <c r="I429" s="33"/>
      <c r="J429" s="33"/>
      <c r="O429" s="33"/>
      <c r="P429" s="33"/>
      <c r="U429" s="33"/>
      <c r="V429" s="33"/>
      <c r="AP429" s="35"/>
      <c r="AQ429" s="35"/>
    </row>
    <row r="430">
      <c r="C430" s="33"/>
      <c r="D430" s="33"/>
      <c r="I430" s="33"/>
      <c r="J430" s="33"/>
      <c r="O430" s="33"/>
      <c r="P430" s="33"/>
      <c r="U430" s="33"/>
      <c r="V430" s="33"/>
      <c r="AP430" s="35"/>
      <c r="AQ430" s="35"/>
    </row>
    <row r="431">
      <c r="C431" s="33"/>
      <c r="D431" s="33"/>
      <c r="I431" s="33"/>
      <c r="J431" s="33"/>
      <c r="O431" s="33"/>
      <c r="P431" s="33"/>
      <c r="U431" s="33"/>
      <c r="V431" s="33"/>
      <c r="AP431" s="35"/>
      <c r="AQ431" s="35"/>
    </row>
    <row r="432">
      <c r="C432" s="33"/>
      <c r="D432" s="33"/>
      <c r="I432" s="33"/>
      <c r="J432" s="33"/>
      <c r="O432" s="33"/>
      <c r="P432" s="33"/>
      <c r="U432" s="33"/>
      <c r="V432" s="33"/>
      <c r="AP432" s="35"/>
      <c r="AQ432" s="35"/>
    </row>
    <row r="433">
      <c r="C433" s="33"/>
      <c r="D433" s="33"/>
      <c r="I433" s="33"/>
      <c r="J433" s="33"/>
      <c r="O433" s="33"/>
      <c r="P433" s="33"/>
      <c r="U433" s="33"/>
      <c r="V433" s="33"/>
      <c r="AP433" s="35"/>
      <c r="AQ433" s="35"/>
    </row>
    <row r="434">
      <c r="C434" s="33"/>
      <c r="D434" s="33"/>
      <c r="I434" s="33"/>
      <c r="J434" s="33"/>
      <c r="O434" s="33"/>
      <c r="P434" s="33"/>
      <c r="U434" s="33"/>
      <c r="V434" s="33"/>
      <c r="AP434" s="35"/>
      <c r="AQ434" s="35"/>
    </row>
    <row r="435">
      <c r="C435" s="33"/>
      <c r="D435" s="33"/>
      <c r="I435" s="33"/>
      <c r="J435" s="33"/>
      <c r="O435" s="33"/>
      <c r="P435" s="33"/>
      <c r="U435" s="33"/>
      <c r="V435" s="33"/>
      <c r="AP435" s="35"/>
      <c r="AQ435" s="35"/>
    </row>
    <row r="436">
      <c r="C436" s="33"/>
      <c r="D436" s="33"/>
      <c r="I436" s="33"/>
      <c r="J436" s="33"/>
      <c r="O436" s="33"/>
      <c r="P436" s="33"/>
      <c r="U436" s="33"/>
      <c r="V436" s="33"/>
      <c r="AP436" s="35"/>
      <c r="AQ436" s="35"/>
    </row>
    <row r="437">
      <c r="C437" s="33"/>
      <c r="D437" s="33"/>
      <c r="I437" s="33"/>
      <c r="J437" s="33"/>
      <c r="O437" s="33"/>
      <c r="P437" s="33"/>
      <c r="U437" s="33"/>
      <c r="V437" s="33"/>
      <c r="AP437" s="35"/>
      <c r="AQ437" s="35"/>
    </row>
    <row r="438">
      <c r="C438" s="33"/>
      <c r="D438" s="33"/>
      <c r="I438" s="33"/>
      <c r="J438" s="33"/>
      <c r="O438" s="33"/>
      <c r="P438" s="33"/>
      <c r="U438" s="33"/>
      <c r="V438" s="33"/>
      <c r="AP438" s="35"/>
      <c r="AQ438" s="35"/>
    </row>
    <row r="439">
      <c r="C439" s="33"/>
      <c r="D439" s="33"/>
      <c r="I439" s="33"/>
      <c r="J439" s="33"/>
      <c r="O439" s="33"/>
      <c r="P439" s="33"/>
      <c r="U439" s="33"/>
      <c r="V439" s="33"/>
      <c r="AP439" s="35"/>
      <c r="AQ439" s="35"/>
    </row>
    <row r="440">
      <c r="C440" s="33"/>
      <c r="D440" s="33"/>
      <c r="I440" s="33"/>
      <c r="J440" s="33"/>
      <c r="O440" s="33"/>
      <c r="P440" s="33"/>
      <c r="U440" s="33"/>
      <c r="V440" s="33"/>
      <c r="AP440" s="35"/>
      <c r="AQ440" s="35"/>
    </row>
    <row r="441">
      <c r="C441" s="33"/>
      <c r="D441" s="33"/>
      <c r="I441" s="33"/>
      <c r="J441" s="33"/>
      <c r="O441" s="33"/>
      <c r="P441" s="33"/>
      <c r="U441" s="33"/>
      <c r="V441" s="33"/>
      <c r="AP441" s="35"/>
      <c r="AQ441" s="35"/>
    </row>
    <row r="442">
      <c r="C442" s="33"/>
      <c r="D442" s="33"/>
      <c r="I442" s="33"/>
      <c r="J442" s="33"/>
      <c r="O442" s="33"/>
      <c r="P442" s="33"/>
      <c r="U442" s="33"/>
      <c r="V442" s="33"/>
      <c r="AP442" s="35"/>
      <c r="AQ442" s="35"/>
    </row>
    <row r="443">
      <c r="C443" s="33"/>
      <c r="D443" s="33"/>
      <c r="I443" s="33"/>
      <c r="J443" s="33"/>
      <c r="O443" s="33"/>
      <c r="P443" s="33"/>
      <c r="U443" s="33"/>
      <c r="V443" s="33"/>
      <c r="AP443" s="35"/>
      <c r="AQ443" s="35"/>
    </row>
    <row r="444">
      <c r="C444" s="33"/>
      <c r="D444" s="33"/>
      <c r="I444" s="33"/>
      <c r="J444" s="33"/>
      <c r="O444" s="33"/>
      <c r="P444" s="33"/>
      <c r="U444" s="33"/>
      <c r="V444" s="33"/>
      <c r="AP444" s="35"/>
      <c r="AQ444" s="35"/>
    </row>
    <row r="445">
      <c r="C445" s="33"/>
      <c r="D445" s="33"/>
      <c r="I445" s="33"/>
      <c r="J445" s="33"/>
      <c r="O445" s="33"/>
      <c r="P445" s="33"/>
      <c r="U445" s="33"/>
      <c r="V445" s="33"/>
      <c r="AP445" s="35"/>
      <c r="AQ445" s="35"/>
    </row>
    <row r="446">
      <c r="C446" s="33"/>
      <c r="D446" s="33"/>
      <c r="I446" s="33"/>
      <c r="J446" s="33"/>
      <c r="O446" s="33"/>
      <c r="P446" s="33"/>
      <c r="U446" s="33"/>
      <c r="V446" s="33"/>
      <c r="AP446" s="35"/>
      <c r="AQ446" s="35"/>
    </row>
    <row r="447">
      <c r="C447" s="33"/>
      <c r="D447" s="33"/>
      <c r="I447" s="33"/>
      <c r="J447" s="33"/>
      <c r="O447" s="33"/>
      <c r="P447" s="33"/>
      <c r="U447" s="33"/>
      <c r="V447" s="33"/>
      <c r="AP447" s="35"/>
      <c r="AQ447" s="35"/>
    </row>
    <row r="448">
      <c r="C448" s="33"/>
      <c r="D448" s="33"/>
      <c r="I448" s="33"/>
      <c r="J448" s="33"/>
      <c r="O448" s="33"/>
      <c r="P448" s="33"/>
      <c r="U448" s="33"/>
      <c r="V448" s="33"/>
      <c r="AP448" s="35"/>
      <c r="AQ448" s="35"/>
    </row>
    <row r="449">
      <c r="C449" s="33"/>
      <c r="D449" s="33"/>
      <c r="I449" s="33"/>
      <c r="J449" s="33"/>
      <c r="O449" s="33"/>
      <c r="P449" s="33"/>
      <c r="U449" s="33"/>
      <c r="V449" s="33"/>
      <c r="AP449" s="35"/>
      <c r="AQ449" s="35"/>
    </row>
    <row r="450">
      <c r="C450" s="33"/>
      <c r="D450" s="33"/>
      <c r="I450" s="33"/>
      <c r="J450" s="33"/>
      <c r="O450" s="33"/>
      <c r="P450" s="33"/>
      <c r="U450" s="33"/>
      <c r="V450" s="33"/>
      <c r="AP450" s="35"/>
      <c r="AQ450" s="35"/>
    </row>
    <row r="451">
      <c r="C451" s="33"/>
      <c r="D451" s="33"/>
      <c r="I451" s="33"/>
      <c r="J451" s="33"/>
      <c r="O451" s="33"/>
      <c r="P451" s="33"/>
      <c r="U451" s="33"/>
      <c r="V451" s="33"/>
      <c r="AP451" s="35"/>
      <c r="AQ451" s="35"/>
    </row>
    <row r="452">
      <c r="C452" s="33"/>
      <c r="D452" s="33"/>
      <c r="I452" s="33"/>
      <c r="J452" s="33"/>
      <c r="O452" s="33"/>
      <c r="P452" s="33"/>
      <c r="U452" s="33"/>
      <c r="V452" s="33"/>
      <c r="AP452" s="35"/>
      <c r="AQ452" s="35"/>
    </row>
    <row r="453">
      <c r="C453" s="33"/>
      <c r="D453" s="33"/>
      <c r="I453" s="33"/>
      <c r="J453" s="33"/>
      <c r="O453" s="33"/>
      <c r="P453" s="33"/>
      <c r="U453" s="33"/>
      <c r="V453" s="33"/>
      <c r="AP453" s="35"/>
      <c r="AQ453" s="35"/>
    </row>
    <row r="454">
      <c r="C454" s="33"/>
      <c r="D454" s="33"/>
      <c r="I454" s="33"/>
      <c r="J454" s="33"/>
      <c r="O454" s="33"/>
      <c r="P454" s="33"/>
      <c r="U454" s="33"/>
      <c r="V454" s="33"/>
      <c r="AP454" s="35"/>
      <c r="AQ454" s="35"/>
    </row>
    <row r="455">
      <c r="C455" s="33"/>
      <c r="D455" s="33"/>
      <c r="I455" s="33"/>
      <c r="J455" s="33"/>
      <c r="O455" s="33"/>
      <c r="P455" s="33"/>
      <c r="U455" s="33"/>
      <c r="V455" s="33"/>
      <c r="AP455" s="35"/>
      <c r="AQ455" s="35"/>
    </row>
    <row r="456">
      <c r="C456" s="33"/>
      <c r="D456" s="33"/>
      <c r="I456" s="33"/>
      <c r="J456" s="33"/>
      <c r="O456" s="33"/>
      <c r="P456" s="33"/>
      <c r="U456" s="33"/>
      <c r="V456" s="33"/>
      <c r="AP456" s="35"/>
      <c r="AQ456" s="35"/>
    </row>
    <row r="457">
      <c r="C457" s="33"/>
      <c r="D457" s="33"/>
      <c r="I457" s="33"/>
      <c r="J457" s="33"/>
      <c r="O457" s="33"/>
      <c r="P457" s="33"/>
      <c r="U457" s="33"/>
      <c r="V457" s="33"/>
      <c r="AP457" s="35"/>
      <c r="AQ457" s="35"/>
    </row>
    <row r="458">
      <c r="C458" s="33"/>
      <c r="D458" s="33"/>
      <c r="I458" s="33"/>
      <c r="J458" s="33"/>
      <c r="O458" s="33"/>
      <c r="P458" s="33"/>
      <c r="U458" s="33"/>
      <c r="V458" s="33"/>
      <c r="AP458" s="35"/>
      <c r="AQ458" s="35"/>
    </row>
    <row r="459">
      <c r="C459" s="33"/>
      <c r="D459" s="33"/>
      <c r="I459" s="33"/>
      <c r="J459" s="33"/>
      <c r="O459" s="33"/>
      <c r="P459" s="33"/>
      <c r="U459" s="33"/>
      <c r="V459" s="33"/>
      <c r="AP459" s="35"/>
      <c r="AQ459" s="35"/>
    </row>
    <row r="460">
      <c r="C460" s="33"/>
      <c r="D460" s="33"/>
      <c r="I460" s="33"/>
      <c r="J460" s="33"/>
      <c r="O460" s="33"/>
      <c r="P460" s="33"/>
      <c r="U460" s="33"/>
      <c r="V460" s="33"/>
      <c r="AP460" s="35"/>
      <c r="AQ460" s="35"/>
    </row>
    <row r="461">
      <c r="C461" s="33"/>
      <c r="D461" s="33"/>
      <c r="I461" s="33"/>
      <c r="J461" s="33"/>
      <c r="O461" s="33"/>
      <c r="P461" s="33"/>
      <c r="U461" s="33"/>
      <c r="V461" s="33"/>
      <c r="AP461" s="35"/>
      <c r="AQ461" s="35"/>
    </row>
    <row r="462">
      <c r="C462" s="33"/>
      <c r="D462" s="33"/>
      <c r="I462" s="33"/>
      <c r="J462" s="33"/>
      <c r="O462" s="33"/>
      <c r="P462" s="33"/>
      <c r="U462" s="33"/>
      <c r="V462" s="33"/>
      <c r="AP462" s="35"/>
      <c r="AQ462" s="35"/>
    </row>
    <row r="463">
      <c r="C463" s="33"/>
      <c r="D463" s="33"/>
      <c r="I463" s="33"/>
      <c r="J463" s="33"/>
      <c r="O463" s="33"/>
      <c r="P463" s="33"/>
      <c r="U463" s="33"/>
      <c r="V463" s="33"/>
      <c r="AP463" s="35"/>
      <c r="AQ463" s="35"/>
    </row>
    <row r="464">
      <c r="C464" s="33"/>
      <c r="D464" s="33"/>
      <c r="I464" s="33"/>
      <c r="J464" s="33"/>
      <c r="O464" s="33"/>
      <c r="P464" s="33"/>
      <c r="U464" s="33"/>
      <c r="V464" s="33"/>
      <c r="AP464" s="35"/>
      <c r="AQ464" s="35"/>
    </row>
    <row r="465">
      <c r="C465" s="33"/>
      <c r="D465" s="33"/>
      <c r="I465" s="33"/>
      <c r="J465" s="33"/>
      <c r="O465" s="33"/>
      <c r="P465" s="33"/>
      <c r="U465" s="33"/>
      <c r="V465" s="33"/>
      <c r="AP465" s="35"/>
      <c r="AQ465" s="35"/>
    </row>
    <row r="466">
      <c r="C466" s="33"/>
      <c r="D466" s="33"/>
      <c r="I466" s="33"/>
      <c r="J466" s="33"/>
      <c r="O466" s="33"/>
      <c r="P466" s="33"/>
      <c r="U466" s="33"/>
      <c r="V466" s="33"/>
      <c r="AP466" s="35"/>
      <c r="AQ466" s="35"/>
    </row>
    <row r="467">
      <c r="C467" s="33"/>
      <c r="D467" s="33"/>
      <c r="I467" s="33"/>
      <c r="J467" s="33"/>
      <c r="O467" s="33"/>
      <c r="P467" s="33"/>
      <c r="U467" s="33"/>
      <c r="V467" s="33"/>
      <c r="AP467" s="35"/>
      <c r="AQ467" s="35"/>
    </row>
    <row r="468">
      <c r="C468" s="33"/>
      <c r="D468" s="33"/>
      <c r="I468" s="33"/>
      <c r="J468" s="33"/>
      <c r="O468" s="33"/>
      <c r="P468" s="33"/>
      <c r="U468" s="33"/>
      <c r="V468" s="33"/>
      <c r="AP468" s="35"/>
      <c r="AQ468" s="35"/>
    </row>
    <row r="469">
      <c r="C469" s="33"/>
      <c r="D469" s="33"/>
      <c r="I469" s="33"/>
      <c r="J469" s="33"/>
      <c r="O469" s="33"/>
      <c r="P469" s="33"/>
      <c r="U469" s="33"/>
      <c r="V469" s="33"/>
      <c r="AP469" s="35"/>
      <c r="AQ469" s="35"/>
    </row>
    <row r="470">
      <c r="C470" s="33"/>
      <c r="D470" s="33"/>
      <c r="I470" s="33"/>
      <c r="J470" s="33"/>
      <c r="O470" s="33"/>
      <c r="P470" s="33"/>
      <c r="U470" s="33"/>
      <c r="V470" s="33"/>
      <c r="AP470" s="35"/>
      <c r="AQ470" s="35"/>
    </row>
    <row r="471">
      <c r="C471" s="33"/>
      <c r="D471" s="33"/>
      <c r="I471" s="33"/>
      <c r="J471" s="33"/>
      <c r="O471" s="33"/>
      <c r="P471" s="33"/>
      <c r="U471" s="33"/>
      <c r="V471" s="33"/>
      <c r="AP471" s="35"/>
      <c r="AQ471" s="35"/>
    </row>
    <row r="472">
      <c r="C472" s="33"/>
      <c r="D472" s="33"/>
      <c r="I472" s="33"/>
      <c r="J472" s="33"/>
      <c r="O472" s="33"/>
      <c r="P472" s="33"/>
      <c r="U472" s="33"/>
      <c r="V472" s="33"/>
      <c r="AP472" s="35"/>
      <c r="AQ472" s="35"/>
    </row>
    <row r="473">
      <c r="C473" s="33"/>
      <c r="D473" s="33"/>
      <c r="I473" s="33"/>
      <c r="J473" s="33"/>
      <c r="O473" s="33"/>
      <c r="P473" s="33"/>
      <c r="U473" s="33"/>
      <c r="V473" s="33"/>
      <c r="AP473" s="35"/>
      <c r="AQ473" s="35"/>
    </row>
    <row r="474">
      <c r="C474" s="33"/>
      <c r="D474" s="33"/>
      <c r="I474" s="33"/>
      <c r="J474" s="33"/>
      <c r="O474" s="33"/>
      <c r="P474" s="33"/>
      <c r="U474" s="33"/>
      <c r="V474" s="33"/>
      <c r="AP474" s="35"/>
      <c r="AQ474" s="35"/>
    </row>
    <row r="475">
      <c r="C475" s="33"/>
      <c r="D475" s="33"/>
      <c r="I475" s="33"/>
      <c r="J475" s="33"/>
      <c r="O475" s="33"/>
      <c r="P475" s="33"/>
      <c r="U475" s="33"/>
      <c r="V475" s="33"/>
      <c r="AP475" s="35"/>
      <c r="AQ475" s="35"/>
    </row>
    <row r="476">
      <c r="C476" s="33"/>
      <c r="D476" s="33"/>
      <c r="I476" s="33"/>
      <c r="J476" s="33"/>
      <c r="O476" s="33"/>
      <c r="P476" s="33"/>
      <c r="U476" s="33"/>
      <c r="V476" s="33"/>
      <c r="AP476" s="35"/>
      <c r="AQ476" s="35"/>
    </row>
    <row r="477">
      <c r="C477" s="33"/>
      <c r="D477" s="33"/>
      <c r="I477" s="33"/>
      <c r="J477" s="33"/>
      <c r="O477" s="33"/>
      <c r="P477" s="33"/>
      <c r="U477" s="33"/>
      <c r="V477" s="33"/>
      <c r="AP477" s="35"/>
      <c r="AQ477" s="35"/>
    </row>
    <row r="478">
      <c r="C478" s="33"/>
      <c r="D478" s="33"/>
      <c r="I478" s="33"/>
      <c r="J478" s="33"/>
      <c r="O478" s="33"/>
      <c r="P478" s="33"/>
      <c r="U478" s="33"/>
      <c r="V478" s="33"/>
      <c r="AP478" s="35"/>
      <c r="AQ478" s="35"/>
    </row>
    <row r="479">
      <c r="C479" s="33"/>
      <c r="D479" s="33"/>
      <c r="I479" s="33"/>
      <c r="J479" s="33"/>
      <c r="O479" s="33"/>
      <c r="P479" s="33"/>
      <c r="U479" s="33"/>
      <c r="V479" s="33"/>
      <c r="AP479" s="35"/>
      <c r="AQ479" s="35"/>
    </row>
    <row r="480">
      <c r="C480" s="33"/>
      <c r="D480" s="33"/>
      <c r="I480" s="33"/>
      <c r="J480" s="33"/>
      <c r="O480" s="33"/>
      <c r="P480" s="33"/>
      <c r="U480" s="33"/>
      <c r="V480" s="33"/>
      <c r="AP480" s="35"/>
      <c r="AQ480" s="35"/>
    </row>
    <row r="481">
      <c r="C481" s="33"/>
      <c r="D481" s="33"/>
      <c r="I481" s="33"/>
      <c r="J481" s="33"/>
      <c r="O481" s="33"/>
      <c r="P481" s="33"/>
      <c r="U481" s="33"/>
      <c r="V481" s="33"/>
      <c r="AP481" s="35"/>
      <c r="AQ481" s="35"/>
    </row>
    <row r="482">
      <c r="C482" s="33"/>
      <c r="D482" s="33"/>
      <c r="I482" s="33"/>
      <c r="J482" s="33"/>
      <c r="O482" s="33"/>
      <c r="P482" s="33"/>
      <c r="U482" s="33"/>
      <c r="V482" s="33"/>
      <c r="AP482" s="35"/>
      <c r="AQ482" s="35"/>
    </row>
    <row r="483">
      <c r="C483" s="33"/>
      <c r="D483" s="33"/>
      <c r="I483" s="33"/>
      <c r="J483" s="33"/>
      <c r="O483" s="33"/>
      <c r="P483" s="33"/>
      <c r="U483" s="33"/>
      <c r="V483" s="33"/>
      <c r="AP483" s="35"/>
      <c r="AQ483" s="35"/>
    </row>
    <row r="484">
      <c r="C484" s="33"/>
      <c r="D484" s="33"/>
      <c r="I484" s="33"/>
      <c r="J484" s="33"/>
      <c r="O484" s="33"/>
      <c r="P484" s="33"/>
      <c r="U484" s="33"/>
      <c r="V484" s="33"/>
      <c r="AP484" s="35"/>
      <c r="AQ484" s="35"/>
    </row>
    <row r="485">
      <c r="C485" s="33"/>
      <c r="D485" s="33"/>
      <c r="I485" s="33"/>
      <c r="J485" s="33"/>
      <c r="O485" s="33"/>
      <c r="P485" s="33"/>
      <c r="U485" s="33"/>
      <c r="V485" s="33"/>
      <c r="AP485" s="35"/>
      <c r="AQ485" s="35"/>
    </row>
    <row r="486">
      <c r="C486" s="33"/>
      <c r="D486" s="33"/>
      <c r="I486" s="33"/>
      <c r="J486" s="33"/>
      <c r="O486" s="33"/>
      <c r="P486" s="33"/>
      <c r="U486" s="33"/>
      <c r="V486" s="33"/>
      <c r="AP486" s="35"/>
      <c r="AQ486" s="35"/>
    </row>
    <row r="487">
      <c r="C487" s="33"/>
      <c r="D487" s="33"/>
      <c r="I487" s="33"/>
      <c r="J487" s="33"/>
      <c r="O487" s="33"/>
      <c r="P487" s="33"/>
      <c r="U487" s="33"/>
      <c r="V487" s="33"/>
      <c r="AP487" s="35"/>
      <c r="AQ487" s="35"/>
    </row>
    <row r="488">
      <c r="C488" s="33"/>
      <c r="D488" s="33"/>
      <c r="I488" s="33"/>
      <c r="J488" s="33"/>
      <c r="O488" s="33"/>
      <c r="P488" s="33"/>
      <c r="U488" s="33"/>
      <c r="V488" s="33"/>
      <c r="AP488" s="35"/>
      <c r="AQ488" s="35"/>
    </row>
    <row r="489">
      <c r="C489" s="33"/>
      <c r="D489" s="33"/>
      <c r="I489" s="33"/>
      <c r="J489" s="33"/>
      <c r="O489" s="33"/>
      <c r="P489" s="33"/>
      <c r="U489" s="33"/>
      <c r="V489" s="33"/>
      <c r="AP489" s="35"/>
      <c r="AQ489" s="35"/>
    </row>
    <row r="490">
      <c r="C490" s="33"/>
      <c r="D490" s="33"/>
      <c r="I490" s="33"/>
      <c r="J490" s="33"/>
      <c r="O490" s="33"/>
      <c r="P490" s="33"/>
      <c r="U490" s="33"/>
      <c r="V490" s="33"/>
      <c r="AP490" s="35"/>
      <c r="AQ490" s="35"/>
    </row>
    <row r="491">
      <c r="C491" s="33"/>
      <c r="D491" s="33"/>
      <c r="I491" s="33"/>
      <c r="J491" s="33"/>
      <c r="O491" s="33"/>
      <c r="P491" s="33"/>
      <c r="U491" s="33"/>
      <c r="V491" s="33"/>
      <c r="AP491" s="35"/>
      <c r="AQ491" s="35"/>
    </row>
    <row r="492">
      <c r="C492" s="33"/>
      <c r="D492" s="33"/>
      <c r="I492" s="33"/>
      <c r="J492" s="33"/>
      <c r="O492" s="33"/>
      <c r="P492" s="33"/>
      <c r="U492" s="33"/>
      <c r="V492" s="33"/>
      <c r="AP492" s="35"/>
      <c r="AQ492" s="35"/>
    </row>
    <row r="493">
      <c r="C493" s="33"/>
      <c r="D493" s="33"/>
      <c r="I493" s="33"/>
      <c r="J493" s="33"/>
      <c r="O493" s="33"/>
      <c r="P493" s="33"/>
      <c r="U493" s="33"/>
      <c r="V493" s="33"/>
      <c r="AP493" s="35"/>
      <c r="AQ493" s="35"/>
    </row>
    <row r="494">
      <c r="C494" s="33"/>
      <c r="D494" s="33"/>
      <c r="I494" s="33"/>
      <c r="J494" s="33"/>
      <c r="O494" s="33"/>
      <c r="P494" s="33"/>
      <c r="U494" s="33"/>
      <c r="V494" s="33"/>
      <c r="AP494" s="35"/>
      <c r="AQ494" s="35"/>
    </row>
    <row r="495">
      <c r="C495" s="33"/>
      <c r="D495" s="33"/>
      <c r="I495" s="33"/>
      <c r="J495" s="33"/>
      <c r="O495" s="33"/>
      <c r="P495" s="33"/>
      <c r="U495" s="33"/>
      <c r="V495" s="33"/>
      <c r="AP495" s="35"/>
      <c r="AQ495" s="35"/>
    </row>
    <row r="496">
      <c r="C496" s="33"/>
      <c r="D496" s="33"/>
      <c r="I496" s="33"/>
      <c r="J496" s="33"/>
      <c r="O496" s="33"/>
      <c r="P496" s="33"/>
      <c r="U496" s="33"/>
      <c r="V496" s="33"/>
      <c r="AP496" s="35"/>
      <c r="AQ496" s="35"/>
    </row>
    <row r="497">
      <c r="C497" s="33"/>
      <c r="D497" s="33"/>
      <c r="I497" s="33"/>
      <c r="J497" s="33"/>
      <c r="O497" s="33"/>
      <c r="P497" s="33"/>
      <c r="U497" s="33"/>
      <c r="V497" s="33"/>
      <c r="AP497" s="35"/>
      <c r="AQ497" s="35"/>
    </row>
    <row r="498">
      <c r="C498" s="33"/>
      <c r="D498" s="33"/>
      <c r="I498" s="33"/>
      <c r="J498" s="33"/>
      <c r="O498" s="33"/>
      <c r="P498" s="33"/>
      <c r="U498" s="33"/>
      <c r="V498" s="33"/>
      <c r="AP498" s="35"/>
      <c r="AQ498" s="35"/>
    </row>
    <row r="499">
      <c r="C499" s="33"/>
      <c r="D499" s="33"/>
      <c r="I499" s="33"/>
      <c r="J499" s="33"/>
      <c r="O499" s="33"/>
      <c r="P499" s="33"/>
      <c r="U499" s="33"/>
      <c r="V499" s="33"/>
      <c r="AP499" s="35"/>
      <c r="AQ499" s="35"/>
    </row>
    <row r="500">
      <c r="C500" s="33"/>
      <c r="D500" s="33"/>
      <c r="I500" s="33"/>
      <c r="J500" s="33"/>
      <c r="O500" s="33"/>
      <c r="P500" s="33"/>
      <c r="U500" s="33"/>
      <c r="V500" s="33"/>
      <c r="AP500" s="35"/>
      <c r="AQ500" s="35"/>
    </row>
    <row r="501">
      <c r="C501" s="33"/>
      <c r="D501" s="33"/>
      <c r="I501" s="33"/>
      <c r="J501" s="33"/>
      <c r="O501" s="33"/>
      <c r="P501" s="33"/>
      <c r="U501" s="33"/>
      <c r="V501" s="33"/>
      <c r="AP501" s="35"/>
      <c r="AQ501" s="35"/>
    </row>
    <row r="502">
      <c r="C502" s="33"/>
      <c r="D502" s="33"/>
      <c r="I502" s="33"/>
      <c r="J502" s="33"/>
      <c r="O502" s="33"/>
      <c r="P502" s="33"/>
      <c r="U502" s="33"/>
      <c r="V502" s="33"/>
      <c r="AP502" s="35"/>
      <c r="AQ502" s="35"/>
    </row>
    <row r="503">
      <c r="C503" s="33"/>
      <c r="D503" s="33"/>
      <c r="I503" s="33"/>
      <c r="J503" s="33"/>
      <c r="O503" s="33"/>
      <c r="P503" s="33"/>
      <c r="U503" s="33"/>
      <c r="V503" s="33"/>
      <c r="AP503" s="35"/>
      <c r="AQ503" s="35"/>
    </row>
    <row r="504">
      <c r="C504" s="33"/>
      <c r="D504" s="33"/>
      <c r="I504" s="33"/>
      <c r="J504" s="33"/>
      <c r="O504" s="33"/>
      <c r="P504" s="33"/>
      <c r="U504" s="33"/>
      <c r="V504" s="33"/>
      <c r="AP504" s="35"/>
      <c r="AQ504" s="35"/>
    </row>
    <row r="505">
      <c r="C505" s="33"/>
      <c r="D505" s="33"/>
      <c r="I505" s="33"/>
      <c r="J505" s="33"/>
      <c r="O505" s="33"/>
      <c r="P505" s="33"/>
      <c r="U505" s="33"/>
      <c r="V505" s="33"/>
      <c r="AP505" s="35"/>
      <c r="AQ505" s="35"/>
    </row>
    <row r="506">
      <c r="C506" s="33"/>
      <c r="D506" s="33"/>
      <c r="I506" s="33"/>
      <c r="J506" s="33"/>
      <c r="O506" s="33"/>
      <c r="P506" s="33"/>
      <c r="U506" s="33"/>
      <c r="V506" s="33"/>
      <c r="AP506" s="35"/>
      <c r="AQ506" s="35"/>
    </row>
    <row r="507">
      <c r="C507" s="33"/>
      <c r="D507" s="33"/>
      <c r="I507" s="33"/>
      <c r="J507" s="33"/>
      <c r="O507" s="33"/>
      <c r="P507" s="33"/>
      <c r="U507" s="33"/>
      <c r="V507" s="33"/>
      <c r="AP507" s="35"/>
      <c r="AQ507" s="35"/>
    </row>
    <row r="508">
      <c r="C508" s="33"/>
      <c r="D508" s="33"/>
      <c r="I508" s="33"/>
      <c r="J508" s="33"/>
      <c r="O508" s="33"/>
      <c r="P508" s="33"/>
      <c r="U508" s="33"/>
      <c r="V508" s="33"/>
      <c r="AP508" s="35"/>
      <c r="AQ508" s="35"/>
    </row>
    <row r="509">
      <c r="C509" s="33"/>
      <c r="D509" s="33"/>
      <c r="I509" s="33"/>
      <c r="J509" s="33"/>
      <c r="O509" s="33"/>
      <c r="P509" s="33"/>
      <c r="U509" s="33"/>
      <c r="V509" s="33"/>
      <c r="AP509" s="35"/>
      <c r="AQ509" s="35"/>
    </row>
    <row r="510">
      <c r="C510" s="33"/>
      <c r="D510" s="33"/>
      <c r="I510" s="33"/>
      <c r="J510" s="33"/>
      <c r="O510" s="33"/>
      <c r="P510" s="33"/>
      <c r="U510" s="33"/>
      <c r="V510" s="33"/>
      <c r="AP510" s="35"/>
      <c r="AQ510" s="35"/>
    </row>
    <row r="511">
      <c r="C511" s="33"/>
      <c r="D511" s="33"/>
      <c r="I511" s="33"/>
      <c r="J511" s="33"/>
      <c r="O511" s="33"/>
      <c r="P511" s="33"/>
      <c r="U511" s="33"/>
      <c r="V511" s="33"/>
      <c r="AP511" s="35"/>
      <c r="AQ511" s="35"/>
    </row>
    <row r="512">
      <c r="C512" s="33"/>
      <c r="D512" s="33"/>
      <c r="I512" s="33"/>
      <c r="J512" s="33"/>
      <c r="O512" s="33"/>
      <c r="P512" s="33"/>
      <c r="U512" s="33"/>
      <c r="V512" s="33"/>
      <c r="AP512" s="35"/>
      <c r="AQ512" s="35"/>
    </row>
    <row r="513">
      <c r="C513" s="33"/>
      <c r="D513" s="33"/>
      <c r="I513" s="33"/>
      <c r="J513" s="33"/>
      <c r="O513" s="33"/>
      <c r="P513" s="33"/>
      <c r="U513" s="33"/>
      <c r="V513" s="33"/>
      <c r="AP513" s="35"/>
      <c r="AQ513" s="35"/>
    </row>
    <row r="514">
      <c r="C514" s="33"/>
      <c r="D514" s="33"/>
      <c r="I514" s="33"/>
      <c r="J514" s="33"/>
      <c r="O514" s="33"/>
      <c r="P514" s="33"/>
      <c r="U514" s="33"/>
      <c r="V514" s="33"/>
      <c r="AP514" s="35"/>
      <c r="AQ514" s="35"/>
    </row>
    <row r="515">
      <c r="C515" s="33"/>
      <c r="D515" s="33"/>
      <c r="I515" s="33"/>
      <c r="J515" s="33"/>
      <c r="O515" s="33"/>
      <c r="P515" s="33"/>
      <c r="U515" s="33"/>
      <c r="V515" s="33"/>
      <c r="AP515" s="35"/>
      <c r="AQ515" s="35"/>
    </row>
    <row r="516">
      <c r="C516" s="33"/>
      <c r="D516" s="33"/>
      <c r="I516" s="33"/>
      <c r="J516" s="33"/>
      <c r="O516" s="33"/>
      <c r="P516" s="33"/>
      <c r="U516" s="33"/>
      <c r="V516" s="33"/>
      <c r="AP516" s="35"/>
      <c r="AQ516" s="35"/>
    </row>
    <row r="517">
      <c r="C517" s="33"/>
      <c r="D517" s="33"/>
      <c r="I517" s="33"/>
      <c r="J517" s="33"/>
      <c r="O517" s="33"/>
      <c r="P517" s="33"/>
      <c r="U517" s="33"/>
      <c r="V517" s="33"/>
      <c r="AP517" s="35"/>
      <c r="AQ517" s="35"/>
    </row>
    <row r="518">
      <c r="C518" s="33"/>
      <c r="D518" s="33"/>
      <c r="I518" s="33"/>
      <c r="J518" s="33"/>
      <c r="O518" s="33"/>
      <c r="P518" s="33"/>
      <c r="U518" s="33"/>
      <c r="V518" s="33"/>
      <c r="AP518" s="35"/>
      <c r="AQ518" s="35"/>
    </row>
    <row r="519">
      <c r="C519" s="33"/>
      <c r="D519" s="33"/>
      <c r="I519" s="33"/>
      <c r="J519" s="33"/>
      <c r="O519" s="33"/>
      <c r="P519" s="33"/>
      <c r="U519" s="33"/>
      <c r="V519" s="33"/>
      <c r="AP519" s="35"/>
      <c r="AQ519" s="35"/>
    </row>
    <row r="520">
      <c r="C520" s="33"/>
      <c r="D520" s="33"/>
      <c r="I520" s="33"/>
      <c r="J520" s="33"/>
      <c r="O520" s="33"/>
      <c r="P520" s="33"/>
      <c r="U520" s="33"/>
      <c r="V520" s="33"/>
      <c r="AP520" s="35"/>
      <c r="AQ520" s="35"/>
    </row>
    <row r="521">
      <c r="C521" s="33"/>
      <c r="D521" s="33"/>
      <c r="I521" s="33"/>
      <c r="J521" s="33"/>
      <c r="O521" s="33"/>
      <c r="P521" s="33"/>
      <c r="U521" s="33"/>
      <c r="V521" s="33"/>
      <c r="AP521" s="35"/>
      <c r="AQ521" s="35"/>
    </row>
    <row r="522">
      <c r="C522" s="33"/>
      <c r="D522" s="33"/>
      <c r="I522" s="33"/>
      <c r="J522" s="33"/>
      <c r="O522" s="33"/>
      <c r="P522" s="33"/>
      <c r="U522" s="33"/>
      <c r="V522" s="33"/>
      <c r="AP522" s="35"/>
      <c r="AQ522" s="35"/>
    </row>
    <row r="523">
      <c r="C523" s="33"/>
      <c r="D523" s="33"/>
      <c r="I523" s="33"/>
      <c r="J523" s="33"/>
      <c r="O523" s="33"/>
      <c r="P523" s="33"/>
      <c r="U523" s="33"/>
      <c r="V523" s="33"/>
      <c r="AP523" s="35"/>
      <c r="AQ523" s="35"/>
    </row>
    <row r="524">
      <c r="C524" s="33"/>
      <c r="D524" s="33"/>
      <c r="I524" s="33"/>
      <c r="J524" s="33"/>
      <c r="O524" s="33"/>
      <c r="P524" s="33"/>
      <c r="U524" s="33"/>
      <c r="V524" s="33"/>
      <c r="AP524" s="35"/>
      <c r="AQ524" s="35"/>
    </row>
    <row r="525">
      <c r="C525" s="33"/>
      <c r="D525" s="33"/>
      <c r="I525" s="33"/>
      <c r="J525" s="33"/>
      <c r="O525" s="33"/>
      <c r="P525" s="33"/>
      <c r="U525" s="33"/>
      <c r="V525" s="33"/>
      <c r="AP525" s="35"/>
      <c r="AQ525" s="35"/>
    </row>
    <row r="526">
      <c r="C526" s="33"/>
      <c r="D526" s="33"/>
      <c r="I526" s="33"/>
      <c r="J526" s="33"/>
      <c r="O526" s="33"/>
      <c r="P526" s="33"/>
      <c r="U526" s="33"/>
      <c r="V526" s="33"/>
      <c r="AP526" s="35"/>
      <c r="AQ526" s="35"/>
    </row>
    <row r="527">
      <c r="C527" s="33"/>
      <c r="D527" s="33"/>
      <c r="I527" s="33"/>
      <c r="J527" s="33"/>
      <c r="O527" s="33"/>
      <c r="P527" s="33"/>
      <c r="U527" s="33"/>
      <c r="V527" s="33"/>
      <c r="AP527" s="35"/>
      <c r="AQ527" s="35"/>
    </row>
    <row r="528">
      <c r="C528" s="33"/>
      <c r="D528" s="33"/>
      <c r="I528" s="33"/>
      <c r="J528" s="33"/>
      <c r="O528" s="33"/>
      <c r="P528" s="33"/>
      <c r="U528" s="33"/>
      <c r="V528" s="33"/>
      <c r="AP528" s="35"/>
      <c r="AQ528" s="35"/>
    </row>
    <row r="529">
      <c r="C529" s="33"/>
      <c r="D529" s="33"/>
      <c r="I529" s="33"/>
      <c r="J529" s="33"/>
      <c r="O529" s="33"/>
      <c r="P529" s="33"/>
      <c r="U529" s="33"/>
      <c r="V529" s="33"/>
      <c r="AP529" s="35"/>
      <c r="AQ529" s="35"/>
    </row>
    <row r="530">
      <c r="C530" s="33"/>
      <c r="D530" s="33"/>
      <c r="I530" s="33"/>
      <c r="J530" s="33"/>
      <c r="O530" s="33"/>
      <c r="P530" s="33"/>
      <c r="U530" s="33"/>
      <c r="V530" s="33"/>
      <c r="AP530" s="35"/>
      <c r="AQ530" s="35"/>
    </row>
    <row r="531">
      <c r="C531" s="33"/>
      <c r="D531" s="33"/>
      <c r="I531" s="33"/>
      <c r="J531" s="33"/>
      <c r="O531" s="33"/>
      <c r="P531" s="33"/>
      <c r="U531" s="33"/>
      <c r="V531" s="33"/>
      <c r="AP531" s="35"/>
      <c r="AQ531" s="35"/>
    </row>
    <row r="532">
      <c r="C532" s="33"/>
      <c r="D532" s="33"/>
      <c r="I532" s="33"/>
      <c r="J532" s="33"/>
      <c r="O532" s="33"/>
      <c r="P532" s="33"/>
      <c r="U532" s="33"/>
      <c r="V532" s="33"/>
      <c r="AP532" s="35"/>
      <c r="AQ532" s="35"/>
    </row>
    <row r="533">
      <c r="C533" s="33"/>
      <c r="D533" s="33"/>
      <c r="I533" s="33"/>
      <c r="J533" s="33"/>
      <c r="O533" s="33"/>
      <c r="P533" s="33"/>
      <c r="U533" s="33"/>
      <c r="V533" s="33"/>
      <c r="AP533" s="35"/>
      <c r="AQ533" s="35"/>
    </row>
    <row r="534">
      <c r="C534" s="33"/>
      <c r="D534" s="33"/>
      <c r="I534" s="33"/>
      <c r="J534" s="33"/>
      <c r="O534" s="33"/>
      <c r="P534" s="33"/>
      <c r="U534" s="33"/>
      <c r="V534" s="33"/>
      <c r="AP534" s="35"/>
      <c r="AQ534" s="35"/>
    </row>
    <row r="535">
      <c r="C535" s="33"/>
      <c r="D535" s="33"/>
      <c r="I535" s="33"/>
      <c r="J535" s="33"/>
      <c r="O535" s="33"/>
      <c r="P535" s="33"/>
      <c r="U535" s="33"/>
      <c r="V535" s="33"/>
      <c r="AP535" s="35"/>
      <c r="AQ535" s="35"/>
    </row>
    <row r="536">
      <c r="C536" s="33"/>
      <c r="D536" s="33"/>
      <c r="I536" s="33"/>
      <c r="J536" s="33"/>
      <c r="O536" s="33"/>
      <c r="P536" s="33"/>
      <c r="U536" s="33"/>
      <c r="V536" s="33"/>
      <c r="AP536" s="35"/>
      <c r="AQ536" s="35"/>
    </row>
    <row r="537">
      <c r="C537" s="33"/>
      <c r="D537" s="33"/>
      <c r="I537" s="33"/>
      <c r="J537" s="33"/>
      <c r="O537" s="33"/>
      <c r="P537" s="33"/>
      <c r="U537" s="33"/>
      <c r="V537" s="33"/>
      <c r="AP537" s="35"/>
      <c r="AQ537" s="35"/>
    </row>
    <row r="538">
      <c r="C538" s="33"/>
      <c r="D538" s="33"/>
      <c r="I538" s="33"/>
      <c r="J538" s="33"/>
      <c r="O538" s="33"/>
      <c r="P538" s="33"/>
      <c r="U538" s="33"/>
      <c r="V538" s="33"/>
      <c r="AP538" s="35"/>
      <c r="AQ538" s="35"/>
    </row>
    <row r="539">
      <c r="C539" s="33"/>
      <c r="D539" s="33"/>
      <c r="I539" s="33"/>
      <c r="J539" s="33"/>
      <c r="O539" s="33"/>
      <c r="P539" s="33"/>
      <c r="U539" s="33"/>
      <c r="V539" s="33"/>
      <c r="AP539" s="35"/>
      <c r="AQ539" s="35"/>
    </row>
    <row r="540">
      <c r="C540" s="33"/>
      <c r="D540" s="33"/>
      <c r="I540" s="33"/>
      <c r="J540" s="33"/>
      <c r="O540" s="33"/>
      <c r="P540" s="33"/>
      <c r="U540" s="33"/>
      <c r="V540" s="33"/>
      <c r="AP540" s="35"/>
      <c r="AQ540" s="35"/>
    </row>
    <row r="541">
      <c r="C541" s="33"/>
      <c r="D541" s="33"/>
      <c r="I541" s="33"/>
      <c r="J541" s="33"/>
      <c r="O541" s="33"/>
      <c r="P541" s="33"/>
      <c r="U541" s="33"/>
      <c r="V541" s="33"/>
      <c r="AP541" s="35"/>
      <c r="AQ541" s="35"/>
    </row>
    <row r="542">
      <c r="C542" s="33"/>
      <c r="D542" s="33"/>
      <c r="I542" s="33"/>
      <c r="J542" s="33"/>
      <c r="O542" s="33"/>
      <c r="P542" s="33"/>
      <c r="U542" s="33"/>
      <c r="V542" s="33"/>
      <c r="AP542" s="35"/>
      <c r="AQ542" s="35"/>
    </row>
    <row r="543">
      <c r="C543" s="33"/>
      <c r="D543" s="33"/>
      <c r="I543" s="33"/>
      <c r="J543" s="33"/>
      <c r="O543" s="33"/>
      <c r="P543" s="33"/>
      <c r="U543" s="33"/>
      <c r="V543" s="33"/>
      <c r="AP543" s="35"/>
      <c r="AQ543" s="35"/>
    </row>
    <row r="544">
      <c r="C544" s="33"/>
      <c r="D544" s="33"/>
      <c r="I544" s="33"/>
      <c r="J544" s="33"/>
      <c r="O544" s="33"/>
      <c r="P544" s="33"/>
      <c r="U544" s="33"/>
      <c r="V544" s="33"/>
      <c r="AP544" s="35"/>
      <c r="AQ544" s="35"/>
    </row>
    <row r="545">
      <c r="C545" s="33"/>
      <c r="D545" s="33"/>
      <c r="I545" s="33"/>
      <c r="J545" s="33"/>
      <c r="O545" s="33"/>
      <c r="P545" s="33"/>
      <c r="U545" s="33"/>
      <c r="V545" s="33"/>
      <c r="AP545" s="35"/>
      <c r="AQ545" s="35"/>
    </row>
    <row r="546">
      <c r="C546" s="33"/>
      <c r="D546" s="33"/>
      <c r="I546" s="33"/>
      <c r="J546" s="33"/>
      <c r="O546" s="33"/>
      <c r="P546" s="33"/>
      <c r="U546" s="33"/>
      <c r="V546" s="33"/>
      <c r="AP546" s="35"/>
      <c r="AQ546" s="35"/>
    </row>
    <row r="547">
      <c r="C547" s="33"/>
      <c r="D547" s="33"/>
      <c r="I547" s="33"/>
      <c r="J547" s="33"/>
      <c r="O547" s="33"/>
      <c r="P547" s="33"/>
      <c r="U547" s="33"/>
      <c r="V547" s="33"/>
      <c r="AP547" s="35"/>
      <c r="AQ547" s="35"/>
    </row>
    <row r="548">
      <c r="C548" s="33"/>
      <c r="D548" s="33"/>
      <c r="I548" s="33"/>
      <c r="J548" s="33"/>
      <c r="O548" s="33"/>
      <c r="P548" s="33"/>
      <c r="U548" s="33"/>
      <c r="V548" s="33"/>
      <c r="AP548" s="35"/>
      <c r="AQ548" s="35"/>
    </row>
    <row r="549">
      <c r="C549" s="33"/>
      <c r="D549" s="33"/>
      <c r="I549" s="33"/>
      <c r="J549" s="33"/>
      <c r="O549" s="33"/>
      <c r="P549" s="33"/>
      <c r="U549" s="33"/>
      <c r="V549" s="33"/>
      <c r="AP549" s="35"/>
      <c r="AQ549" s="35"/>
    </row>
    <row r="550">
      <c r="C550" s="33"/>
      <c r="D550" s="33"/>
      <c r="I550" s="33"/>
      <c r="J550" s="33"/>
      <c r="O550" s="33"/>
      <c r="P550" s="33"/>
      <c r="U550" s="33"/>
      <c r="V550" s="33"/>
      <c r="AP550" s="35"/>
      <c r="AQ550" s="35"/>
    </row>
    <row r="551">
      <c r="C551" s="33"/>
      <c r="D551" s="33"/>
      <c r="I551" s="33"/>
      <c r="J551" s="33"/>
      <c r="O551" s="33"/>
      <c r="P551" s="33"/>
      <c r="U551" s="33"/>
      <c r="V551" s="33"/>
      <c r="AP551" s="35"/>
      <c r="AQ551" s="35"/>
    </row>
    <row r="552">
      <c r="C552" s="33"/>
      <c r="D552" s="33"/>
      <c r="I552" s="33"/>
      <c r="J552" s="33"/>
      <c r="O552" s="33"/>
      <c r="P552" s="33"/>
      <c r="U552" s="33"/>
      <c r="V552" s="33"/>
      <c r="AP552" s="35"/>
      <c r="AQ552" s="35"/>
    </row>
    <row r="553">
      <c r="C553" s="33"/>
      <c r="D553" s="33"/>
      <c r="I553" s="33"/>
      <c r="J553" s="33"/>
      <c r="O553" s="33"/>
      <c r="P553" s="33"/>
      <c r="U553" s="33"/>
      <c r="V553" s="33"/>
      <c r="AP553" s="35"/>
      <c r="AQ553" s="35"/>
    </row>
    <row r="554">
      <c r="C554" s="33"/>
      <c r="D554" s="33"/>
      <c r="I554" s="33"/>
      <c r="J554" s="33"/>
      <c r="O554" s="33"/>
      <c r="P554" s="33"/>
      <c r="U554" s="33"/>
      <c r="V554" s="33"/>
      <c r="AP554" s="35"/>
      <c r="AQ554" s="35"/>
    </row>
    <row r="555">
      <c r="C555" s="33"/>
      <c r="D555" s="33"/>
      <c r="I555" s="33"/>
      <c r="J555" s="33"/>
      <c r="O555" s="33"/>
      <c r="P555" s="33"/>
      <c r="U555" s="33"/>
      <c r="V555" s="33"/>
      <c r="AP555" s="35"/>
      <c r="AQ555" s="35"/>
    </row>
    <row r="556">
      <c r="C556" s="33"/>
      <c r="D556" s="33"/>
      <c r="I556" s="33"/>
      <c r="J556" s="33"/>
      <c r="O556" s="33"/>
      <c r="P556" s="33"/>
      <c r="U556" s="33"/>
      <c r="V556" s="33"/>
      <c r="AP556" s="35"/>
      <c r="AQ556" s="35"/>
    </row>
    <row r="557">
      <c r="C557" s="33"/>
      <c r="D557" s="33"/>
      <c r="I557" s="33"/>
      <c r="J557" s="33"/>
      <c r="O557" s="33"/>
      <c r="P557" s="33"/>
      <c r="U557" s="33"/>
      <c r="V557" s="33"/>
      <c r="AP557" s="35"/>
      <c r="AQ557" s="35"/>
    </row>
    <row r="558">
      <c r="C558" s="33"/>
      <c r="D558" s="33"/>
      <c r="I558" s="33"/>
      <c r="J558" s="33"/>
      <c r="O558" s="33"/>
      <c r="P558" s="33"/>
      <c r="U558" s="33"/>
      <c r="V558" s="33"/>
      <c r="AP558" s="35"/>
      <c r="AQ558" s="35"/>
    </row>
    <row r="559">
      <c r="C559" s="33"/>
      <c r="D559" s="33"/>
      <c r="I559" s="33"/>
      <c r="J559" s="33"/>
      <c r="O559" s="33"/>
      <c r="P559" s="33"/>
      <c r="U559" s="33"/>
      <c r="V559" s="33"/>
      <c r="AP559" s="35"/>
      <c r="AQ559" s="35"/>
    </row>
    <row r="560">
      <c r="C560" s="33"/>
      <c r="D560" s="33"/>
      <c r="I560" s="33"/>
      <c r="J560" s="33"/>
      <c r="O560" s="33"/>
      <c r="P560" s="33"/>
      <c r="U560" s="33"/>
      <c r="V560" s="33"/>
      <c r="AP560" s="35"/>
      <c r="AQ560" s="35"/>
    </row>
    <row r="561">
      <c r="C561" s="33"/>
      <c r="D561" s="33"/>
      <c r="I561" s="33"/>
      <c r="J561" s="33"/>
      <c r="O561" s="33"/>
      <c r="P561" s="33"/>
      <c r="U561" s="33"/>
      <c r="V561" s="33"/>
      <c r="AP561" s="35"/>
      <c r="AQ561" s="35"/>
    </row>
    <row r="562">
      <c r="C562" s="33"/>
      <c r="D562" s="33"/>
      <c r="I562" s="33"/>
      <c r="J562" s="33"/>
      <c r="O562" s="33"/>
      <c r="P562" s="33"/>
      <c r="U562" s="33"/>
      <c r="V562" s="33"/>
      <c r="AP562" s="35"/>
      <c r="AQ562" s="35"/>
    </row>
    <row r="563">
      <c r="C563" s="33"/>
      <c r="D563" s="33"/>
      <c r="I563" s="33"/>
      <c r="J563" s="33"/>
      <c r="O563" s="33"/>
      <c r="P563" s="33"/>
      <c r="U563" s="33"/>
      <c r="V563" s="33"/>
      <c r="AP563" s="35"/>
      <c r="AQ563" s="35"/>
    </row>
    <row r="564">
      <c r="C564" s="33"/>
      <c r="D564" s="33"/>
      <c r="I564" s="33"/>
      <c r="J564" s="33"/>
      <c r="O564" s="33"/>
      <c r="P564" s="33"/>
      <c r="U564" s="33"/>
      <c r="V564" s="33"/>
      <c r="AP564" s="35"/>
      <c r="AQ564" s="35"/>
    </row>
    <row r="565">
      <c r="C565" s="33"/>
      <c r="D565" s="33"/>
      <c r="I565" s="33"/>
      <c r="J565" s="33"/>
      <c r="O565" s="33"/>
      <c r="P565" s="33"/>
      <c r="U565" s="33"/>
      <c r="V565" s="33"/>
      <c r="AP565" s="35"/>
      <c r="AQ565" s="35"/>
    </row>
    <row r="566">
      <c r="C566" s="33"/>
      <c r="D566" s="33"/>
      <c r="I566" s="33"/>
      <c r="J566" s="33"/>
      <c r="O566" s="33"/>
      <c r="P566" s="33"/>
      <c r="U566" s="33"/>
      <c r="V566" s="33"/>
      <c r="AP566" s="35"/>
      <c r="AQ566" s="35"/>
    </row>
    <row r="567">
      <c r="C567" s="33"/>
      <c r="D567" s="33"/>
      <c r="I567" s="33"/>
      <c r="J567" s="33"/>
      <c r="O567" s="33"/>
      <c r="P567" s="33"/>
      <c r="U567" s="33"/>
      <c r="V567" s="33"/>
      <c r="AP567" s="35"/>
      <c r="AQ567" s="35"/>
    </row>
    <row r="568">
      <c r="C568" s="33"/>
      <c r="D568" s="33"/>
      <c r="I568" s="33"/>
      <c r="J568" s="33"/>
      <c r="O568" s="33"/>
      <c r="P568" s="33"/>
      <c r="U568" s="33"/>
      <c r="V568" s="33"/>
      <c r="AP568" s="35"/>
      <c r="AQ568" s="35"/>
    </row>
    <row r="569">
      <c r="C569" s="33"/>
      <c r="D569" s="33"/>
      <c r="I569" s="33"/>
      <c r="J569" s="33"/>
      <c r="O569" s="33"/>
      <c r="P569" s="33"/>
      <c r="U569" s="33"/>
      <c r="V569" s="33"/>
      <c r="AP569" s="35"/>
      <c r="AQ569" s="35"/>
    </row>
    <row r="570">
      <c r="C570" s="33"/>
      <c r="D570" s="33"/>
      <c r="I570" s="33"/>
      <c r="J570" s="33"/>
      <c r="O570" s="33"/>
      <c r="P570" s="33"/>
      <c r="U570" s="33"/>
      <c r="V570" s="33"/>
      <c r="AP570" s="35"/>
      <c r="AQ570" s="35"/>
    </row>
    <row r="571">
      <c r="C571" s="33"/>
      <c r="D571" s="33"/>
      <c r="I571" s="33"/>
      <c r="J571" s="33"/>
      <c r="O571" s="33"/>
      <c r="P571" s="33"/>
      <c r="U571" s="33"/>
      <c r="V571" s="33"/>
      <c r="AP571" s="35"/>
      <c r="AQ571" s="35"/>
    </row>
    <row r="572">
      <c r="C572" s="33"/>
      <c r="D572" s="33"/>
      <c r="I572" s="33"/>
      <c r="J572" s="33"/>
      <c r="O572" s="33"/>
      <c r="P572" s="33"/>
      <c r="U572" s="33"/>
      <c r="V572" s="33"/>
      <c r="AP572" s="35"/>
      <c r="AQ572" s="35"/>
    </row>
    <row r="573">
      <c r="C573" s="33"/>
      <c r="D573" s="33"/>
      <c r="I573" s="33"/>
      <c r="J573" s="33"/>
      <c r="O573" s="33"/>
      <c r="P573" s="33"/>
      <c r="U573" s="33"/>
      <c r="V573" s="33"/>
      <c r="AP573" s="35"/>
      <c r="AQ573" s="35"/>
    </row>
    <row r="574">
      <c r="C574" s="33"/>
      <c r="D574" s="33"/>
      <c r="I574" s="33"/>
      <c r="J574" s="33"/>
      <c r="O574" s="33"/>
      <c r="P574" s="33"/>
      <c r="U574" s="33"/>
      <c r="V574" s="33"/>
      <c r="AP574" s="35"/>
      <c r="AQ574" s="35"/>
    </row>
    <row r="575">
      <c r="C575" s="33"/>
      <c r="D575" s="33"/>
      <c r="I575" s="33"/>
      <c r="J575" s="33"/>
      <c r="O575" s="33"/>
      <c r="P575" s="33"/>
      <c r="U575" s="33"/>
      <c r="V575" s="33"/>
      <c r="AP575" s="35"/>
      <c r="AQ575" s="35"/>
    </row>
    <row r="576">
      <c r="C576" s="33"/>
      <c r="D576" s="33"/>
      <c r="I576" s="33"/>
      <c r="J576" s="33"/>
      <c r="O576" s="33"/>
      <c r="P576" s="33"/>
      <c r="U576" s="33"/>
      <c r="V576" s="33"/>
      <c r="AP576" s="35"/>
      <c r="AQ576" s="35"/>
    </row>
    <row r="577">
      <c r="C577" s="33"/>
      <c r="D577" s="33"/>
      <c r="I577" s="33"/>
      <c r="J577" s="33"/>
      <c r="O577" s="33"/>
      <c r="P577" s="33"/>
      <c r="U577" s="33"/>
      <c r="V577" s="33"/>
      <c r="AP577" s="35"/>
      <c r="AQ577" s="35"/>
    </row>
    <row r="578">
      <c r="C578" s="33"/>
      <c r="D578" s="33"/>
      <c r="I578" s="33"/>
      <c r="J578" s="33"/>
      <c r="O578" s="33"/>
      <c r="P578" s="33"/>
      <c r="U578" s="33"/>
      <c r="V578" s="33"/>
      <c r="AP578" s="35"/>
      <c r="AQ578" s="35"/>
    </row>
    <row r="579">
      <c r="C579" s="33"/>
      <c r="D579" s="33"/>
      <c r="I579" s="33"/>
      <c r="J579" s="33"/>
      <c r="O579" s="33"/>
      <c r="P579" s="33"/>
      <c r="U579" s="33"/>
      <c r="V579" s="33"/>
      <c r="AP579" s="35"/>
      <c r="AQ579" s="35"/>
    </row>
    <row r="580">
      <c r="C580" s="33"/>
      <c r="D580" s="33"/>
      <c r="I580" s="33"/>
      <c r="J580" s="33"/>
      <c r="O580" s="33"/>
      <c r="P580" s="33"/>
      <c r="U580" s="33"/>
      <c r="V580" s="33"/>
      <c r="AP580" s="35"/>
      <c r="AQ580" s="35"/>
    </row>
    <row r="581">
      <c r="C581" s="33"/>
      <c r="D581" s="33"/>
      <c r="I581" s="33"/>
      <c r="J581" s="33"/>
      <c r="O581" s="33"/>
      <c r="P581" s="33"/>
      <c r="U581" s="33"/>
      <c r="V581" s="33"/>
      <c r="AP581" s="35"/>
      <c r="AQ581" s="35"/>
    </row>
    <row r="582">
      <c r="C582" s="33"/>
      <c r="D582" s="33"/>
      <c r="I582" s="33"/>
      <c r="J582" s="33"/>
      <c r="O582" s="33"/>
      <c r="P582" s="33"/>
      <c r="U582" s="33"/>
      <c r="V582" s="33"/>
      <c r="AP582" s="35"/>
      <c r="AQ582" s="35"/>
    </row>
    <row r="583">
      <c r="C583" s="33"/>
      <c r="D583" s="33"/>
      <c r="I583" s="33"/>
      <c r="J583" s="33"/>
      <c r="O583" s="33"/>
      <c r="P583" s="33"/>
      <c r="U583" s="33"/>
      <c r="V583" s="33"/>
      <c r="AP583" s="35"/>
      <c r="AQ583" s="35"/>
    </row>
    <row r="584">
      <c r="C584" s="33"/>
      <c r="D584" s="33"/>
      <c r="I584" s="33"/>
      <c r="J584" s="33"/>
      <c r="O584" s="33"/>
      <c r="P584" s="33"/>
      <c r="U584" s="33"/>
      <c r="V584" s="33"/>
      <c r="AP584" s="35"/>
      <c r="AQ584" s="35"/>
    </row>
    <row r="585">
      <c r="C585" s="33"/>
      <c r="D585" s="33"/>
      <c r="I585" s="33"/>
      <c r="J585" s="33"/>
      <c r="O585" s="33"/>
      <c r="P585" s="33"/>
      <c r="U585" s="33"/>
      <c r="V585" s="33"/>
      <c r="AP585" s="35"/>
      <c r="AQ585" s="35"/>
    </row>
    <row r="586">
      <c r="C586" s="33"/>
      <c r="D586" s="33"/>
      <c r="I586" s="33"/>
      <c r="J586" s="33"/>
      <c r="O586" s="33"/>
      <c r="P586" s="33"/>
      <c r="U586" s="33"/>
      <c r="V586" s="33"/>
      <c r="AP586" s="35"/>
      <c r="AQ586" s="35"/>
    </row>
    <row r="587">
      <c r="C587" s="33"/>
      <c r="D587" s="33"/>
      <c r="I587" s="33"/>
      <c r="J587" s="33"/>
      <c r="O587" s="33"/>
      <c r="P587" s="33"/>
      <c r="U587" s="33"/>
      <c r="V587" s="33"/>
      <c r="AP587" s="35"/>
      <c r="AQ587" s="35"/>
    </row>
    <row r="588">
      <c r="C588" s="33"/>
      <c r="D588" s="33"/>
      <c r="I588" s="33"/>
      <c r="J588" s="33"/>
      <c r="O588" s="33"/>
      <c r="P588" s="33"/>
      <c r="U588" s="33"/>
      <c r="V588" s="33"/>
      <c r="AP588" s="35"/>
      <c r="AQ588" s="35"/>
    </row>
    <row r="589">
      <c r="C589" s="33"/>
      <c r="D589" s="33"/>
      <c r="I589" s="33"/>
      <c r="J589" s="33"/>
      <c r="O589" s="33"/>
      <c r="P589" s="33"/>
      <c r="U589" s="33"/>
      <c r="V589" s="33"/>
      <c r="AP589" s="35"/>
      <c r="AQ589" s="35"/>
    </row>
    <row r="590">
      <c r="C590" s="33"/>
      <c r="D590" s="33"/>
      <c r="I590" s="33"/>
      <c r="J590" s="33"/>
      <c r="O590" s="33"/>
      <c r="P590" s="33"/>
      <c r="U590" s="33"/>
      <c r="V590" s="33"/>
      <c r="AP590" s="35"/>
      <c r="AQ590" s="35"/>
    </row>
    <row r="591">
      <c r="C591" s="33"/>
      <c r="D591" s="33"/>
      <c r="I591" s="33"/>
      <c r="J591" s="33"/>
      <c r="O591" s="33"/>
      <c r="P591" s="33"/>
      <c r="U591" s="33"/>
      <c r="V591" s="33"/>
      <c r="AP591" s="35"/>
      <c r="AQ591" s="35"/>
    </row>
    <row r="592">
      <c r="C592" s="33"/>
      <c r="D592" s="33"/>
      <c r="I592" s="33"/>
      <c r="J592" s="33"/>
      <c r="O592" s="33"/>
      <c r="P592" s="33"/>
      <c r="U592" s="33"/>
      <c r="V592" s="33"/>
      <c r="AP592" s="35"/>
      <c r="AQ592" s="35"/>
    </row>
    <row r="593">
      <c r="C593" s="33"/>
      <c r="D593" s="33"/>
      <c r="I593" s="33"/>
      <c r="J593" s="33"/>
      <c r="O593" s="33"/>
      <c r="P593" s="33"/>
      <c r="U593" s="33"/>
      <c r="V593" s="33"/>
      <c r="AP593" s="35"/>
      <c r="AQ593" s="35"/>
    </row>
    <row r="594">
      <c r="C594" s="33"/>
      <c r="D594" s="33"/>
      <c r="I594" s="33"/>
      <c r="J594" s="33"/>
      <c r="O594" s="33"/>
      <c r="P594" s="33"/>
      <c r="U594" s="33"/>
      <c r="V594" s="33"/>
      <c r="AP594" s="35"/>
      <c r="AQ594" s="35"/>
    </row>
    <row r="595">
      <c r="C595" s="33"/>
      <c r="D595" s="33"/>
      <c r="I595" s="33"/>
      <c r="J595" s="33"/>
      <c r="O595" s="33"/>
      <c r="P595" s="33"/>
      <c r="U595" s="33"/>
      <c r="V595" s="33"/>
      <c r="AP595" s="35"/>
      <c r="AQ595" s="35"/>
    </row>
    <row r="596">
      <c r="C596" s="33"/>
      <c r="D596" s="33"/>
      <c r="I596" s="33"/>
      <c r="J596" s="33"/>
      <c r="O596" s="33"/>
      <c r="P596" s="33"/>
      <c r="U596" s="33"/>
      <c r="V596" s="33"/>
      <c r="AP596" s="35"/>
      <c r="AQ596" s="35"/>
    </row>
    <row r="597">
      <c r="C597" s="33"/>
      <c r="D597" s="33"/>
      <c r="I597" s="33"/>
      <c r="J597" s="33"/>
      <c r="O597" s="33"/>
      <c r="P597" s="33"/>
      <c r="U597" s="33"/>
      <c r="V597" s="33"/>
      <c r="AP597" s="35"/>
      <c r="AQ597" s="35"/>
    </row>
    <row r="598">
      <c r="C598" s="33"/>
      <c r="D598" s="33"/>
      <c r="I598" s="33"/>
      <c r="J598" s="33"/>
      <c r="O598" s="33"/>
      <c r="P598" s="33"/>
      <c r="U598" s="33"/>
      <c r="V598" s="33"/>
      <c r="AP598" s="35"/>
      <c r="AQ598" s="35"/>
    </row>
    <row r="599">
      <c r="C599" s="33"/>
      <c r="D599" s="33"/>
      <c r="I599" s="33"/>
      <c r="J599" s="33"/>
      <c r="O599" s="33"/>
      <c r="P599" s="33"/>
      <c r="U599" s="33"/>
      <c r="V599" s="33"/>
      <c r="AP599" s="35"/>
      <c r="AQ599" s="35"/>
    </row>
    <row r="600">
      <c r="C600" s="33"/>
      <c r="D600" s="33"/>
      <c r="I600" s="33"/>
      <c r="J600" s="33"/>
      <c r="O600" s="33"/>
      <c r="P600" s="33"/>
      <c r="U600" s="33"/>
      <c r="V600" s="33"/>
      <c r="AP600" s="35"/>
      <c r="AQ600" s="35"/>
    </row>
    <row r="601">
      <c r="C601" s="33"/>
      <c r="D601" s="33"/>
      <c r="I601" s="33"/>
      <c r="J601" s="33"/>
      <c r="O601" s="33"/>
      <c r="P601" s="33"/>
      <c r="U601" s="33"/>
      <c r="V601" s="33"/>
      <c r="AP601" s="35"/>
      <c r="AQ601" s="35"/>
    </row>
    <row r="602">
      <c r="C602" s="33"/>
      <c r="D602" s="33"/>
      <c r="I602" s="33"/>
      <c r="J602" s="33"/>
      <c r="O602" s="33"/>
      <c r="P602" s="33"/>
      <c r="U602" s="33"/>
      <c r="V602" s="33"/>
      <c r="AP602" s="35"/>
      <c r="AQ602" s="35"/>
    </row>
    <row r="603">
      <c r="C603" s="33"/>
      <c r="D603" s="33"/>
      <c r="I603" s="33"/>
      <c r="J603" s="33"/>
      <c r="O603" s="33"/>
      <c r="P603" s="33"/>
      <c r="U603" s="33"/>
      <c r="V603" s="33"/>
      <c r="AP603" s="35"/>
      <c r="AQ603" s="35"/>
    </row>
    <row r="604">
      <c r="C604" s="33"/>
      <c r="D604" s="33"/>
      <c r="I604" s="33"/>
      <c r="J604" s="33"/>
      <c r="O604" s="33"/>
      <c r="P604" s="33"/>
      <c r="U604" s="33"/>
      <c r="V604" s="33"/>
      <c r="AP604" s="35"/>
      <c r="AQ604" s="35"/>
    </row>
    <row r="605">
      <c r="C605" s="33"/>
      <c r="D605" s="33"/>
      <c r="I605" s="33"/>
      <c r="J605" s="33"/>
      <c r="O605" s="33"/>
      <c r="P605" s="33"/>
      <c r="U605" s="33"/>
      <c r="V605" s="33"/>
      <c r="AP605" s="35"/>
      <c r="AQ605" s="35"/>
    </row>
    <row r="606">
      <c r="C606" s="33"/>
      <c r="D606" s="33"/>
      <c r="I606" s="33"/>
      <c r="J606" s="33"/>
      <c r="O606" s="33"/>
      <c r="P606" s="33"/>
      <c r="U606" s="33"/>
      <c r="V606" s="33"/>
      <c r="AP606" s="35"/>
      <c r="AQ606" s="35"/>
    </row>
    <row r="607">
      <c r="C607" s="33"/>
      <c r="D607" s="33"/>
      <c r="I607" s="33"/>
      <c r="J607" s="33"/>
      <c r="O607" s="33"/>
      <c r="P607" s="33"/>
      <c r="U607" s="33"/>
      <c r="V607" s="33"/>
      <c r="AP607" s="35"/>
      <c r="AQ607" s="35"/>
    </row>
    <row r="608">
      <c r="C608" s="33"/>
      <c r="D608" s="33"/>
      <c r="I608" s="33"/>
      <c r="J608" s="33"/>
      <c r="O608" s="33"/>
      <c r="P608" s="33"/>
      <c r="U608" s="33"/>
      <c r="V608" s="33"/>
      <c r="AP608" s="35"/>
      <c r="AQ608" s="35"/>
    </row>
    <row r="609">
      <c r="C609" s="33"/>
      <c r="D609" s="33"/>
      <c r="I609" s="33"/>
      <c r="J609" s="33"/>
      <c r="O609" s="33"/>
      <c r="P609" s="33"/>
      <c r="U609" s="33"/>
      <c r="V609" s="33"/>
      <c r="AP609" s="35"/>
      <c r="AQ609" s="35"/>
    </row>
    <row r="610">
      <c r="C610" s="33"/>
      <c r="D610" s="33"/>
      <c r="I610" s="33"/>
      <c r="J610" s="33"/>
      <c r="O610" s="33"/>
      <c r="P610" s="33"/>
      <c r="U610" s="33"/>
      <c r="V610" s="33"/>
      <c r="AP610" s="35"/>
      <c r="AQ610" s="35"/>
    </row>
    <row r="611">
      <c r="C611" s="33"/>
      <c r="D611" s="33"/>
      <c r="I611" s="33"/>
      <c r="J611" s="33"/>
      <c r="O611" s="33"/>
      <c r="P611" s="33"/>
      <c r="U611" s="33"/>
      <c r="V611" s="33"/>
      <c r="AP611" s="35"/>
      <c r="AQ611" s="35"/>
    </row>
    <row r="612">
      <c r="C612" s="33"/>
      <c r="D612" s="33"/>
      <c r="I612" s="33"/>
      <c r="J612" s="33"/>
      <c r="O612" s="33"/>
      <c r="P612" s="33"/>
      <c r="U612" s="33"/>
      <c r="V612" s="33"/>
      <c r="AP612" s="35"/>
      <c r="AQ612" s="35"/>
    </row>
    <row r="613">
      <c r="C613" s="33"/>
      <c r="D613" s="33"/>
      <c r="I613" s="33"/>
      <c r="J613" s="33"/>
      <c r="O613" s="33"/>
      <c r="P613" s="33"/>
      <c r="U613" s="33"/>
      <c r="V613" s="33"/>
      <c r="AP613" s="35"/>
      <c r="AQ613" s="35"/>
    </row>
    <row r="614">
      <c r="C614" s="33"/>
      <c r="D614" s="33"/>
      <c r="I614" s="33"/>
      <c r="J614" s="33"/>
      <c r="O614" s="33"/>
      <c r="P614" s="33"/>
      <c r="U614" s="33"/>
      <c r="V614" s="33"/>
      <c r="AP614" s="35"/>
      <c r="AQ614" s="35"/>
    </row>
    <row r="615">
      <c r="C615" s="33"/>
      <c r="D615" s="33"/>
      <c r="I615" s="33"/>
      <c r="J615" s="33"/>
      <c r="O615" s="33"/>
      <c r="P615" s="33"/>
      <c r="U615" s="33"/>
      <c r="V615" s="33"/>
      <c r="AP615" s="35"/>
      <c r="AQ615" s="35"/>
    </row>
    <row r="616">
      <c r="C616" s="33"/>
      <c r="D616" s="33"/>
      <c r="I616" s="33"/>
      <c r="J616" s="33"/>
      <c r="O616" s="33"/>
      <c r="P616" s="33"/>
      <c r="U616" s="33"/>
      <c r="V616" s="33"/>
      <c r="AP616" s="35"/>
      <c r="AQ616" s="35"/>
    </row>
    <row r="617">
      <c r="C617" s="33"/>
      <c r="D617" s="33"/>
      <c r="I617" s="33"/>
      <c r="J617" s="33"/>
      <c r="O617" s="33"/>
      <c r="P617" s="33"/>
      <c r="U617" s="33"/>
      <c r="V617" s="33"/>
      <c r="AP617" s="35"/>
      <c r="AQ617" s="35"/>
    </row>
    <row r="618">
      <c r="C618" s="33"/>
      <c r="D618" s="33"/>
      <c r="I618" s="33"/>
      <c r="J618" s="33"/>
      <c r="O618" s="33"/>
      <c r="P618" s="33"/>
      <c r="U618" s="33"/>
      <c r="V618" s="33"/>
      <c r="AP618" s="35"/>
      <c r="AQ618" s="35"/>
    </row>
    <row r="619">
      <c r="C619" s="33"/>
      <c r="D619" s="33"/>
      <c r="I619" s="33"/>
      <c r="J619" s="33"/>
      <c r="O619" s="33"/>
      <c r="P619" s="33"/>
      <c r="U619" s="33"/>
      <c r="V619" s="33"/>
      <c r="AP619" s="35"/>
      <c r="AQ619" s="35"/>
    </row>
    <row r="620">
      <c r="C620" s="33"/>
      <c r="D620" s="33"/>
      <c r="I620" s="33"/>
      <c r="J620" s="33"/>
      <c r="O620" s="33"/>
      <c r="P620" s="33"/>
      <c r="U620" s="33"/>
      <c r="V620" s="33"/>
      <c r="AP620" s="35"/>
      <c r="AQ620" s="35"/>
    </row>
    <row r="621">
      <c r="C621" s="33"/>
      <c r="D621" s="33"/>
      <c r="I621" s="33"/>
      <c r="J621" s="33"/>
      <c r="O621" s="33"/>
      <c r="P621" s="33"/>
      <c r="U621" s="33"/>
      <c r="V621" s="33"/>
      <c r="AP621" s="35"/>
      <c r="AQ621" s="35"/>
    </row>
    <row r="622">
      <c r="C622" s="33"/>
      <c r="D622" s="33"/>
      <c r="I622" s="33"/>
      <c r="J622" s="33"/>
      <c r="O622" s="33"/>
      <c r="P622" s="33"/>
      <c r="U622" s="33"/>
      <c r="V622" s="33"/>
      <c r="AP622" s="35"/>
      <c r="AQ622" s="35"/>
    </row>
    <row r="623">
      <c r="C623" s="33"/>
      <c r="D623" s="33"/>
      <c r="I623" s="33"/>
      <c r="J623" s="33"/>
      <c r="O623" s="33"/>
      <c r="P623" s="33"/>
      <c r="U623" s="33"/>
      <c r="V623" s="33"/>
      <c r="AP623" s="35"/>
      <c r="AQ623" s="35"/>
    </row>
    <row r="624">
      <c r="C624" s="33"/>
      <c r="D624" s="33"/>
      <c r="I624" s="33"/>
      <c r="J624" s="33"/>
      <c r="O624" s="33"/>
      <c r="P624" s="33"/>
      <c r="U624" s="33"/>
      <c r="V624" s="33"/>
      <c r="AP624" s="35"/>
      <c r="AQ624" s="35"/>
    </row>
    <row r="625">
      <c r="C625" s="33"/>
      <c r="D625" s="33"/>
      <c r="I625" s="33"/>
      <c r="J625" s="33"/>
      <c r="O625" s="33"/>
      <c r="P625" s="33"/>
      <c r="U625" s="33"/>
      <c r="V625" s="33"/>
      <c r="AP625" s="35"/>
      <c r="AQ625" s="35"/>
    </row>
    <row r="626">
      <c r="C626" s="33"/>
      <c r="D626" s="33"/>
      <c r="I626" s="33"/>
      <c r="J626" s="33"/>
      <c r="O626" s="33"/>
      <c r="P626" s="33"/>
      <c r="U626" s="33"/>
      <c r="V626" s="33"/>
      <c r="AP626" s="35"/>
      <c r="AQ626" s="35"/>
    </row>
    <row r="627">
      <c r="C627" s="33"/>
      <c r="D627" s="33"/>
      <c r="I627" s="33"/>
      <c r="J627" s="33"/>
      <c r="O627" s="33"/>
      <c r="P627" s="33"/>
      <c r="U627" s="33"/>
      <c r="V627" s="33"/>
      <c r="AP627" s="35"/>
      <c r="AQ627" s="35"/>
    </row>
    <row r="628">
      <c r="C628" s="33"/>
      <c r="D628" s="33"/>
      <c r="I628" s="33"/>
      <c r="J628" s="33"/>
      <c r="O628" s="33"/>
      <c r="P628" s="33"/>
      <c r="U628" s="33"/>
      <c r="V628" s="33"/>
      <c r="AP628" s="35"/>
      <c r="AQ628" s="35"/>
    </row>
    <row r="629">
      <c r="C629" s="33"/>
      <c r="D629" s="33"/>
      <c r="I629" s="33"/>
      <c r="J629" s="33"/>
      <c r="O629" s="33"/>
      <c r="P629" s="33"/>
      <c r="U629" s="33"/>
      <c r="V629" s="33"/>
      <c r="AP629" s="35"/>
      <c r="AQ629" s="35"/>
    </row>
    <row r="630">
      <c r="C630" s="33"/>
      <c r="D630" s="33"/>
      <c r="I630" s="33"/>
      <c r="J630" s="33"/>
      <c r="O630" s="33"/>
      <c r="P630" s="33"/>
      <c r="U630" s="33"/>
      <c r="V630" s="33"/>
      <c r="AP630" s="35"/>
      <c r="AQ630" s="35"/>
    </row>
    <row r="631">
      <c r="C631" s="33"/>
      <c r="D631" s="33"/>
      <c r="I631" s="33"/>
      <c r="J631" s="33"/>
      <c r="O631" s="33"/>
      <c r="P631" s="33"/>
      <c r="U631" s="33"/>
      <c r="V631" s="33"/>
      <c r="AP631" s="35"/>
      <c r="AQ631" s="35"/>
    </row>
    <row r="632">
      <c r="C632" s="33"/>
      <c r="D632" s="33"/>
      <c r="I632" s="33"/>
      <c r="J632" s="33"/>
      <c r="O632" s="33"/>
      <c r="P632" s="33"/>
      <c r="U632" s="33"/>
      <c r="V632" s="33"/>
      <c r="AP632" s="35"/>
      <c r="AQ632" s="35"/>
    </row>
    <row r="633">
      <c r="C633" s="33"/>
      <c r="D633" s="33"/>
      <c r="I633" s="33"/>
      <c r="J633" s="33"/>
      <c r="O633" s="33"/>
      <c r="P633" s="33"/>
      <c r="U633" s="33"/>
      <c r="V633" s="33"/>
      <c r="AP633" s="35"/>
      <c r="AQ633" s="35"/>
    </row>
    <row r="634">
      <c r="C634" s="33"/>
      <c r="D634" s="33"/>
      <c r="I634" s="33"/>
      <c r="J634" s="33"/>
      <c r="O634" s="33"/>
      <c r="P634" s="33"/>
      <c r="U634" s="33"/>
      <c r="V634" s="33"/>
      <c r="AP634" s="35"/>
      <c r="AQ634" s="35"/>
    </row>
    <row r="635">
      <c r="C635" s="33"/>
      <c r="D635" s="33"/>
      <c r="I635" s="33"/>
      <c r="J635" s="33"/>
      <c r="O635" s="33"/>
      <c r="P635" s="33"/>
      <c r="U635" s="33"/>
      <c r="V635" s="33"/>
      <c r="AP635" s="35"/>
      <c r="AQ635" s="35"/>
    </row>
    <row r="636">
      <c r="C636" s="33"/>
      <c r="D636" s="33"/>
      <c r="I636" s="33"/>
      <c r="J636" s="33"/>
      <c r="O636" s="33"/>
      <c r="P636" s="33"/>
      <c r="U636" s="33"/>
      <c r="V636" s="33"/>
      <c r="AP636" s="35"/>
      <c r="AQ636" s="35"/>
    </row>
    <row r="637">
      <c r="C637" s="33"/>
      <c r="D637" s="33"/>
      <c r="I637" s="33"/>
      <c r="J637" s="33"/>
      <c r="O637" s="33"/>
      <c r="P637" s="33"/>
      <c r="U637" s="33"/>
      <c r="V637" s="33"/>
      <c r="AP637" s="35"/>
      <c r="AQ637" s="35"/>
    </row>
    <row r="638">
      <c r="C638" s="33"/>
      <c r="D638" s="33"/>
      <c r="I638" s="33"/>
      <c r="J638" s="33"/>
      <c r="O638" s="33"/>
      <c r="P638" s="33"/>
      <c r="U638" s="33"/>
      <c r="V638" s="33"/>
      <c r="AP638" s="35"/>
      <c r="AQ638" s="35"/>
    </row>
    <row r="639">
      <c r="C639" s="33"/>
      <c r="D639" s="33"/>
      <c r="I639" s="33"/>
      <c r="J639" s="33"/>
      <c r="O639" s="33"/>
      <c r="P639" s="33"/>
      <c r="U639" s="33"/>
      <c r="V639" s="33"/>
      <c r="AP639" s="35"/>
      <c r="AQ639" s="35"/>
    </row>
    <row r="640">
      <c r="C640" s="33"/>
      <c r="D640" s="33"/>
      <c r="I640" s="33"/>
      <c r="J640" s="33"/>
      <c r="O640" s="33"/>
      <c r="P640" s="33"/>
      <c r="U640" s="33"/>
      <c r="V640" s="33"/>
      <c r="AP640" s="35"/>
      <c r="AQ640" s="35"/>
    </row>
    <row r="641">
      <c r="C641" s="33"/>
      <c r="D641" s="33"/>
      <c r="I641" s="33"/>
      <c r="J641" s="33"/>
      <c r="O641" s="33"/>
      <c r="P641" s="33"/>
      <c r="U641" s="33"/>
      <c r="V641" s="33"/>
      <c r="AP641" s="35"/>
      <c r="AQ641" s="35"/>
    </row>
    <row r="642">
      <c r="C642" s="33"/>
      <c r="D642" s="33"/>
      <c r="I642" s="33"/>
      <c r="J642" s="33"/>
      <c r="O642" s="33"/>
      <c r="P642" s="33"/>
      <c r="U642" s="33"/>
      <c r="V642" s="33"/>
      <c r="AP642" s="35"/>
      <c r="AQ642" s="35"/>
    </row>
    <row r="643">
      <c r="C643" s="33"/>
      <c r="D643" s="33"/>
      <c r="I643" s="33"/>
      <c r="J643" s="33"/>
      <c r="O643" s="33"/>
      <c r="P643" s="33"/>
      <c r="U643" s="33"/>
      <c r="V643" s="33"/>
      <c r="AP643" s="35"/>
      <c r="AQ643" s="35"/>
    </row>
    <row r="644">
      <c r="C644" s="33"/>
      <c r="D644" s="33"/>
      <c r="I644" s="33"/>
      <c r="J644" s="33"/>
      <c r="O644" s="33"/>
      <c r="P644" s="33"/>
      <c r="U644" s="33"/>
      <c r="V644" s="33"/>
      <c r="AP644" s="35"/>
      <c r="AQ644" s="35"/>
    </row>
    <row r="645">
      <c r="C645" s="33"/>
      <c r="D645" s="33"/>
      <c r="I645" s="33"/>
      <c r="J645" s="33"/>
      <c r="O645" s="33"/>
      <c r="P645" s="33"/>
      <c r="U645" s="33"/>
      <c r="V645" s="33"/>
      <c r="AP645" s="35"/>
      <c r="AQ645" s="35"/>
    </row>
    <row r="646">
      <c r="C646" s="33"/>
      <c r="D646" s="33"/>
      <c r="I646" s="33"/>
      <c r="J646" s="33"/>
      <c r="O646" s="33"/>
      <c r="P646" s="33"/>
      <c r="U646" s="33"/>
      <c r="V646" s="33"/>
      <c r="AP646" s="35"/>
      <c r="AQ646" s="35"/>
    </row>
    <row r="647">
      <c r="C647" s="33"/>
      <c r="D647" s="33"/>
      <c r="I647" s="33"/>
      <c r="J647" s="33"/>
      <c r="O647" s="33"/>
      <c r="P647" s="33"/>
      <c r="U647" s="33"/>
      <c r="V647" s="33"/>
      <c r="AP647" s="35"/>
      <c r="AQ647" s="35"/>
    </row>
    <row r="648">
      <c r="C648" s="33"/>
      <c r="D648" s="33"/>
      <c r="I648" s="33"/>
      <c r="J648" s="33"/>
      <c r="O648" s="33"/>
      <c r="P648" s="33"/>
      <c r="U648" s="33"/>
      <c r="V648" s="33"/>
      <c r="AP648" s="35"/>
      <c r="AQ648" s="35"/>
    </row>
    <row r="649">
      <c r="C649" s="33"/>
      <c r="D649" s="33"/>
      <c r="I649" s="33"/>
      <c r="J649" s="33"/>
      <c r="O649" s="33"/>
      <c r="P649" s="33"/>
      <c r="U649" s="33"/>
      <c r="V649" s="33"/>
      <c r="AP649" s="35"/>
      <c r="AQ649" s="35"/>
    </row>
    <row r="650">
      <c r="C650" s="33"/>
      <c r="D650" s="33"/>
      <c r="I650" s="33"/>
      <c r="J650" s="33"/>
      <c r="O650" s="33"/>
      <c r="P650" s="33"/>
      <c r="U650" s="33"/>
      <c r="V650" s="33"/>
      <c r="AP650" s="35"/>
      <c r="AQ650" s="35"/>
    </row>
    <row r="651">
      <c r="C651" s="33"/>
      <c r="D651" s="33"/>
      <c r="I651" s="33"/>
      <c r="J651" s="33"/>
      <c r="O651" s="33"/>
      <c r="P651" s="33"/>
      <c r="U651" s="33"/>
      <c r="V651" s="33"/>
      <c r="AP651" s="35"/>
      <c r="AQ651" s="35"/>
    </row>
    <row r="652">
      <c r="C652" s="33"/>
      <c r="D652" s="33"/>
      <c r="I652" s="33"/>
      <c r="J652" s="33"/>
      <c r="O652" s="33"/>
      <c r="P652" s="33"/>
      <c r="U652" s="33"/>
      <c r="V652" s="33"/>
      <c r="AP652" s="35"/>
      <c r="AQ652" s="35"/>
    </row>
    <row r="653">
      <c r="C653" s="33"/>
      <c r="D653" s="33"/>
      <c r="I653" s="33"/>
      <c r="J653" s="33"/>
      <c r="O653" s="33"/>
      <c r="P653" s="33"/>
      <c r="U653" s="33"/>
      <c r="V653" s="33"/>
      <c r="AP653" s="35"/>
      <c r="AQ653" s="35"/>
    </row>
    <row r="654">
      <c r="C654" s="33"/>
      <c r="D654" s="33"/>
      <c r="I654" s="33"/>
      <c r="J654" s="33"/>
      <c r="O654" s="33"/>
      <c r="P654" s="33"/>
      <c r="U654" s="33"/>
      <c r="V654" s="33"/>
      <c r="AP654" s="35"/>
      <c r="AQ654" s="35"/>
    </row>
    <row r="655">
      <c r="C655" s="33"/>
      <c r="D655" s="33"/>
      <c r="I655" s="33"/>
      <c r="J655" s="33"/>
      <c r="O655" s="33"/>
      <c r="P655" s="33"/>
      <c r="U655" s="33"/>
      <c r="V655" s="33"/>
      <c r="AP655" s="35"/>
      <c r="AQ655" s="35"/>
    </row>
    <row r="656">
      <c r="C656" s="33"/>
      <c r="D656" s="33"/>
      <c r="I656" s="33"/>
      <c r="J656" s="33"/>
      <c r="O656" s="33"/>
      <c r="P656" s="33"/>
      <c r="U656" s="33"/>
      <c r="V656" s="33"/>
      <c r="AP656" s="35"/>
      <c r="AQ656" s="35"/>
    </row>
    <row r="657">
      <c r="C657" s="33"/>
      <c r="D657" s="33"/>
      <c r="I657" s="33"/>
      <c r="J657" s="33"/>
      <c r="O657" s="33"/>
      <c r="P657" s="33"/>
      <c r="U657" s="33"/>
      <c r="V657" s="33"/>
      <c r="AP657" s="35"/>
      <c r="AQ657" s="35"/>
    </row>
    <row r="658">
      <c r="C658" s="33"/>
      <c r="D658" s="33"/>
      <c r="I658" s="33"/>
      <c r="J658" s="33"/>
      <c r="O658" s="33"/>
      <c r="P658" s="33"/>
      <c r="U658" s="33"/>
      <c r="V658" s="33"/>
      <c r="AP658" s="35"/>
      <c r="AQ658" s="35"/>
    </row>
    <row r="659">
      <c r="C659" s="33"/>
      <c r="D659" s="33"/>
      <c r="I659" s="33"/>
      <c r="J659" s="33"/>
      <c r="O659" s="33"/>
      <c r="P659" s="33"/>
      <c r="U659" s="33"/>
      <c r="V659" s="33"/>
      <c r="AP659" s="35"/>
      <c r="AQ659" s="35"/>
    </row>
    <row r="660">
      <c r="C660" s="33"/>
      <c r="D660" s="33"/>
      <c r="I660" s="33"/>
      <c r="J660" s="33"/>
      <c r="O660" s="33"/>
      <c r="P660" s="33"/>
      <c r="U660" s="33"/>
      <c r="V660" s="33"/>
      <c r="AP660" s="35"/>
      <c r="AQ660" s="35"/>
    </row>
    <row r="661">
      <c r="C661" s="33"/>
      <c r="D661" s="33"/>
      <c r="I661" s="33"/>
      <c r="J661" s="33"/>
      <c r="O661" s="33"/>
      <c r="P661" s="33"/>
      <c r="U661" s="33"/>
      <c r="V661" s="33"/>
      <c r="AP661" s="35"/>
      <c r="AQ661" s="35"/>
    </row>
    <row r="662">
      <c r="C662" s="33"/>
      <c r="D662" s="33"/>
      <c r="I662" s="33"/>
      <c r="J662" s="33"/>
      <c r="O662" s="33"/>
      <c r="P662" s="33"/>
      <c r="U662" s="33"/>
      <c r="V662" s="33"/>
      <c r="AP662" s="35"/>
      <c r="AQ662" s="35"/>
    </row>
    <row r="663">
      <c r="C663" s="33"/>
      <c r="D663" s="33"/>
      <c r="I663" s="33"/>
      <c r="J663" s="33"/>
      <c r="O663" s="33"/>
      <c r="P663" s="33"/>
      <c r="U663" s="33"/>
      <c r="V663" s="33"/>
      <c r="AP663" s="35"/>
      <c r="AQ663" s="35"/>
    </row>
    <row r="664">
      <c r="C664" s="33"/>
      <c r="D664" s="33"/>
      <c r="I664" s="33"/>
      <c r="J664" s="33"/>
      <c r="O664" s="33"/>
      <c r="P664" s="33"/>
      <c r="U664" s="33"/>
      <c r="V664" s="33"/>
      <c r="AP664" s="35"/>
      <c r="AQ664" s="35"/>
    </row>
    <row r="665">
      <c r="C665" s="33"/>
      <c r="D665" s="33"/>
      <c r="I665" s="33"/>
      <c r="J665" s="33"/>
      <c r="O665" s="33"/>
      <c r="P665" s="33"/>
      <c r="U665" s="33"/>
      <c r="V665" s="33"/>
      <c r="AP665" s="35"/>
      <c r="AQ665" s="35"/>
    </row>
    <row r="666">
      <c r="C666" s="33"/>
      <c r="D666" s="33"/>
      <c r="I666" s="33"/>
      <c r="J666" s="33"/>
      <c r="O666" s="33"/>
      <c r="P666" s="33"/>
      <c r="U666" s="33"/>
      <c r="V666" s="33"/>
      <c r="AP666" s="35"/>
      <c r="AQ666" s="35"/>
    </row>
    <row r="667">
      <c r="C667" s="33"/>
      <c r="D667" s="33"/>
      <c r="I667" s="33"/>
      <c r="J667" s="33"/>
      <c r="O667" s="33"/>
      <c r="P667" s="33"/>
      <c r="U667" s="33"/>
      <c r="V667" s="33"/>
      <c r="AP667" s="35"/>
      <c r="AQ667" s="35"/>
    </row>
    <row r="668">
      <c r="C668" s="33"/>
      <c r="D668" s="33"/>
      <c r="I668" s="33"/>
      <c r="J668" s="33"/>
      <c r="O668" s="33"/>
      <c r="P668" s="33"/>
      <c r="U668" s="33"/>
      <c r="V668" s="33"/>
      <c r="AP668" s="35"/>
      <c r="AQ668" s="35"/>
    </row>
    <row r="669">
      <c r="C669" s="33"/>
      <c r="D669" s="33"/>
      <c r="I669" s="33"/>
      <c r="J669" s="33"/>
      <c r="O669" s="33"/>
      <c r="P669" s="33"/>
      <c r="U669" s="33"/>
      <c r="V669" s="33"/>
      <c r="AP669" s="35"/>
      <c r="AQ669" s="35"/>
    </row>
    <row r="670">
      <c r="C670" s="33"/>
      <c r="D670" s="33"/>
      <c r="I670" s="33"/>
      <c r="J670" s="33"/>
      <c r="O670" s="33"/>
      <c r="P670" s="33"/>
      <c r="U670" s="33"/>
      <c r="V670" s="33"/>
      <c r="AP670" s="35"/>
      <c r="AQ670" s="35"/>
    </row>
    <row r="671">
      <c r="C671" s="33"/>
      <c r="D671" s="33"/>
      <c r="I671" s="33"/>
      <c r="J671" s="33"/>
      <c r="O671" s="33"/>
      <c r="P671" s="33"/>
      <c r="U671" s="33"/>
      <c r="V671" s="33"/>
      <c r="AP671" s="35"/>
      <c r="AQ671" s="35"/>
    </row>
    <row r="672">
      <c r="C672" s="33"/>
      <c r="D672" s="33"/>
      <c r="I672" s="33"/>
      <c r="J672" s="33"/>
      <c r="O672" s="33"/>
      <c r="P672" s="33"/>
      <c r="U672" s="33"/>
      <c r="V672" s="33"/>
      <c r="AP672" s="35"/>
      <c r="AQ672" s="35"/>
    </row>
    <row r="673">
      <c r="C673" s="33"/>
      <c r="D673" s="33"/>
      <c r="I673" s="33"/>
      <c r="J673" s="33"/>
      <c r="O673" s="33"/>
      <c r="P673" s="33"/>
      <c r="U673" s="33"/>
      <c r="V673" s="33"/>
      <c r="AP673" s="35"/>
      <c r="AQ673" s="35"/>
    </row>
    <row r="674">
      <c r="C674" s="33"/>
      <c r="D674" s="33"/>
      <c r="I674" s="33"/>
      <c r="J674" s="33"/>
      <c r="O674" s="33"/>
      <c r="P674" s="33"/>
      <c r="U674" s="33"/>
      <c r="V674" s="33"/>
      <c r="AP674" s="35"/>
      <c r="AQ674" s="35"/>
    </row>
    <row r="675">
      <c r="C675" s="33"/>
      <c r="D675" s="33"/>
      <c r="I675" s="33"/>
      <c r="J675" s="33"/>
      <c r="O675" s="33"/>
      <c r="P675" s="33"/>
      <c r="U675" s="33"/>
      <c r="V675" s="33"/>
      <c r="AP675" s="35"/>
      <c r="AQ675" s="35"/>
    </row>
    <row r="676">
      <c r="C676" s="33"/>
      <c r="D676" s="33"/>
      <c r="I676" s="33"/>
      <c r="J676" s="33"/>
      <c r="O676" s="33"/>
      <c r="P676" s="33"/>
      <c r="U676" s="33"/>
      <c r="V676" s="33"/>
      <c r="AP676" s="35"/>
      <c r="AQ676" s="35"/>
    </row>
    <row r="677">
      <c r="C677" s="33"/>
      <c r="D677" s="33"/>
      <c r="I677" s="33"/>
      <c r="J677" s="33"/>
      <c r="O677" s="33"/>
      <c r="P677" s="33"/>
      <c r="U677" s="33"/>
      <c r="V677" s="33"/>
      <c r="AP677" s="35"/>
      <c r="AQ677" s="35"/>
    </row>
    <row r="678">
      <c r="C678" s="33"/>
      <c r="D678" s="33"/>
      <c r="I678" s="33"/>
      <c r="J678" s="33"/>
      <c r="O678" s="33"/>
      <c r="P678" s="33"/>
      <c r="U678" s="33"/>
      <c r="V678" s="33"/>
      <c r="AP678" s="35"/>
      <c r="AQ678" s="35"/>
    </row>
    <row r="679">
      <c r="C679" s="33"/>
      <c r="D679" s="33"/>
      <c r="I679" s="33"/>
      <c r="J679" s="33"/>
      <c r="O679" s="33"/>
      <c r="P679" s="33"/>
      <c r="U679" s="33"/>
      <c r="V679" s="33"/>
      <c r="AP679" s="35"/>
      <c r="AQ679" s="35"/>
    </row>
    <row r="680">
      <c r="C680" s="33"/>
      <c r="D680" s="33"/>
      <c r="I680" s="33"/>
      <c r="J680" s="33"/>
      <c r="O680" s="33"/>
      <c r="P680" s="33"/>
      <c r="U680" s="33"/>
      <c r="V680" s="33"/>
      <c r="AP680" s="35"/>
      <c r="AQ680" s="35"/>
    </row>
    <row r="681">
      <c r="C681" s="33"/>
      <c r="D681" s="33"/>
      <c r="I681" s="33"/>
      <c r="J681" s="33"/>
      <c r="O681" s="33"/>
      <c r="P681" s="33"/>
      <c r="U681" s="33"/>
      <c r="V681" s="33"/>
      <c r="AP681" s="35"/>
      <c r="AQ681" s="35"/>
    </row>
    <row r="682">
      <c r="C682" s="33"/>
      <c r="D682" s="33"/>
      <c r="I682" s="33"/>
      <c r="J682" s="33"/>
      <c r="O682" s="33"/>
      <c r="P682" s="33"/>
      <c r="U682" s="33"/>
      <c r="V682" s="33"/>
      <c r="AP682" s="35"/>
      <c r="AQ682" s="35"/>
    </row>
    <row r="683">
      <c r="C683" s="33"/>
      <c r="D683" s="33"/>
      <c r="I683" s="33"/>
      <c r="J683" s="33"/>
      <c r="O683" s="33"/>
      <c r="P683" s="33"/>
      <c r="U683" s="33"/>
      <c r="V683" s="33"/>
      <c r="AP683" s="35"/>
      <c r="AQ683" s="35"/>
    </row>
    <row r="684">
      <c r="C684" s="33"/>
      <c r="D684" s="33"/>
      <c r="I684" s="33"/>
      <c r="J684" s="33"/>
      <c r="O684" s="33"/>
      <c r="P684" s="33"/>
      <c r="U684" s="33"/>
      <c r="V684" s="33"/>
      <c r="AP684" s="35"/>
      <c r="AQ684" s="35"/>
    </row>
    <row r="685">
      <c r="C685" s="33"/>
      <c r="D685" s="33"/>
      <c r="I685" s="33"/>
      <c r="J685" s="33"/>
      <c r="O685" s="33"/>
      <c r="P685" s="33"/>
      <c r="U685" s="33"/>
      <c r="V685" s="33"/>
      <c r="AP685" s="35"/>
      <c r="AQ685" s="35"/>
    </row>
    <row r="686">
      <c r="C686" s="33"/>
      <c r="D686" s="33"/>
      <c r="I686" s="33"/>
      <c r="J686" s="33"/>
      <c r="O686" s="33"/>
      <c r="P686" s="33"/>
      <c r="U686" s="33"/>
      <c r="V686" s="33"/>
      <c r="AP686" s="35"/>
      <c r="AQ686" s="35"/>
    </row>
    <row r="687">
      <c r="C687" s="33"/>
      <c r="D687" s="33"/>
      <c r="I687" s="33"/>
      <c r="J687" s="33"/>
      <c r="O687" s="33"/>
      <c r="P687" s="33"/>
      <c r="U687" s="33"/>
      <c r="V687" s="33"/>
      <c r="AP687" s="35"/>
      <c r="AQ687" s="35"/>
    </row>
    <row r="688">
      <c r="C688" s="33"/>
      <c r="D688" s="33"/>
      <c r="I688" s="33"/>
      <c r="J688" s="33"/>
      <c r="O688" s="33"/>
      <c r="P688" s="33"/>
      <c r="U688" s="33"/>
      <c r="V688" s="33"/>
      <c r="AP688" s="35"/>
      <c r="AQ688" s="35"/>
    </row>
    <row r="689">
      <c r="C689" s="33"/>
      <c r="D689" s="33"/>
      <c r="I689" s="33"/>
      <c r="J689" s="33"/>
      <c r="O689" s="33"/>
      <c r="P689" s="33"/>
      <c r="U689" s="33"/>
      <c r="V689" s="33"/>
      <c r="AP689" s="35"/>
      <c r="AQ689" s="35"/>
    </row>
    <row r="690">
      <c r="C690" s="33"/>
      <c r="D690" s="33"/>
      <c r="I690" s="33"/>
      <c r="J690" s="33"/>
      <c r="O690" s="33"/>
      <c r="P690" s="33"/>
      <c r="U690" s="33"/>
      <c r="V690" s="33"/>
      <c r="AP690" s="35"/>
      <c r="AQ690" s="35"/>
    </row>
    <row r="691">
      <c r="C691" s="33"/>
      <c r="D691" s="33"/>
      <c r="I691" s="33"/>
      <c r="J691" s="33"/>
      <c r="O691" s="33"/>
      <c r="P691" s="33"/>
      <c r="U691" s="33"/>
      <c r="V691" s="33"/>
      <c r="AP691" s="35"/>
      <c r="AQ691" s="35"/>
    </row>
    <row r="692">
      <c r="C692" s="33"/>
      <c r="D692" s="33"/>
      <c r="I692" s="33"/>
      <c r="J692" s="33"/>
      <c r="O692" s="33"/>
      <c r="P692" s="33"/>
      <c r="U692" s="33"/>
      <c r="V692" s="33"/>
      <c r="AP692" s="35"/>
      <c r="AQ692" s="35"/>
    </row>
    <row r="693">
      <c r="C693" s="33"/>
      <c r="D693" s="33"/>
      <c r="I693" s="33"/>
      <c r="J693" s="33"/>
      <c r="O693" s="33"/>
      <c r="P693" s="33"/>
      <c r="U693" s="33"/>
      <c r="V693" s="33"/>
      <c r="AP693" s="35"/>
      <c r="AQ693" s="35"/>
    </row>
    <row r="694">
      <c r="C694" s="33"/>
      <c r="D694" s="33"/>
      <c r="I694" s="33"/>
      <c r="J694" s="33"/>
      <c r="O694" s="33"/>
      <c r="P694" s="33"/>
      <c r="U694" s="33"/>
      <c r="V694" s="33"/>
      <c r="AP694" s="35"/>
      <c r="AQ694" s="35"/>
    </row>
    <row r="695">
      <c r="C695" s="33"/>
      <c r="D695" s="33"/>
      <c r="I695" s="33"/>
      <c r="J695" s="33"/>
      <c r="O695" s="33"/>
      <c r="P695" s="33"/>
      <c r="U695" s="33"/>
      <c r="V695" s="33"/>
      <c r="AP695" s="35"/>
      <c r="AQ695" s="35"/>
    </row>
    <row r="696">
      <c r="C696" s="33"/>
      <c r="D696" s="33"/>
      <c r="I696" s="33"/>
      <c r="J696" s="33"/>
      <c r="O696" s="33"/>
      <c r="P696" s="33"/>
      <c r="U696" s="33"/>
      <c r="V696" s="33"/>
      <c r="AP696" s="35"/>
      <c r="AQ696" s="35"/>
    </row>
    <row r="697">
      <c r="C697" s="33"/>
      <c r="D697" s="33"/>
      <c r="I697" s="33"/>
      <c r="J697" s="33"/>
      <c r="O697" s="33"/>
      <c r="P697" s="33"/>
      <c r="U697" s="33"/>
      <c r="V697" s="33"/>
      <c r="AP697" s="35"/>
      <c r="AQ697" s="35"/>
    </row>
    <row r="698">
      <c r="C698" s="33"/>
      <c r="D698" s="33"/>
      <c r="I698" s="33"/>
      <c r="J698" s="33"/>
      <c r="O698" s="33"/>
      <c r="P698" s="33"/>
      <c r="U698" s="33"/>
      <c r="V698" s="33"/>
      <c r="AP698" s="35"/>
      <c r="AQ698" s="35"/>
    </row>
    <row r="699">
      <c r="C699" s="33"/>
      <c r="D699" s="33"/>
      <c r="I699" s="33"/>
      <c r="J699" s="33"/>
      <c r="O699" s="33"/>
      <c r="P699" s="33"/>
      <c r="U699" s="33"/>
      <c r="V699" s="33"/>
      <c r="AP699" s="35"/>
      <c r="AQ699" s="35"/>
    </row>
    <row r="700">
      <c r="C700" s="33"/>
      <c r="D700" s="33"/>
      <c r="I700" s="33"/>
      <c r="J700" s="33"/>
      <c r="O700" s="33"/>
      <c r="P700" s="33"/>
      <c r="U700" s="33"/>
      <c r="V700" s="33"/>
      <c r="AP700" s="35"/>
      <c r="AQ700" s="35"/>
    </row>
    <row r="701">
      <c r="C701" s="33"/>
      <c r="D701" s="33"/>
      <c r="I701" s="33"/>
      <c r="J701" s="33"/>
      <c r="O701" s="33"/>
      <c r="P701" s="33"/>
      <c r="U701" s="33"/>
      <c r="V701" s="33"/>
      <c r="AP701" s="35"/>
      <c r="AQ701" s="35"/>
    </row>
    <row r="702">
      <c r="C702" s="33"/>
      <c r="D702" s="33"/>
      <c r="I702" s="33"/>
      <c r="J702" s="33"/>
      <c r="O702" s="33"/>
      <c r="P702" s="33"/>
      <c r="U702" s="33"/>
      <c r="V702" s="33"/>
      <c r="AP702" s="35"/>
      <c r="AQ702" s="35"/>
    </row>
    <row r="703">
      <c r="C703" s="33"/>
      <c r="D703" s="33"/>
      <c r="I703" s="33"/>
      <c r="J703" s="33"/>
      <c r="O703" s="33"/>
      <c r="P703" s="33"/>
      <c r="U703" s="33"/>
      <c r="V703" s="33"/>
      <c r="AP703" s="35"/>
      <c r="AQ703" s="35"/>
    </row>
    <row r="704">
      <c r="C704" s="33"/>
      <c r="D704" s="33"/>
      <c r="I704" s="33"/>
      <c r="J704" s="33"/>
      <c r="O704" s="33"/>
      <c r="P704" s="33"/>
      <c r="U704" s="33"/>
      <c r="V704" s="33"/>
      <c r="AP704" s="35"/>
      <c r="AQ704" s="35"/>
    </row>
    <row r="705">
      <c r="C705" s="33"/>
      <c r="D705" s="33"/>
      <c r="I705" s="33"/>
      <c r="J705" s="33"/>
      <c r="O705" s="33"/>
      <c r="P705" s="33"/>
      <c r="U705" s="33"/>
      <c r="V705" s="33"/>
      <c r="AP705" s="35"/>
      <c r="AQ705" s="35"/>
    </row>
    <row r="706">
      <c r="C706" s="33"/>
      <c r="D706" s="33"/>
      <c r="I706" s="33"/>
      <c r="J706" s="33"/>
      <c r="O706" s="33"/>
      <c r="P706" s="33"/>
      <c r="U706" s="33"/>
      <c r="V706" s="33"/>
      <c r="AP706" s="35"/>
      <c r="AQ706" s="35"/>
    </row>
    <row r="707">
      <c r="C707" s="33"/>
      <c r="D707" s="33"/>
      <c r="I707" s="33"/>
      <c r="J707" s="33"/>
      <c r="O707" s="33"/>
      <c r="P707" s="33"/>
      <c r="U707" s="33"/>
      <c r="V707" s="33"/>
      <c r="AP707" s="35"/>
      <c r="AQ707" s="35"/>
    </row>
    <row r="708">
      <c r="C708" s="33"/>
      <c r="D708" s="33"/>
      <c r="I708" s="33"/>
      <c r="J708" s="33"/>
      <c r="O708" s="33"/>
      <c r="P708" s="33"/>
      <c r="U708" s="33"/>
      <c r="V708" s="33"/>
      <c r="AP708" s="35"/>
      <c r="AQ708" s="35"/>
    </row>
    <row r="709">
      <c r="C709" s="33"/>
      <c r="D709" s="33"/>
      <c r="I709" s="33"/>
      <c r="J709" s="33"/>
      <c r="O709" s="33"/>
      <c r="P709" s="33"/>
      <c r="U709" s="33"/>
      <c r="V709" s="33"/>
      <c r="AP709" s="35"/>
      <c r="AQ709" s="35"/>
    </row>
    <row r="710">
      <c r="C710" s="33"/>
      <c r="D710" s="33"/>
      <c r="I710" s="33"/>
      <c r="J710" s="33"/>
      <c r="O710" s="33"/>
      <c r="P710" s="33"/>
      <c r="U710" s="33"/>
      <c r="V710" s="33"/>
      <c r="AP710" s="35"/>
      <c r="AQ710" s="35"/>
    </row>
    <row r="711">
      <c r="C711" s="33"/>
      <c r="D711" s="33"/>
      <c r="I711" s="33"/>
      <c r="J711" s="33"/>
      <c r="O711" s="33"/>
      <c r="P711" s="33"/>
      <c r="U711" s="33"/>
      <c r="V711" s="33"/>
      <c r="AP711" s="35"/>
      <c r="AQ711" s="35"/>
    </row>
    <row r="712">
      <c r="C712" s="33"/>
      <c r="D712" s="33"/>
      <c r="I712" s="33"/>
      <c r="J712" s="33"/>
      <c r="O712" s="33"/>
      <c r="P712" s="33"/>
      <c r="U712" s="33"/>
      <c r="V712" s="33"/>
      <c r="AP712" s="35"/>
      <c r="AQ712" s="35"/>
    </row>
    <row r="713">
      <c r="C713" s="33"/>
      <c r="D713" s="33"/>
      <c r="I713" s="33"/>
      <c r="J713" s="33"/>
      <c r="O713" s="33"/>
      <c r="P713" s="33"/>
      <c r="U713" s="33"/>
      <c r="V713" s="33"/>
      <c r="AP713" s="35"/>
      <c r="AQ713" s="35"/>
    </row>
    <row r="714">
      <c r="C714" s="33"/>
      <c r="D714" s="33"/>
      <c r="I714" s="33"/>
      <c r="J714" s="33"/>
      <c r="O714" s="33"/>
      <c r="P714" s="33"/>
      <c r="U714" s="33"/>
      <c r="V714" s="33"/>
      <c r="AP714" s="35"/>
      <c r="AQ714" s="35"/>
    </row>
    <row r="715">
      <c r="C715" s="33"/>
      <c r="D715" s="33"/>
      <c r="I715" s="33"/>
      <c r="J715" s="33"/>
      <c r="O715" s="33"/>
      <c r="P715" s="33"/>
      <c r="U715" s="33"/>
      <c r="V715" s="33"/>
      <c r="AP715" s="35"/>
      <c r="AQ715" s="35"/>
    </row>
    <row r="716">
      <c r="C716" s="33"/>
      <c r="D716" s="33"/>
      <c r="I716" s="33"/>
      <c r="J716" s="33"/>
      <c r="O716" s="33"/>
      <c r="P716" s="33"/>
      <c r="U716" s="33"/>
      <c r="V716" s="33"/>
      <c r="AP716" s="35"/>
      <c r="AQ716" s="35"/>
    </row>
    <row r="717">
      <c r="C717" s="33"/>
      <c r="D717" s="33"/>
      <c r="I717" s="33"/>
      <c r="J717" s="33"/>
      <c r="O717" s="33"/>
      <c r="P717" s="33"/>
      <c r="U717" s="33"/>
      <c r="V717" s="33"/>
      <c r="AP717" s="35"/>
      <c r="AQ717" s="35"/>
    </row>
    <row r="718">
      <c r="C718" s="33"/>
      <c r="D718" s="33"/>
      <c r="I718" s="33"/>
      <c r="J718" s="33"/>
      <c r="O718" s="33"/>
      <c r="P718" s="33"/>
      <c r="U718" s="33"/>
      <c r="V718" s="33"/>
      <c r="AP718" s="35"/>
      <c r="AQ718" s="35"/>
    </row>
    <row r="719">
      <c r="C719" s="33"/>
      <c r="D719" s="33"/>
      <c r="I719" s="33"/>
      <c r="J719" s="33"/>
      <c r="O719" s="33"/>
      <c r="P719" s="33"/>
      <c r="U719" s="33"/>
      <c r="V719" s="33"/>
      <c r="AP719" s="35"/>
      <c r="AQ719" s="35"/>
    </row>
    <row r="720">
      <c r="C720" s="33"/>
      <c r="D720" s="33"/>
      <c r="I720" s="33"/>
      <c r="J720" s="33"/>
      <c r="O720" s="33"/>
      <c r="P720" s="33"/>
      <c r="U720" s="33"/>
      <c r="V720" s="33"/>
      <c r="AP720" s="35"/>
      <c r="AQ720" s="35"/>
    </row>
    <row r="721">
      <c r="C721" s="33"/>
      <c r="D721" s="33"/>
      <c r="I721" s="33"/>
      <c r="J721" s="33"/>
      <c r="O721" s="33"/>
      <c r="P721" s="33"/>
      <c r="U721" s="33"/>
      <c r="V721" s="33"/>
      <c r="AP721" s="35"/>
      <c r="AQ721" s="35"/>
    </row>
    <row r="722">
      <c r="C722" s="33"/>
      <c r="D722" s="33"/>
      <c r="I722" s="33"/>
      <c r="J722" s="33"/>
      <c r="O722" s="33"/>
      <c r="P722" s="33"/>
      <c r="U722" s="33"/>
      <c r="V722" s="33"/>
      <c r="AP722" s="35"/>
      <c r="AQ722" s="35"/>
    </row>
    <row r="723">
      <c r="C723" s="33"/>
      <c r="D723" s="33"/>
      <c r="I723" s="33"/>
      <c r="J723" s="33"/>
      <c r="O723" s="33"/>
      <c r="P723" s="33"/>
      <c r="U723" s="33"/>
      <c r="V723" s="33"/>
      <c r="AP723" s="35"/>
      <c r="AQ723" s="35"/>
    </row>
    <row r="724">
      <c r="C724" s="33"/>
      <c r="D724" s="33"/>
      <c r="I724" s="33"/>
      <c r="J724" s="33"/>
      <c r="O724" s="33"/>
      <c r="P724" s="33"/>
      <c r="U724" s="33"/>
      <c r="V724" s="33"/>
      <c r="AP724" s="35"/>
      <c r="AQ724" s="35"/>
    </row>
    <row r="725">
      <c r="C725" s="33"/>
      <c r="D725" s="33"/>
      <c r="I725" s="33"/>
      <c r="J725" s="33"/>
      <c r="O725" s="33"/>
      <c r="P725" s="33"/>
      <c r="U725" s="33"/>
      <c r="V725" s="33"/>
      <c r="AP725" s="35"/>
      <c r="AQ725" s="35"/>
    </row>
    <row r="726">
      <c r="C726" s="33"/>
      <c r="D726" s="33"/>
      <c r="I726" s="33"/>
      <c r="J726" s="33"/>
      <c r="O726" s="33"/>
      <c r="P726" s="33"/>
      <c r="U726" s="33"/>
      <c r="V726" s="33"/>
      <c r="AP726" s="35"/>
      <c r="AQ726" s="35"/>
    </row>
    <row r="727">
      <c r="C727" s="33"/>
      <c r="D727" s="33"/>
      <c r="I727" s="33"/>
      <c r="J727" s="33"/>
      <c r="O727" s="33"/>
      <c r="P727" s="33"/>
      <c r="U727" s="33"/>
      <c r="V727" s="33"/>
      <c r="AP727" s="35"/>
      <c r="AQ727" s="35"/>
    </row>
    <row r="728">
      <c r="C728" s="33"/>
      <c r="D728" s="33"/>
      <c r="I728" s="33"/>
      <c r="J728" s="33"/>
      <c r="O728" s="33"/>
      <c r="P728" s="33"/>
      <c r="U728" s="33"/>
      <c r="V728" s="33"/>
      <c r="AP728" s="35"/>
      <c r="AQ728" s="35"/>
    </row>
    <row r="729">
      <c r="C729" s="33"/>
      <c r="D729" s="33"/>
      <c r="I729" s="33"/>
      <c r="J729" s="33"/>
      <c r="O729" s="33"/>
      <c r="P729" s="33"/>
      <c r="U729" s="33"/>
      <c r="V729" s="33"/>
      <c r="AP729" s="35"/>
      <c r="AQ729" s="35"/>
    </row>
    <row r="730">
      <c r="C730" s="33"/>
      <c r="D730" s="33"/>
      <c r="I730" s="33"/>
      <c r="J730" s="33"/>
      <c r="O730" s="33"/>
      <c r="P730" s="33"/>
      <c r="U730" s="33"/>
      <c r="V730" s="33"/>
      <c r="AP730" s="35"/>
      <c r="AQ730" s="35"/>
    </row>
    <row r="731">
      <c r="C731" s="33"/>
      <c r="D731" s="33"/>
      <c r="I731" s="33"/>
      <c r="J731" s="33"/>
      <c r="O731" s="33"/>
      <c r="P731" s="33"/>
      <c r="U731" s="33"/>
      <c r="V731" s="33"/>
      <c r="AP731" s="35"/>
      <c r="AQ731" s="35"/>
    </row>
    <row r="732">
      <c r="C732" s="33"/>
      <c r="D732" s="33"/>
      <c r="I732" s="33"/>
      <c r="J732" s="33"/>
      <c r="O732" s="33"/>
      <c r="P732" s="33"/>
      <c r="U732" s="33"/>
      <c r="V732" s="33"/>
      <c r="AP732" s="35"/>
      <c r="AQ732" s="35"/>
    </row>
    <row r="733">
      <c r="C733" s="33"/>
      <c r="D733" s="33"/>
      <c r="I733" s="33"/>
      <c r="J733" s="33"/>
      <c r="O733" s="33"/>
      <c r="P733" s="33"/>
      <c r="U733" s="33"/>
      <c r="V733" s="33"/>
      <c r="AP733" s="35"/>
      <c r="AQ733" s="35"/>
    </row>
    <row r="734">
      <c r="C734" s="33"/>
      <c r="D734" s="33"/>
      <c r="I734" s="33"/>
      <c r="J734" s="33"/>
      <c r="O734" s="33"/>
      <c r="P734" s="33"/>
      <c r="U734" s="33"/>
      <c r="V734" s="33"/>
      <c r="AP734" s="35"/>
      <c r="AQ734" s="35"/>
    </row>
    <row r="735">
      <c r="C735" s="33"/>
      <c r="D735" s="33"/>
      <c r="I735" s="33"/>
      <c r="J735" s="33"/>
      <c r="O735" s="33"/>
      <c r="P735" s="33"/>
      <c r="U735" s="33"/>
      <c r="V735" s="33"/>
      <c r="AP735" s="35"/>
      <c r="AQ735" s="35"/>
    </row>
    <row r="736">
      <c r="C736" s="33"/>
      <c r="D736" s="33"/>
      <c r="I736" s="33"/>
      <c r="J736" s="33"/>
      <c r="O736" s="33"/>
      <c r="P736" s="33"/>
      <c r="U736" s="33"/>
      <c r="V736" s="33"/>
      <c r="AP736" s="35"/>
      <c r="AQ736" s="35"/>
    </row>
    <row r="737">
      <c r="C737" s="33"/>
      <c r="D737" s="33"/>
      <c r="I737" s="33"/>
      <c r="J737" s="33"/>
      <c r="O737" s="33"/>
      <c r="P737" s="33"/>
      <c r="U737" s="33"/>
      <c r="V737" s="33"/>
      <c r="AP737" s="35"/>
      <c r="AQ737" s="35"/>
    </row>
    <row r="738">
      <c r="C738" s="33"/>
      <c r="D738" s="33"/>
      <c r="I738" s="33"/>
      <c r="J738" s="33"/>
      <c r="O738" s="33"/>
      <c r="P738" s="33"/>
      <c r="U738" s="33"/>
      <c r="V738" s="33"/>
      <c r="AP738" s="35"/>
      <c r="AQ738" s="35"/>
    </row>
    <row r="739">
      <c r="C739" s="33"/>
      <c r="D739" s="33"/>
      <c r="I739" s="33"/>
      <c r="J739" s="33"/>
      <c r="O739" s="33"/>
      <c r="P739" s="33"/>
      <c r="U739" s="33"/>
      <c r="V739" s="33"/>
      <c r="AP739" s="35"/>
      <c r="AQ739" s="35"/>
    </row>
    <row r="740">
      <c r="C740" s="33"/>
      <c r="D740" s="33"/>
      <c r="I740" s="33"/>
      <c r="J740" s="33"/>
      <c r="O740" s="33"/>
      <c r="P740" s="33"/>
      <c r="U740" s="33"/>
      <c r="V740" s="33"/>
      <c r="AP740" s="35"/>
      <c r="AQ740" s="35"/>
    </row>
    <row r="741">
      <c r="C741" s="33"/>
      <c r="D741" s="33"/>
      <c r="I741" s="33"/>
      <c r="J741" s="33"/>
      <c r="O741" s="33"/>
      <c r="P741" s="33"/>
      <c r="U741" s="33"/>
      <c r="V741" s="33"/>
      <c r="AP741" s="35"/>
      <c r="AQ741" s="35"/>
    </row>
    <row r="742">
      <c r="C742" s="33"/>
      <c r="D742" s="33"/>
      <c r="I742" s="33"/>
      <c r="J742" s="33"/>
      <c r="O742" s="33"/>
      <c r="P742" s="33"/>
      <c r="U742" s="33"/>
      <c r="V742" s="33"/>
      <c r="AP742" s="35"/>
      <c r="AQ742" s="35"/>
    </row>
    <row r="743">
      <c r="C743" s="33"/>
      <c r="D743" s="33"/>
      <c r="I743" s="33"/>
      <c r="J743" s="33"/>
      <c r="O743" s="33"/>
      <c r="P743" s="33"/>
      <c r="U743" s="33"/>
      <c r="V743" s="33"/>
      <c r="AP743" s="35"/>
      <c r="AQ743" s="35"/>
    </row>
    <row r="744">
      <c r="C744" s="33"/>
      <c r="D744" s="33"/>
      <c r="I744" s="33"/>
      <c r="J744" s="33"/>
      <c r="O744" s="33"/>
      <c r="P744" s="33"/>
      <c r="U744" s="33"/>
      <c r="V744" s="33"/>
      <c r="AP744" s="35"/>
      <c r="AQ744" s="35"/>
    </row>
    <row r="745">
      <c r="C745" s="33"/>
      <c r="D745" s="33"/>
      <c r="I745" s="33"/>
      <c r="J745" s="33"/>
      <c r="O745" s="33"/>
      <c r="P745" s="33"/>
      <c r="U745" s="33"/>
      <c r="V745" s="33"/>
      <c r="AP745" s="35"/>
      <c r="AQ745" s="35"/>
    </row>
    <row r="746">
      <c r="C746" s="33"/>
      <c r="D746" s="33"/>
      <c r="I746" s="33"/>
      <c r="J746" s="33"/>
      <c r="O746" s="33"/>
      <c r="P746" s="33"/>
      <c r="U746" s="33"/>
      <c r="V746" s="33"/>
      <c r="AP746" s="35"/>
      <c r="AQ746" s="35"/>
    </row>
    <row r="747">
      <c r="C747" s="33"/>
      <c r="D747" s="33"/>
      <c r="I747" s="33"/>
      <c r="J747" s="33"/>
      <c r="O747" s="33"/>
      <c r="P747" s="33"/>
      <c r="U747" s="33"/>
      <c r="V747" s="33"/>
      <c r="AP747" s="35"/>
      <c r="AQ747" s="35"/>
    </row>
    <row r="748">
      <c r="C748" s="33"/>
      <c r="D748" s="33"/>
      <c r="I748" s="33"/>
      <c r="J748" s="33"/>
      <c r="O748" s="33"/>
      <c r="P748" s="33"/>
      <c r="U748" s="33"/>
      <c r="V748" s="33"/>
      <c r="AP748" s="35"/>
      <c r="AQ748" s="35"/>
    </row>
    <row r="749">
      <c r="C749" s="33"/>
      <c r="D749" s="33"/>
      <c r="I749" s="33"/>
      <c r="J749" s="33"/>
      <c r="O749" s="33"/>
      <c r="P749" s="33"/>
      <c r="U749" s="33"/>
      <c r="V749" s="33"/>
      <c r="AP749" s="35"/>
      <c r="AQ749" s="35"/>
    </row>
    <row r="750">
      <c r="C750" s="33"/>
      <c r="D750" s="33"/>
      <c r="I750" s="33"/>
      <c r="J750" s="33"/>
      <c r="O750" s="33"/>
      <c r="P750" s="33"/>
      <c r="U750" s="33"/>
      <c r="V750" s="33"/>
      <c r="AP750" s="35"/>
      <c r="AQ750" s="35"/>
    </row>
    <row r="751">
      <c r="C751" s="33"/>
      <c r="D751" s="33"/>
      <c r="I751" s="33"/>
      <c r="J751" s="33"/>
      <c r="O751" s="33"/>
      <c r="P751" s="33"/>
      <c r="U751" s="33"/>
      <c r="V751" s="33"/>
      <c r="AP751" s="35"/>
      <c r="AQ751" s="35"/>
    </row>
    <row r="752">
      <c r="C752" s="33"/>
      <c r="D752" s="33"/>
      <c r="I752" s="33"/>
      <c r="J752" s="33"/>
      <c r="O752" s="33"/>
      <c r="P752" s="33"/>
      <c r="U752" s="33"/>
      <c r="V752" s="33"/>
      <c r="AP752" s="35"/>
      <c r="AQ752" s="35"/>
    </row>
    <row r="753">
      <c r="C753" s="33"/>
      <c r="D753" s="33"/>
      <c r="I753" s="33"/>
      <c r="J753" s="33"/>
      <c r="O753" s="33"/>
      <c r="P753" s="33"/>
      <c r="U753" s="33"/>
      <c r="V753" s="33"/>
      <c r="AP753" s="35"/>
      <c r="AQ753" s="35"/>
    </row>
    <row r="754">
      <c r="C754" s="33"/>
      <c r="D754" s="33"/>
      <c r="I754" s="33"/>
      <c r="J754" s="33"/>
      <c r="O754" s="33"/>
      <c r="P754" s="33"/>
      <c r="U754" s="33"/>
      <c r="V754" s="33"/>
      <c r="AP754" s="35"/>
      <c r="AQ754" s="35"/>
    </row>
    <row r="755">
      <c r="C755" s="33"/>
      <c r="D755" s="33"/>
      <c r="I755" s="33"/>
      <c r="J755" s="33"/>
      <c r="O755" s="33"/>
      <c r="P755" s="33"/>
      <c r="U755" s="33"/>
      <c r="V755" s="33"/>
      <c r="AP755" s="35"/>
      <c r="AQ755" s="35"/>
    </row>
    <row r="756">
      <c r="C756" s="33"/>
      <c r="D756" s="33"/>
      <c r="I756" s="33"/>
      <c r="J756" s="33"/>
      <c r="O756" s="33"/>
      <c r="P756" s="33"/>
      <c r="U756" s="33"/>
      <c r="V756" s="33"/>
      <c r="AP756" s="35"/>
      <c r="AQ756" s="35"/>
    </row>
    <row r="757">
      <c r="C757" s="33"/>
      <c r="D757" s="33"/>
      <c r="I757" s="33"/>
      <c r="J757" s="33"/>
      <c r="O757" s="33"/>
      <c r="P757" s="33"/>
      <c r="U757" s="33"/>
      <c r="V757" s="33"/>
      <c r="AP757" s="35"/>
      <c r="AQ757" s="35"/>
    </row>
    <row r="758">
      <c r="C758" s="33"/>
      <c r="D758" s="33"/>
      <c r="I758" s="33"/>
      <c r="J758" s="33"/>
      <c r="O758" s="33"/>
      <c r="P758" s="33"/>
      <c r="U758" s="33"/>
      <c r="V758" s="33"/>
      <c r="AP758" s="35"/>
      <c r="AQ758" s="35"/>
    </row>
    <row r="759">
      <c r="C759" s="33"/>
      <c r="D759" s="33"/>
      <c r="I759" s="33"/>
      <c r="J759" s="33"/>
      <c r="O759" s="33"/>
      <c r="P759" s="33"/>
      <c r="U759" s="33"/>
      <c r="V759" s="33"/>
      <c r="AP759" s="35"/>
      <c r="AQ759" s="35"/>
    </row>
    <row r="760">
      <c r="C760" s="33"/>
      <c r="D760" s="33"/>
      <c r="I760" s="33"/>
      <c r="J760" s="33"/>
      <c r="O760" s="33"/>
      <c r="P760" s="33"/>
      <c r="U760" s="33"/>
      <c r="V760" s="33"/>
      <c r="AP760" s="35"/>
      <c r="AQ760" s="35"/>
    </row>
    <row r="761">
      <c r="C761" s="33"/>
      <c r="D761" s="33"/>
      <c r="I761" s="33"/>
      <c r="J761" s="33"/>
      <c r="O761" s="33"/>
      <c r="P761" s="33"/>
      <c r="U761" s="33"/>
      <c r="V761" s="33"/>
      <c r="AP761" s="35"/>
      <c r="AQ761" s="35"/>
    </row>
    <row r="762">
      <c r="C762" s="33"/>
      <c r="D762" s="33"/>
      <c r="I762" s="33"/>
      <c r="J762" s="33"/>
      <c r="O762" s="33"/>
      <c r="P762" s="33"/>
      <c r="U762" s="33"/>
      <c r="V762" s="33"/>
      <c r="AP762" s="35"/>
      <c r="AQ762" s="35"/>
    </row>
    <row r="763">
      <c r="C763" s="33"/>
      <c r="D763" s="33"/>
      <c r="I763" s="33"/>
      <c r="J763" s="33"/>
      <c r="O763" s="33"/>
      <c r="P763" s="33"/>
      <c r="U763" s="33"/>
      <c r="V763" s="33"/>
      <c r="AP763" s="35"/>
      <c r="AQ763" s="35"/>
    </row>
    <row r="764">
      <c r="C764" s="33"/>
      <c r="D764" s="33"/>
      <c r="I764" s="33"/>
      <c r="J764" s="33"/>
      <c r="O764" s="33"/>
      <c r="P764" s="33"/>
      <c r="U764" s="33"/>
      <c r="V764" s="33"/>
      <c r="AP764" s="35"/>
      <c r="AQ764" s="35"/>
    </row>
    <row r="765">
      <c r="C765" s="33"/>
      <c r="D765" s="33"/>
      <c r="I765" s="33"/>
      <c r="J765" s="33"/>
      <c r="O765" s="33"/>
      <c r="P765" s="33"/>
      <c r="U765" s="33"/>
      <c r="V765" s="33"/>
      <c r="AP765" s="35"/>
      <c r="AQ765" s="35"/>
    </row>
    <row r="766">
      <c r="C766" s="33"/>
      <c r="D766" s="33"/>
      <c r="I766" s="33"/>
      <c r="J766" s="33"/>
      <c r="O766" s="33"/>
      <c r="P766" s="33"/>
      <c r="U766" s="33"/>
      <c r="V766" s="33"/>
      <c r="AP766" s="35"/>
      <c r="AQ766" s="35"/>
    </row>
    <row r="767">
      <c r="C767" s="33"/>
      <c r="D767" s="33"/>
      <c r="I767" s="33"/>
      <c r="J767" s="33"/>
      <c r="O767" s="33"/>
      <c r="P767" s="33"/>
      <c r="U767" s="33"/>
      <c r="V767" s="33"/>
      <c r="AP767" s="35"/>
      <c r="AQ767" s="35"/>
    </row>
    <row r="768">
      <c r="C768" s="33"/>
      <c r="D768" s="33"/>
      <c r="I768" s="33"/>
      <c r="J768" s="33"/>
      <c r="O768" s="33"/>
      <c r="P768" s="33"/>
      <c r="U768" s="33"/>
      <c r="V768" s="33"/>
      <c r="AP768" s="35"/>
      <c r="AQ768" s="35"/>
    </row>
    <row r="769">
      <c r="C769" s="33"/>
      <c r="D769" s="33"/>
      <c r="I769" s="33"/>
      <c r="J769" s="33"/>
      <c r="O769" s="33"/>
      <c r="P769" s="33"/>
      <c r="U769" s="33"/>
      <c r="V769" s="33"/>
      <c r="AP769" s="35"/>
      <c r="AQ769" s="35"/>
    </row>
    <row r="770">
      <c r="C770" s="33"/>
      <c r="D770" s="33"/>
      <c r="I770" s="33"/>
      <c r="J770" s="33"/>
      <c r="O770" s="33"/>
      <c r="P770" s="33"/>
      <c r="U770" s="33"/>
      <c r="V770" s="33"/>
      <c r="AP770" s="35"/>
      <c r="AQ770" s="35"/>
    </row>
    <row r="771">
      <c r="C771" s="33"/>
      <c r="D771" s="33"/>
      <c r="I771" s="33"/>
      <c r="J771" s="33"/>
      <c r="O771" s="33"/>
      <c r="P771" s="33"/>
      <c r="U771" s="33"/>
      <c r="V771" s="33"/>
      <c r="AP771" s="35"/>
      <c r="AQ771" s="35"/>
    </row>
    <row r="772">
      <c r="C772" s="33"/>
      <c r="D772" s="33"/>
      <c r="I772" s="33"/>
      <c r="J772" s="33"/>
      <c r="O772" s="33"/>
      <c r="P772" s="33"/>
      <c r="U772" s="33"/>
      <c r="V772" s="33"/>
      <c r="AP772" s="35"/>
      <c r="AQ772" s="35"/>
    </row>
    <row r="773">
      <c r="C773" s="33"/>
      <c r="D773" s="33"/>
      <c r="I773" s="33"/>
      <c r="J773" s="33"/>
      <c r="O773" s="33"/>
      <c r="P773" s="33"/>
      <c r="U773" s="33"/>
      <c r="V773" s="33"/>
      <c r="AP773" s="35"/>
      <c r="AQ773" s="35"/>
    </row>
    <row r="774">
      <c r="C774" s="33"/>
      <c r="D774" s="33"/>
      <c r="I774" s="33"/>
      <c r="J774" s="33"/>
      <c r="O774" s="33"/>
      <c r="P774" s="33"/>
      <c r="U774" s="33"/>
      <c r="V774" s="33"/>
      <c r="AP774" s="35"/>
      <c r="AQ774" s="35"/>
    </row>
    <row r="775">
      <c r="C775" s="33"/>
      <c r="D775" s="33"/>
      <c r="I775" s="33"/>
      <c r="J775" s="33"/>
      <c r="O775" s="33"/>
      <c r="P775" s="33"/>
      <c r="U775" s="33"/>
      <c r="V775" s="33"/>
      <c r="AP775" s="35"/>
      <c r="AQ775" s="35"/>
    </row>
    <row r="776">
      <c r="C776" s="33"/>
      <c r="D776" s="33"/>
      <c r="I776" s="33"/>
      <c r="J776" s="33"/>
      <c r="O776" s="33"/>
      <c r="P776" s="33"/>
      <c r="U776" s="33"/>
      <c r="V776" s="33"/>
      <c r="AP776" s="35"/>
      <c r="AQ776" s="35"/>
    </row>
    <row r="777">
      <c r="C777" s="33"/>
      <c r="D777" s="33"/>
      <c r="I777" s="33"/>
      <c r="J777" s="33"/>
      <c r="O777" s="33"/>
      <c r="P777" s="33"/>
      <c r="U777" s="33"/>
      <c r="V777" s="33"/>
      <c r="AP777" s="35"/>
      <c r="AQ777" s="35"/>
    </row>
    <row r="778">
      <c r="C778" s="33"/>
      <c r="D778" s="33"/>
      <c r="I778" s="33"/>
      <c r="J778" s="33"/>
      <c r="O778" s="33"/>
      <c r="P778" s="33"/>
      <c r="U778" s="33"/>
      <c r="V778" s="33"/>
      <c r="AP778" s="35"/>
      <c r="AQ778" s="35"/>
    </row>
    <row r="779">
      <c r="C779" s="33"/>
      <c r="D779" s="33"/>
      <c r="I779" s="33"/>
      <c r="J779" s="33"/>
      <c r="O779" s="33"/>
      <c r="P779" s="33"/>
      <c r="U779" s="33"/>
      <c r="V779" s="33"/>
      <c r="AP779" s="35"/>
      <c r="AQ779" s="35"/>
    </row>
    <row r="780">
      <c r="C780" s="33"/>
      <c r="D780" s="33"/>
      <c r="I780" s="33"/>
      <c r="J780" s="33"/>
      <c r="O780" s="33"/>
      <c r="P780" s="33"/>
      <c r="U780" s="33"/>
      <c r="V780" s="33"/>
      <c r="AP780" s="35"/>
      <c r="AQ780" s="35"/>
    </row>
    <row r="781">
      <c r="C781" s="33"/>
      <c r="D781" s="33"/>
      <c r="I781" s="33"/>
      <c r="J781" s="33"/>
      <c r="O781" s="33"/>
      <c r="P781" s="33"/>
      <c r="U781" s="33"/>
      <c r="V781" s="33"/>
      <c r="AP781" s="35"/>
      <c r="AQ781" s="35"/>
    </row>
    <row r="782">
      <c r="C782" s="33"/>
      <c r="D782" s="33"/>
      <c r="I782" s="33"/>
      <c r="J782" s="33"/>
      <c r="O782" s="33"/>
      <c r="P782" s="33"/>
      <c r="U782" s="33"/>
      <c r="V782" s="33"/>
      <c r="AP782" s="35"/>
      <c r="AQ782" s="35"/>
    </row>
    <row r="783">
      <c r="C783" s="33"/>
      <c r="D783" s="33"/>
      <c r="I783" s="33"/>
      <c r="J783" s="33"/>
      <c r="O783" s="33"/>
      <c r="P783" s="33"/>
      <c r="U783" s="33"/>
      <c r="V783" s="33"/>
      <c r="AP783" s="35"/>
      <c r="AQ783" s="35"/>
    </row>
    <row r="784">
      <c r="C784" s="33"/>
      <c r="D784" s="33"/>
      <c r="I784" s="33"/>
      <c r="J784" s="33"/>
      <c r="O784" s="33"/>
      <c r="P784" s="33"/>
      <c r="U784" s="33"/>
      <c r="V784" s="33"/>
      <c r="AP784" s="35"/>
      <c r="AQ784" s="35"/>
    </row>
    <row r="785">
      <c r="C785" s="33"/>
      <c r="D785" s="33"/>
      <c r="I785" s="33"/>
      <c r="J785" s="33"/>
      <c r="O785" s="33"/>
      <c r="P785" s="33"/>
      <c r="U785" s="33"/>
      <c r="V785" s="33"/>
      <c r="AP785" s="35"/>
      <c r="AQ785" s="35"/>
    </row>
    <row r="786">
      <c r="C786" s="33"/>
      <c r="D786" s="33"/>
      <c r="I786" s="33"/>
      <c r="J786" s="33"/>
      <c r="O786" s="33"/>
      <c r="P786" s="33"/>
      <c r="U786" s="33"/>
      <c r="V786" s="33"/>
      <c r="AP786" s="35"/>
      <c r="AQ786" s="35"/>
    </row>
    <row r="787">
      <c r="C787" s="33"/>
      <c r="D787" s="33"/>
      <c r="I787" s="33"/>
      <c r="J787" s="33"/>
      <c r="O787" s="33"/>
      <c r="P787" s="33"/>
      <c r="U787" s="33"/>
      <c r="V787" s="33"/>
      <c r="AP787" s="35"/>
      <c r="AQ787" s="35"/>
    </row>
    <row r="788">
      <c r="C788" s="33"/>
      <c r="D788" s="33"/>
      <c r="I788" s="33"/>
      <c r="J788" s="33"/>
      <c r="O788" s="33"/>
      <c r="P788" s="33"/>
      <c r="U788" s="33"/>
      <c r="V788" s="33"/>
      <c r="AP788" s="35"/>
      <c r="AQ788" s="35"/>
    </row>
    <row r="789">
      <c r="C789" s="33"/>
      <c r="D789" s="33"/>
      <c r="I789" s="33"/>
      <c r="J789" s="33"/>
      <c r="O789" s="33"/>
      <c r="P789" s="33"/>
      <c r="U789" s="33"/>
      <c r="V789" s="33"/>
      <c r="AP789" s="35"/>
      <c r="AQ789" s="35"/>
    </row>
    <row r="790">
      <c r="C790" s="33"/>
      <c r="D790" s="33"/>
      <c r="I790" s="33"/>
      <c r="J790" s="33"/>
      <c r="O790" s="33"/>
      <c r="P790" s="33"/>
      <c r="U790" s="33"/>
      <c r="V790" s="33"/>
      <c r="AP790" s="35"/>
      <c r="AQ790" s="35"/>
    </row>
    <row r="791">
      <c r="C791" s="33"/>
      <c r="D791" s="33"/>
      <c r="I791" s="33"/>
      <c r="J791" s="33"/>
      <c r="O791" s="33"/>
      <c r="P791" s="33"/>
      <c r="U791" s="33"/>
      <c r="V791" s="33"/>
      <c r="AP791" s="35"/>
      <c r="AQ791" s="35"/>
    </row>
    <row r="792">
      <c r="C792" s="33"/>
      <c r="D792" s="33"/>
      <c r="I792" s="33"/>
      <c r="J792" s="33"/>
      <c r="O792" s="33"/>
      <c r="P792" s="33"/>
      <c r="U792" s="33"/>
      <c r="V792" s="33"/>
      <c r="AP792" s="35"/>
      <c r="AQ792" s="35"/>
    </row>
    <row r="793">
      <c r="C793" s="33"/>
      <c r="D793" s="33"/>
      <c r="I793" s="33"/>
      <c r="J793" s="33"/>
      <c r="O793" s="33"/>
      <c r="P793" s="33"/>
      <c r="U793" s="33"/>
      <c r="V793" s="33"/>
      <c r="AP793" s="35"/>
      <c r="AQ793" s="35"/>
    </row>
    <row r="794">
      <c r="C794" s="33"/>
      <c r="D794" s="33"/>
      <c r="I794" s="33"/>
      <c r="J794" s="33"/>
      <c r="O794" s="33"/>
      <c r="P794" s="33"/>
      <c r="U794" s="33"/>
      <c r="V794" s="33"/>
      <c r="AP794" s="35"/>
      <c r="AQ794" s="35"/>
    </row>
    <row r="795">
      <c r="C795" s="33"/>
      <c r="D795" s="33"/>
      <c r="I795" s="33"/>
      <c r="J795" s="33"/>
      <c r="O795" s="33"/>
      <c r="P795" s="33"/>
      <c r="U795" s="33"/>
      <c r="V795" s="33"/>
      <c r="AP795" s="35"/>
      <c r="AQ795" s="35"/>
    </row>
    <row r="796">
      <c r="C796" s="33"/>
      <c r="D796" s="33"/>
      <c r="I796" s="33"/>
      <c r="J796" s="33"/>
      <c r="O796" s="33"/>
      <c r="P796" s="33"/>
      <c r="U796" s="33"/>
      <c r="V796" s="33"/>
      <c r="AP796" s="35"/>
      <c r="AQ796" s="35"/>
    </row>
    <row r="797">
      <c r="C797" s="33"/>
      <c r="D797" s="33"/>
      <c r="I797" s="33"/>
      <c r="J797" s="33"/>
      <c r="O797" s="33"/>
      <c r="P797" s="33"/>
      <c r="U797" s="33"/>
      <c r="V797" s="33"/>
      <c r="AP797" s="35"/>
      <c r="AQ797" s="35"/>
    </row>
    <row r="798">
      <c r="C798" s="33"/>
      <c r="D798" s="33"/>
      <c r="I798" s="33"/>
      <c r="J798" s="33"/>
      <c r="O798" s="33"/>
      <c r="P798" s="33"/>
      <c r="U798" s="33"/>
      <c r="V798" s="33"/>
      <c r="AP798" s="35"/>
      <c r="AQ798" s="35"/>
    </row>
    <row r="799">
      <c r="C799" s="33"/>
      <c r="D799" s="33"/>
      <c r="I799" s="33"/>
      <c r="J799" s="33"/>
      <c r="O799" s="33"/>
      <c r="P799" s="33"/>
      <c r="U799" s="33"/>
      <c r="V799" s="33"/>
      <c r="AP799" s="35"/>
      <c r="AQ799" s="35"/>
    </row>
    <row r="800">
      <c r="C800" s="33"/>
      <c r="D800" s="33"/>
      <c r="I800" s="33"/>
      <c r="J800" s="33"/>
      <c r="O800" s="33"/>
      <c r="P800" s="33"/>
      <c r="U800" s="33"/>
      <c r="V800" s="33"/>
      <c r="AP800" s="35"/>
      <c r="AQ800" s="35"/>
    </row>
    <row r="801">
      <c r="C801" s="33"/>
      <c r="D801" s="33"/>
      <c r="I801" s="33"/>
      <c r="J801" s="33"/>
      <c r="O801" s="33"/>
      <c r="P801" s="33"/>
      <c r="U801" s="33"/>
      <c r="V801" s="33"/>
      <c r="AP801" s="35"/>
      <c r="AQ801" s="35"/>
    </row>
    <row r="802">
      <c r="C802" s="33"/>
      <c r="D802" s="33"/>
      <c r="I802" s="33"/>
      <c r="J802" s="33"/>
      <c r="O802" s="33"/>
      <c r="P802" s="33"/>
      <c r="U802" s="33"/>
      <c r="V802" s="33"/>
      <c r="AP802" s="35"/>
      <c r="AQ802" s="35"/>
    </row>
    <row r="803">
      <c r="C803" s="33"/>
      <c r="D803" s="33"/>
      <c r="I803" s="33"/>
      <c r="J803" s="33"/>
      <c r="O803" s="33"/>
      <c r="P803" s="33"/>
      <c r="U803" s="33"/>
      <c r="V803" s="33"/>
      <c r="AP803" s="35"/>
      <c r="AQ803" s="35"/>
    </row>
    <row r="804">
      <c r="C804" s="33"/>
      <c r="D804" s="33"/>
      <c r="I804" s="33"/>
      <c r="J804" s="33"/>
      <c r="O804" s="33"/>
      <c r="P804" s="33"/>
      <c r="U804" s="33"/>
      <c r="V804" s="33"/>
      <c r="AP804" s="35"/>
      <c r="AQ804" s="35"/>
    </row>
    <row r="805">
      <c r="C805" s="33"/>
      <c r="D805" s="33"/>
      <c r="I805" s="33"/>
      <c r="J805" s="33"/>
      <c r="O805" s="33"/>
      <c r="P805" s="33"/>
      <c r="U805" s="33"/>
      <c r="V805" s="33"/>
      <c r="AP805" s="35"/>
      <c r="AQ805" s="35"/>
    </row>
    <row r="806">
      <c r="C806" s="33"/>
      <c r="D806" s="33"/>
      <c r="I806" s="33"/>
      <c r="J806" s="33"/>
      <c r="O806" s="33"/>
      <c r="P806" s="33"/>
      <c r="U806" s="33"/>
      <c r="V806" s="33"/>
      <c r="AP806" s="35"/>
      <c r="AQ806" s="35"/>
    </row>
    <row r="807">
      <c r="C807" s="33"/>
      <c r="D807" s="33"/>
      <c r="I807" s="33"/>
      <c r="J807" s="33"/>
      <c r="O807" s="33"/>
      <c r="P807" s="33"/>
      <c r="U807" s="33"/>
      <c r="V807" s="33"/>
      <c r="AP807" s="35"/>
      <c r="AQ807" s="35"/>
    </row>
    <row r="808">
      <c r="C808" s="33"/>
      <c r="D808" s="33"/>
      <c r="I808" s="33"/>
      <c r="J808" s="33"/>
      <c r="O808" s="33"/>
      <c r="P808" s="33"/>
      <c r="U808" s="33"/>
      <c r="V808" s="33"/>
      <c r="AP808" s="35"/>
      <c r="AQ808" s="35"/>
    </row>
    <row r="809">
      <c r="C809" s="33"/>
      <c r="D809" s="33"/>
      <c r="I809" s="33"/>
      <c r="J809" s="33"/>
      <c r="O809" s="33"/>
      <c r="P809" s="33"/>
      <c r="U809" s="33"/>
      <c r="V809" s="33"/>
      <c r="AP809" s="35"/>
      <c r="AQ809" s="35"/>
    </row>
    <row r="810">
      <c r="C810" s="33"/>
      <c r="D810" s="33"/>
      <c r="I810" s="33"/>
      <c r="J810" s="33"/>
      <c r="O810" s="33"/>
      <c r="P810" s="33"/>
      <c r="U810" s="33"/>
      <c r="V810" s="33"/>
      <c r="AP810" s="35"/>
      <c r="AQ810" s="35"/>
    </row>
    <row r="811">
      <c r="C811" s="33"/>
      <c r="D811" s="33"/>
      <c r="I811" s="33"/>
      <c r="J811" s="33"/>
      <c r="O811" s="33"/>
      <c r="P811" s="33"/>
      <c r="U811" s="33"/>
      <c r="V811" s="33"/>
      <c r="AP811" s="35"/>
      <c r="AQ811" s="35"/>
    </row>
    <row r="812">
      <c r="C812" s="33"/>
      <c r="D812" s="33"/>
      <c r="I812" s="33"/>
      <c r="J812" s="33"/>
      <c r="O812" s="33"/>
      <c r="P812" s="33"/>
      <c r="U812" s="33"/>
      <c r="V812" s="33"/>
      <c r="AP812" s="35"/>
      <c r="AQ812" s="35"/>
    </row>
    <row r="813">
      <c r="C813" s="33"/>
      <c r="D813" s="33"/>
      <c r="I813" s="33"/>
      <c r="J813" s="33"/>
      <c r="O813" s="33"/>
      <c r="P813" s="33"/>
      <c r="U813" s="33"/>
      <c r="V813" s="33"/>
      <c r="AP813" s="35"/>
      <c r="AQ813" s="35"/>
    </row>
    <row r="814">
      <c r="C814" s="33"/>
      <c r="D814" s="33"/>
      <c r="I814" s="33"/>
      <c r="J814" s="33"/>
      <c r="O814" s="33"/>
      <c r="P814" s="33"/>
      <c r="U814" s="33"/>
      <c r="V814" s="33"/>
      <c r="AP814" s="35"/>
      <c r="AQ814" s="35"/>
    </row>
    <row r="815">
      <c r="C815" s="33"/>
      <c r="D815" s="33"/>
      <c r="I815" s="33"/>
      <c r="J815" s="33"/>
      <c r="O815" s="33"/>
      <c r="P815" s="33"/>
      <c r="U815" s="33"/>
      <c r="V815" s="33"/>
      <c r="AP815" s="35"/>
      <c r="AQ815" s="35"/>
    </row>
    <row r="816">
      <c r="C816" s="33"/>
      <c r="D816" s="33"/>
      <c r="I816" s="33"/>
      <c r="J816" s="33"/>
      <c r="O816" s="33"/>
      <c r="P816" s="33"/>
      <c r="U816" s="33"/>
      <c r="V816" s="33"/>
      <c r="AP816" s="35"/>
      <c r="AQ816" s="35"/>
    </row>
    <row r="817">
      <c r="C817" s="33"/>
      <c r="D817" s="33"/>
      <c r="I817" s="33"/>
      <c r="J817" s="33"/>
      <c r="O817" s="33"/>
      <c r="P817" s="33"/>
      <c r="U817" s="33"/>
      <c r="V817" s="33"/>
      <c r="AP817" s="35"/>
      <c r="AQ817" s="35"/>
    </row>
    <row r="818">
      <c r="C818" s="33"/>
      <c r="D818" s="33"/>
      <c r="I818" s="33"/>
      <c r="J818" s="33"/>
      <c r="O818" s="33"/>
      <c r="P818" s="33"/>
      <c r="U818" s="33"/>
      <c r="V818" s="33"/>
      <c r="AP818" s="35"/>
      <c r="AQ818" s="35"/>
    </row>
    <row r="819">
      <c r="C819" s="33"/>
      <c r="D819" s="33"/>
      <c r="I819" s="33"/>
      <c r="J819" s="33"/>
      <c r="O819" s="33"/>
      <c r="P819" s="33"/>
      <c r="U819" s="33"/>
      <c r="V819" s="33"/>
      <c r="AP819" s="35"/>
      <c r="AQ819" s="35"/>
    </row>
    <row r="820">
      <c r="C820" s="33"/>
      <c r="D820" s="33"/>
      <c r="I820" s="33"/>
      <c r="J820" s="33"/>
      <c r="O820" s="33"/>
      <c r="P820" s="33"/>
      <c r="U820" s="33"/>
      <c r="V820" s="33"/>
      <c r="AP820" s="35"/>
      <c r="AQ820" s="35"/>
    </row>
    <row r="821">
      <c r="C821" s="33"/>
      <c r="D821" s="33"/>
      <c r="I821" s="33"/>
      <c r="J821" s="33"/>
      <c r="O821" s="33"/>
      <c r="P821" s="33"/>
      <c r="U821" s="33"/>
      <c r="V821" s="33"/>
      <c r="AP821" s="35"/>
      <c r="AQ821" s="35"/>
    </row>
    <row r="822">
      <c r="C822" s="33"/>
      <c r="D822" s="33"/>
      <c r="I822" s="33"/>
      <c r="J822" s="33"/>
      <c r="O822" s="33"/>
      <c r="P822" s="33"/>
      <c r="U822" s="33"/>
      <c r="V822" s="33"/>
      <c r="AP822" s="35"/>
      <c r="AQ822" s="35"/>
    </row>
    <row r="823">
      <c r="C823" s="33"/>
      <c r="D823" s="33"/>
      <c r="I823" s="33"/>
      <c r="J823" s="33"/>
      <c r="O823" s="33"/>
      <c r="P823" s="33"/>
      <c r="U823" s="33"/>
      <c r="V823" s="33"/>
      <c r="AP823" s="35"/>
      <c r="AQ823" s="35"/>
    </row>
    <row r="824">
      <c r="C824" s="33"/>
      <c r="D824" s="33"/>
      <c r="I824" s="33"/>
      <c r="J824" s="33"/>
      <c r="O824" s="33"/>
      <c r="P824" s="33"/>
      <c r="U824" s="33"/>
      <c r="V824" s="33"/>
      <c r="AP824" s="35"/>
      <c r="AQ824" s="35"/>
    </row>
    <row r="825">
      <c r="C825" s="33"/>
      <c r="D825" s="33"/>
      <c r="I825" s="33"/>
      <c r="J825" s="33"/>
      <c r="O825" s="33"/>
      <c r="P825" s="33"/>
      <c r="U825" s="33"/>
      <c r="V825" s="33"/>
      <c r="AP825" s="35"/>
      <c r="AQ825" s="35"/>
    </row>
    <row r="826">
      <c r="C826" s="33"/>
      <c r="D826" s="33"/>
      <c r="I826" s="33"/>
      <c r="J826" s="33"/>
      <c r="O826" s="33"/>
      <c r="P826" s="33"/>
      <c r="U826" s="33"/>
      <c r="V826" s="33"/>
      <c r="AP826" s="35"/>
      <c r="AQ826" s="35"/>
    </row>
    <row r="827">
      <c r="C827" s="33"/>
      <c r="D827" s="33"/>
      <c r="I827" s="33"/>
      <c r="J827" s="33"/>
      <c r="O827" s="33"/>
      <c r="P827" s="33"/>
      <c r="U827" s="33"/>
      <c r="V827" s="33"/>
      <c r="AP827" s="35"/>
      <c r="AQ827" s="35"/>
    </row>
    <row r="828">
      <c r="C828" s="33"/>
      <c r="D828" s="33"/>
      <c r="I828" s="33"/>
      <c r="J828" s="33"/>
      <c r="O828" s="33"/>
      <c r="P828" s="33"/>
      <c r="U828" s="33"/>
      <c r="V828" s="33"/>
      <c r="AP828" s="35"/>
      <c r="AQ828" s="35"/>
    </row>
    <row r="829">
      <c r="C829" s="33"/>
      <c r="D829" s="33"/>
      <c r="I829" s="33"/>
      <c r="J829" s="33"/>
      <c r="O829" s="33"/>
      <c r="P829" s="33"/>
      <c r="U829" s="33"/>
      <c r="V829" s="33"/>
      <c r="AP829" s="35"/>
      <c r="AQ829" s="35"/>
    </row>
    <row r="830">
      <c r="C830" s="33"/>
      <c r="D830" s="33"/>
      <c r="I830" s="33"/>
      <c r="J830" s="33"/>
      <c r="O830" s="33"/>
      <c r="P830" s="33"/>
      <c r="U830" s="33"/>
      <c r="V830" s="33"/>
      <c r="AP830" s="35"/>
      <c r="AQ830" s="35"/>
    </row>
    <row r="831">
      <c r="C831" s="33"/>
      <c r="D831" s="33"/>
      <c r="I831" s="33"/>
      <c r="J831" s="33"/>
      <c r="O831" s="33"/>
      <c r="P831" s="33"/>
      <c r="U831" s="33"/>
      <c r="V831" s="33"/>
      <c r="AP831" s="35"/>
      <c r="AQ831" s="35"/>
    </row>
    <row r="832">
      <c r="C832" s="33"/>
      <c r="D832" s="33"/>
      <c r="I832" s="33"/>
      <c r="J832" s="33"/>
      <c r="O832" s="33"/>
      <c r="P832" s="33"/>
      <c r="U832" s="33"/>
      <c r="V832" s="33"/>
      <c r="AP832" s="35"/>
      <c r="AQ832" s="35"/>
    </row>
    <row r="833">
      <c r="C833" s="33"/>
      <c r="D833" s="33"/>
      <c r="I833" s="33"/>
      <c r="J833" s="33"/>
      <c r="O833" s="33"/>
      <c r="P833" s="33"/>
      <c r="U833" s="33"/>
      <c r="V833" s="33"/>
      <c r="AP833" s="35"/>
      <c r="AQ833" s="35"/>
    </row>
    <row r="834">
      <c r="C834" s="33"/>
      <c r="D834" s="33"/>
      <c r="I834" s="33"/>
      <c r="J834" s="33"/>
      <c r="O834" s="33"/>
      <c r="P834" s="33"/>
      <c r="U834" s="33"/>
      <c r="V834" s="33"/>
      <c r="AP834" s="35"/>
      <c r="AQ834" s="35"/>
    </row>
    <row r="835">
      <c r="C835" s="33"/>
      <c r="D835" s="33"/>
      <c r="I835" s="33"/>
      <c r="J835" s="33"/>
      <c r="O835" s="33"/>
      <c r="P835" s="33"/>
      <c r="U835" s="33"/>
      <c r="V835" s="33"/>
      <c r="AP835" s="35"/>
      <c r="AQ835" s="35"/>
    </row>
    <row r="836">
      <c r="C836" s="33"/>
      <c r="D836" s="33"/>
      <c r="I836" s="33"/>
      <c r="J836" s="33"/>
      <c r="O836" s="33"/>
      <c r="P836" s="33"/>
      <c r="U836" s="33"/>
      <c r="V836" s="33"/>
      <c r="AP836" s="35"/>
      <c r="AQ836" s="35"/>
    </row>
    <row r="837">
      <c r="C837" s="33"/>
      <c r="D837" s="33"/>
      <c r="I837" s="33"/>
      <c r="J837" s="33"/>
      <c r="O837" s="33"/>
      <c r="P837" s="33"/>
      <c r="U837" s="33"/>
      <c r="V837" s="33"/>
      <c r="AP837" s="35"/>
      <c r="AQ837" s="35"/>
    </row>
    <row r="838">
      <c r="C838" s="33"/>
      <c r="D838" s="33"/>
      <c r="I838" s="33"/>
      <c r="J838" s="33"/>
      <c r="O838" s="33"/>
      <c r="P838" s="33"/>
      <c r="U838" s="33"/>
      <c r="V838" s="33"/>
      <c r="AP838" s="35"/>
      <c r="AQ838" s="35"/>
    </row>
    <row r="839">
      <c r="C839" s="33"/>
      <c r="D839" s="33"/>
      <c r="I839" s="33"/>
      <c r="J839" s="33"/>
      <c r="O839" s="33"/>
      <c r="P839" s="33"/>
      <c r="U839" s="33"/>
      <c r="V839" s="33"/>
      <c r="AP839" s="35"/>
      <c r="AQ839" s="35"/>
    </row>
    <row r="840">
      <c r="C840" s="33"/>
      <c r="D840" s="33"/>
      <c r="I840" s="33"/>
      <c r="J840" s="33"/>
      <c r="O840" s="33"/>
      <c r="P840" s="33"/>
      <c r="U840" s="33"/>
      <c r="V840" s="33"/>
      <c r="AP840" s="35"/>
      <c r="AQ840" s="35"/>
    </row>
    <row r="841">
      <c r="C841" s="33"/>
      <c r="D841" s="33"/>
      <c r="I841" s="33"/>
      <c r="J841" s="33"/>
      <c r="O841" s="33"/>
      <c r="P841" s="33"/>
      <c r="U841" s="33"/>
      <c r="V841" s="33"/>
      <c r="AP841" s="35"/>
      <c r="AQ841" s="35"/>
    </row>
    <row r="842">
      <c r="C842" s="33"/>
      <c r="D842" s="33"/>
      <c r="I842" s="33"/>
      <c r="J842" s="33"/>
      <c r="O842" s="33"/>
      <c r="P842" s="33"/>
      <c r="U842" s="33"/>
      <c r="V842" s="33"/>
      <c r="AP842" s="35"/>
      <c r="AQ842" s="35"/>
    </row>
    <row r="843">
      <c r="C843" s="33"/>
      <c r="D843" s="33"/>
      <c r="I843" s="33"/>
      <c r="J843" s="33"/>
      <c r="O843" s="33"/>
      <c r="P843" s="33"/>
      <c r="U843" s="33"/>
      <c r="V843" s="33"/>
      <c r="AP843" s="35"/>
      <c r="AQ843" s="35"/>
    </row>
    <row r="844">
      <c r="C844" s="33"/>
      <c r="D844" s="33"/>
      <c r="I844" s="33"/>
      <c r="J844" s="33"/>
      <c r="O844" s="33"/>
      <c r="P844" s="33"/>
      <c r="U844" s="33"/>
      <c r="V844" s="33"/>
      <c r="AP844" s="35"/>
      <c r="AQ844" s="35"/>
    </row>
    <row r="845">
      <c r="C845" s="33"/>
      <c r="D845" s="33"/>
      <c r="I845" s="33"/>
      <c r="J845" s="33"/>
      <c r="O845" s="33"/>
      <c r="P845" s="33"/>
      <c r="U845" s="33"/>
      <c r="V845" s="33"/>
      <c r="AP845" s="35"/>
      <c r="AQ845" s="35"/>
    </row>
    <row r="846">
      <c r="C846" s="33"/>
      <c r="D846" s="33"/>
      <c r="I846" s="33"/>
      <c r="J846" s="33"/>
      <c r="O846" s="33"/>
      <c r="P846" s="33"/>
      <c r="U846" s="33"/>
      <c r="V846" s="33"/>
      <c r="AP846" s="35"/>
      <c r="AQ846" s="35"/>
    </row>
    <row r="847">
      <c r="C847" s="33"/>
      <c r="D847" s="33"/>
      <c r="I847" s="33"/>
      <c r="J847" s="33"/>
      <c r="O847" s="33"/>
      <c r="P847" s="33"/>
      <c r="U847" s="33"/>
      <c r="V847" s="33"/>
      <c r="AP847" s="35"/>
      <c r="AQ847" s="35"/>
    </row>
    <row r="848">
      <c r="C848" s="33"/>
      <c r="D848" s="33"/>
      <c r="I848" s="33"/>
      <c r="J848" s="33"/>
      <c r="O848" s="33"/>
      <c r="P848" s="33"/>
      <c r="U848" s="33"/>
      <c r="V848" s="33"/>
      <c r="AP848" s="35"/>
      <c r="AQ848" s="35"/>
    </row>
    <row r="849">
      <c r="C849" s="33"/>
      <c r="D849" s="33"/>
      <c r="I849" s="33"/>
      <c r="J849" s="33"/>
      <c r="O849" s="33"/>
      <c r="P849" s="33"/>
      <c r="U849" s="33"/>
      <c r="V849" s="33"/>
      <c r="AP849" s="35"/>
      <c r="AQ849" s="35"/>
    </row>
    <row r="850">
      <c r="C850" s="33"/>
      <c r="D850" s="33"/>
      <c r="I850" s="33"/>
      <c r="J850" s="33"/>
      <c r="O850" s="33"/>
      <c r="P850" s="33"/>
      <c r="U850" s="33"/>
      <c r="V850" s="33"/>
      <c r="AP850" s="35"/>
      <c r="AQ850" s="35"/>
    </row>
    <row r="851">
      <c r="C851" s="33"/>
      <c r="D851" s="33"/>
      <c r="I851" s="33"/>
      <c r="J851" s="33"/>
      <c r="O851" s="33"/>
      <c r="P851" s="33"/>
      <c r="U851" s="33"/>
      <c r="V851" s="33"/>
      <c r="AP851" s="35"/>
      <c r="AQ851" s="35"/>
    </row>
    <row r="852">
      <c r="C852" s="33"/>
      <c r="D852" s="33"/>
      <c r="I852" s="33"/>
      <c r="J852" s="33"/>
      <c r="O852" s="33"/>
      <c r="P852" s="33"/>
      <c r="U852" s="33"/>
      <c r="V852" s="33"/>
      <c r="AP852" s="35"/>
      <c r="AQ852" s="35"/>
    </row>
    <row r="853">
      <c r="C853" s="33"/>
      <c r="D853" s="33"/>
      <c r="I853" s="33"/>
      <c r="J853" s="33"/>
      <c r="O853" s="33"/>
      <c r="P853" s="33"/>
      <c r="U853" s="33"/>
      <c r="V853" s="33"/>
      <c r="AP853" s="35"/>
      <c r="AQ853" s="35"/>
    </row>
    <row r="854">
      <c r="C854" s="33"/>
      <c r="D854" s="33"/>
      <c r="I854" s="33"/>
      <c r="J854" s="33"/>
      <c r="O854" s="33"/>
      <c r="P854" s="33"/>
      <c r="U854" s="33"/>
      <c r="V854" s="33"/>
      <c r="AP854" s="35"/>
      <c r="AQ854" s="35"/>
    </row>
    <row r="855">
      <c r="C855" s="33"/>
      <c r="D855" s="33"/>
      <c r="I855" s="33"/>
      <c r="J855" s="33"/>
      <c r="O855" s="33"/>
      <c r="P855" s="33"/>
      <c r="U855" s="33"/>
      <c r="V855" s="33"/>
      <c r="AP855" s="35"/>
      <c r="AQ855" s="35"/>
    </row>
    <row r="856">
      <c r="C856" s="33"/>
      <c r="D856" s="33"/>
      <c r="I856" s="33"/>
      <c r="J856" s="33"/>
      <c r="O856" s="33"/>
      <c r="P856" s="33"/>
      <c r="U856" s="33"/>
      <c r="V856" s="33"/>
      <c r="AP856" s="35"/>
      <c r="AQ856" s="35"/>
    </row>
    <row r="857">
      <c r="C857" s="33"/>
      <c r="D857" s="33"/>
      <c r="I857" s="33"/>
      <c r="J857" s="33"/>
      <c r="O857" s="33"/>
      <c r="P857" s="33"/>
      <c r="U857" s="33"/>
      <c r="V857" s="33"/>
      <c r="AP857" s="35"/>
      <c r="AQ857" s="35"/>
    </row>
    <row r="858">
      <c r="C858" s="33"/>
      <c r="D858" s="33"/>
      <c r="I858" s="33"/>
      <c r="J858" s="33"/>
      <c r="O858" s="33"/>
      <c r="P858" s="33"/>
      <c r="U858" s="33"/>
      <c r="V858" s="33"/>
      <c r="AP858" s="35"/>
      <c r="AQ858" s="35"/>
    </row>
    <row r="859">
      <c r="C859" s="33"/>
      <c r="D859" s="33"/>
      <c r="I859" s="33"/>
      <c r="J859" s="33"/>
      <c r="O859" s="33"/>
      <c r="P859" s="33"/>
      <c r="U859" s="33"/>
      <c r="V859" s="33"/>
      <c r="AP859" s="35"/>
      <c r="AQ859" s="35"/>
    </row>
    <row r="860">
      <c r="C860" s="33"/>
      <c r="D860" s="33"/>
      <c r="I860" s="33"/>
      <c r="J860" s="33"/>
      <c r="O860" s="33"/>
      <c r="P860" s="33"/>
      <c r="U860" s="33"/>
      <c r="V860" s="33"/>
      <c r="AP860" s="35"/>
      <c r="AQ860" s="35"/>
    </row>
    <row r="861">
      <c r="C861" s="33"/>
      <c r="D861" s="33"/>
      <c r="I861" s="33"/>
      <c r="J861" s="33"/>
      <c r="O861" s="33"/>
      <c r="P861" s="33"/>
      <c r="U861" s="33"/>
      <c r="V861" s="33"/>
      <c r="AP861" s="35"/>
      <c r="AQ861" s="35"/>
    </row>
    <row r="862">
      <c r="C862" s="33"/>
      <c r="D862" s="33"/>
      <c r="I862" s="33"/>
      <c r="J862" s="33"/>
      <c r="O862" s="33"/>
      <c r="P862" s="33"/>
      <c r="U862" s="33"/>
      <c r="V862" s="33"/>
      <c r="AP862" s="35"/>
      <c r="AQ862" s="35"/>
    </row>
    <row r="863">
      <c r="C863" s="33"/>
      <c r="D863" s="33"/>
      <c r="I863" s="33"/>
      <c r="J863" s="33"/>
      <c r="O863" s="33"/>
      <c r="P863" s="33"/>
      <c r="U863" s="33"/>
      <c r="V863" s="33"/>
      <c r="AP863" s="35"/>
      <c r="AQ863" s="35"/>
    </row>
    <row r="864">
      <c r="C864" s="33"/>
      <c r="D864" s="33"/>
      <c r="I864" s="33"/>
      <c r="J864" s="33"/>
      <c r="O864" s="33"/>
      <c r="P864" s="33"/>
      <c r="U864" s="33"/>
      <c r="V864" s="33"/>
      <c r="AP864" s="35"/>
      <c r="AQ864" s="35"/>
    </row>
    <row r="865">
      <c r="C865" s="33"/>
      <c r="D865" s="33"/>
      <c r="I865" s="33"/>
      <c r="J865" s="33"/>
      <c r="O865" s="33"/>
      <c r="P865" s="33"/>
      <c r="U865" s="33"/>
      <c r="V865" s="33"/>
      <c r="AP865" s="35"/>
      <c r="AQ865" s="35"/>
    </row>
    <row r="866">
      <c r="C866" s="33"/>
      <c r="D866" s="33"/>
      <c r="I866" s="33"/>
      <c r="J866" s="33"/>
      <c r="O866" s="33"/>
      <c r="P866" s="33"/>
      <c r="U866" s="33"/>
      <c r="V866" s="33"/>
      <c r="AP866" s="35"/>
      <c r="AQ866" s="35"/>
    </row>
    <row r="867">
      <c r="C867" s="33"/>
      <c r="D867" s="33"/>
      <c r="I867" s="33"/>
      <c r="J867" s="33"/>
      <c r="O867" s="33"/>
      <c r="P867" s="33"/>
      <c r="U867" s="33"/>
      <c r="V867" s="33"/>
      <c r="AP867" s="35"/>
      <c r="AQ867" s="35"/>
    </row>
    <row r="868">
      <c r="C868" s="33"/>
      <c r="D868" s="33"/>
      <c r="I868" s="33"/>
      <c r="J868" s="33"/>
      <c r="O868" s="33"/>
      <c r="P868" s="33"/>
      <c r="U868" s="33"/>
      <c r="V868" s="33"/>
      <c r="AP868" s="35"/>
      <c r="AQ868" s="35"/>
    </row>
    <row r="869">
      <c r="C869" s="33"/>
      <c r="D869" s="33"/>
      <c r="I869" s="33"/>
      <c r="J869" s="33"/>
      <c r="O869" s="33"/>
      <c r="P869" s="33"/>
      <c r="U869" s="33"/>
      <c r="V869" s="33"/>
      <c r="AP869" s="35"/>
      <c r="AQ869" s="35"/>
    </row>
    <row r="870">
      <c r="C870" s="33"/>
      <c r="D870" s="33"/>
      <c r="I870" s="33"/>
      <c r="J870" s="33"/>
      <c r="O870" s="33"/>
      <c r="P870" s="33"/>
      <c r="U870" s="33"/>
      <c r="V870" s="33"/>
      <c r="AP870" s="35"/>
      <c r="AQ870" s="35"/>
    </row>
    <row r="871">
      <c r="C871" s="33"/>
      <c r="D871" s="33"/>
      <c r="I871" s="33"/>
      <c r="J871" s="33"/>
      <c r="O871" s="33"/>
      <c r="P871" s="33"/>
      <c r="U871" s="33"/>
      <c r="V871" s="33"/>
      <c r="AP871" s="35"/>
      <c r="AQ871" s="35"/>
    </row>
    <row r="872">
      <c r="C872" s="33"/>
      <c r="D872" s="33"/>
      <c r="I872" s="33"/>
      <c r="J872" s="33"/>
      <c r="O872" s="33"/>
      <c r="P872" s="33"/>
      <c r="U872" s="33"/>
      <c r="V872" s="33"/>
      <c r="AP872" s="35"/>
      <c r="AQ872" s="35"/>
    </row>
    <row r="873">
      <c r="C873" s="33"/>
      <c r="D873" s="33"/>
      <c r="I873" s="33"/>
      <c r="J873" s="33"/>
      <c r="O873" s="33"/>
      <c r="P873" s="33"/>
      <c r="U873" s="33"/>
      <c r="V873" s="33"/>
      <c r="AP873" s="35"/>
      <c r="AQ873" s="35"/>
    </row>
    <row r="874">
      <c r="C874" s="33"/>
      <c r="D874" s="33"/>
      <c r="I874" s="33"/>
      <c r="J874" s="33"/>
      <c r="O874" s="33"/>
      <c r="P874" s="33"/>
      <c r="U874" s="33"/>
      <c r="V874" s="33"/>
      <c r="AP874" s="35"/>
      <c r="AQ874" s="35"/>
    </row>
    <row r="875">
      <c r="C875" s="33"/>
      <c r="D875" s="33"/>
      <c r="I875" s="33"/>
      <c r="J875" s="33"/>
      <c r="O875" s="33"/>
      <c r="P875" s="33"/>
      <c r="U875" s="33"/>
      <c r="V875" s="33"/>
      <c r="AP875" s="35"/>
      <c r="AQ875" s="35"/>
    </row>
    <row r="876">
      <c r="C876" s="33"/>
      <c r="D876" s="33"/>
      <c r="I876" s="33"/>
      <c r="J876" s="33"/>
      <c r="O876" s="33"/>
      <c r="P876" s="33"/>
      <c r="U876" s="33"/>
      <c r="V876" s="33"/>
      <c r="AP876" s="35"/>
      <c r="AQ876" s="35"/>
    </row>
    <row r="877">
      <c r="C877" s="33"/>
      <c r="D877" s="33"/>
      <c r="I877" s="33"/>
      <c r="J877" s="33"/>
      <c r="O877" s="33"/>
      <c r="P877" s="33"/>
      <c r="U877" s="33"/>
      <c r="V877" s="33"/>
      <c r="AP877" s="35"/>
      <c r="AQ877" s="35"/>
    </row>
    <row r="878">
      <c r="C878" s="33"/>
      <c r="D878" s="33"/>
      <c r="I878" s="33"/>
      <c r="J878" s="33"/>
      <c r="O878" s="33"/>
      <c r="P878" s="33"/>
      <c r="U878" s="33"/>
      <c r="V878" s="33"/>
      <c r="AP878" s="35"/>
      <c r="AQ878" s="35"/>
    </row>
    <row r="879">
      <c r="C879" s="33"/>
      <c r="D879" s="33"/>
      <c r="I879" s="33"/>
      <c r="J879" s="33"/>
      <c r="O879" s="33"/>
      <c r="P879" s="33"/>
      <c r="U879" s="33"/>
      <c r="V879" s="33"/>
      <c r="AP879" s="35"/>
      <c r="AQ879" s="35"/>
    </row>
    <row r="880">
      <c r="C880" s="33"/>
      <c r="D880" s="33"/>
      <c r="I880" s="33"/>
      <c r="J880" s="33"/>
      <c r="O880" s="33"/>
      <c r="P880" s="33"/>
      <c r="U880" s="33"/>
      <c r="V880" s="33"/>
      <c r="AP880" s="35"/>
      <c r="AQ880" s="35"/>
    </row>
    <row r="881">
      <c r="C881" s="33"/>
      <c r="D881" s="33"/>
      <c r="I881" s="33"/>
      <c r="J881" s="33"/>
      <c r="O881" s="33"/>
      <c r="P881" s="33"/>
      <c r="U881" s="33"/>
      <c r="V881" s="33"/>
      <c r="AP881" s="35"/>
      <c r="AQ881" s="35"/>
    </row>
    <row r="882">
      <c r="C882" s="33"/>
      <c r="D882" s="33"/>
      <c r="I882" s="33"/>
      <c r="J882" s="33"/>
      <c r="O882" s="33"/>
      <c r="P882" s="33"/>
      <c r="U882" s="33"/>
      <c r="V882" s="33"/>
      <c r="AP882" s="35"/>
      <c r="AQ882" s="35"/>
    </row>
    <row r="883">
      <c r="C883" s="33"/>
      <c r="D883" s="33"/>
      <c r="I883" s="33"/>
      <c r="J883" s="33"/>
      <c r="O883" s="33"/>
      <c r="P883" s="33"/>
      <c r="U883" s="33"/>
      <c r="V883" s="33"/>
      <c r="AP883" s="35"/>
      <c r="AQ883" s="35"/>
    </row>
    <row r="884">
      <c r="C884" s="33"/>
      <c r="D884" s="33"/>
      <c r="I884" s="33"/>
      <c r="J884" s="33"/>
      <c r="O884" s="33"/>
      <c r="P884" s="33"/>
      <c r="U884" s="33"/>
      <c r="V884" s="33"/>
      <c r="AP884" s="35"/>
      <c r="AQ884" s="35"/>
    </row>
    <row r="885">
      <c r="C885" s="33"/>
      <c r="D885" s="33"/>
      <c r="I885" s="33"/>
      <c r="J885" s="33"/>
      <c r="O885" s="33"/>
      <c r="P885" s="33"/>
      <c r="U885" s="33"/>
      <c r="V885" s="33"/>
      <c r="AP885" s="35"/>
      <c r="AQ885" s="35"/>
    </row>
    <row r="886">
      <c r="C886" s="33"/>
      <c r="D886" s="33"/>
      <c r="I886" s="33"/>
      <c r="J886" s="33"/>
      <c r="O886" s="33"/>
      <c r="P886" s="33"/>
      <c r="U886" s="33"/>
      <c r="V886" s="33"/>
      <c r="AP886" s="35"/>
      <c r="AQ886" s="35"/>
    </row>
    <row r="887">
      <c r="C887" s="33"/>
      <c r="D887" s="33"/>
      <c r="I887" s="33"/>
      <c r="J887" s="33"/>
      <c r="O887" s="33"/>
      <c r="P887" s="33"/>
      <c r="U887" s="33"/>
      <c r="V887" s="33"/>
      <c r="AP887" s="35"/>
      <c r="AQ887" s="35"/>
    </row>
    <row r="888">
      <c r="C888" s="33"/>
      <c r="D888" s="33"/>
      <c r="I888" s="33"/>
      <c r="J888" s="33"/>
      <c r="O888" s="33"/>
      <c r="P888" s="33"/>
      <c r="U888" s="33"/>
      <c r="V888" s="33"/>
      <c r="AP888" s="35"/>
      <c r="AQ888" s="35"/>
    </row>
    <row r="889">
      <c r="C889" s="33"/>
      <c r="D889" s="33"/>
      <c r="I889" s="33"/>
      <c r="J889" s="33"/>
      <c r="O889" s="33"/>
      <c r="P889" s="33"/>
      <c r="U889" s="33"/>
      <c r="V889" s="33"/>
      <c r="AP889" s="35"/>
      <c r="AQ889" s="35"/>
    </row>
    <row r="890">
      <c r="C890" s="33"/>
      <c r="D890" s="33"/>
      <c r="I890" s="33"/>
      <c r="J890" s="33"/>
      <c r="O890" s="33"/>
      <c r="P890" s="33"/>
      <c r="U890" s="33"/>
      <c r="V890" s="33"/>
      <c r="AP890" s="35"/>
      <c r="AQ890" s="35"/>
    </row>
    <row r="891">
      <c r="C891" s="33"/>
      <c r="D891" s="33"/>
      <c r="I891" s="33"/>
      <c r="J891" s="33"/>
      <c r="O891" s="33"/>
      <c r="P891" s="33"/>
      <c r="U891" s="33"/>
      <c r="V891" s="33"/>
      <c r="AP891" s="35"/>
      <c r="AQ891" s="35"/>
    </row>
    <row r="892">
      <c r="C892" s="33"/>
      <c r="D892" s="33"/>
      <c r="I892" s="33"/>
      <c r="J892" s="33"/>
      <c r="O892" s="33"/>
      <c r="P892" s="33"/>
      <c r="U892" s="33"/>
      <c r="V892" s="33"/>
      <c r="AP892" s="35"/>
      <c r="AQ892" s="35"/>
    </row>
    <row r="893">
      <c r="C893" s="33"/>
      <c r="D893" s="33"/>
      <c r="I893" s="33"/>
      <c r="J893" s="33"/>
      <c r="O893" s="33"/>
      <c r="P893" s="33"/>
      <c r="U893" s="33"/>
      <c r="V893" s="33"/>
      <c r="AP893" s="35"/>
      <c r="AQ893" s="35"/>
    </row>
    <row r="894">
      <c r="C894" s="33"/>
      <c r="D894" s="33"/>
      <c r="I894" s="33"/>
      <c r="J894" s="33"/>
      <c r="O894" s="33"/>
      <c r="P894" s="33"/>
      <c r="U894" s="33"/>
      <c r="V894" s="33"/>
      <c r="AP894" s="35"/>
      <c r="AQ894" s="35"/>
    </row>
    <row r="895">
      <c r="C895" s="33"/>
      <c r="D895" s="33"/>
      <c r="I895" s="33"/>
      <c r="J895" s="33"/>
      <c r="O895" s="33"/>
      <c r="P895" s="33"/>
      <c r="U895" s="33"/>
      <c r="V895" s="33"/>
      <c r="AP895" s="35"/>
      <c r="AQ895" s="35"/>
    </row>
    <row r="896">
      <c r="C896" s="33"/>
      <c r="D896" s="33"/>
      <c r="I896" s="33"/>
      <c r="J896" s="33"/>
      <c r="O896" s="33"/>
      <c r="P896" s="33"/>
      <c r="U896" s="33"/>
      <c r="V896" s="33"/>
      <c r="AP896" s="35"/>
      <c r="AQ896" s="35"/>
    </row>
    <row r="897">
      <c r="C897" s="33"/>
      <c r="D897" s="33"/>
      <c r="I897" s="33"/>
      <c r="J897" s="33"/>
      <c r="O897" s="33"/>
      <c r="P897" s="33"/>
      <c r="U897" s="33"/>
      <c r="V897" s="33"/>
      <c r="AP897" s="35"/>
      <c r="AQ897" s="35"/>
    </row>
    <row r="898">
      <c r="C898" s="33"/>
      <c r="D898" s="33"/>
      <c r="I898" s="33"/>
      <c r="J898" s="33"/>
      <c r="O898" s="33"/>
      <c r="P898" s="33"/>
      <c r="U898" s="33"/>
      <c r="V898" s="33"/>
      <c r="AP898" s="35"/>
      <c r="AQ898" s="35"/>
    </row>
    <row r="899">
      <c r="C899" s="33"/>
      <c r="D899" s="33"/>
      <c r="I899" s="33"/>
      <c r="J899" s="33"/>
      <c r="O899" s="33"/>
      <c r="P899" s="33"/>
      <c r="U899" s="33"/>
      <c r="V899" s="33"/>
      <c r="AP899" s="35"/>
      <c r="AQ899" s="35"/>
    </row>
    <row r="900">
      <c r="C900" s="33"/>
      <c r="D900" s="33"/>
      <c r="I900" s="33"/>
      <c r="J900" s="33"/>
      <c r="O900" s="33"/>
      <c r="P900" s="33"/>
      <c r="U900" s="33"/>
      <c r="V900" s="33"/>
      <c r="AP900" s="35"/>
      <c r="AQ900" s="35"/>
    </row>
    <row r="901">
      <c r="C901" s="33"/>
      <c r="D901" s="33"/>
      <c r="I901" s="33"/>
      <c r="J901" s="33"/>
      <c r="O901" s="33"/>
      <c r="P901" s="33"/>
      <c r="U901" s="33"/>
      <c r="V901" s="33"/>
      <c r="AP901" s="35"/>
      <c r="AQ901" s="35"/>
    </row>
    <row r="902">
      <c r="C902" s="33"/>
      <c r="D902" s="33"/>
      <c r="I902" s="33"/>
      <c r="J902" s="33"/>
      <c r="O902" s="33"/>
      <c r="P902" s="33"/>
      <c r="U902" s="33"/>
      <c r="V902" s="33"/>
      <c r="AP902" s="35"/>
      <c r="AQ902" s="35"/>
    </row>
    <row r="903">
      <c r="C903" s="33"/>
      <c r="D903" s="33"/>
      <c r="I903" s="33"/>
      <c r="J903" s="33"/>
      <c r="O903" s="33"/>
      <c r="P903" s="33"/>
      <c r="U903" s="33"/>
      <c r="V903" s="33"/>
      <c r="AP903" s="35"/>
      <c r="AQ903" s="35"/>
    </row>
    <row r="904">
      <c r="C904" s="33"/>
      <c r="D904" s="33"/>
      <c r="I904" s="33"/>
      <c r="J904" s="33"/>
      <c r="O904" s="33"/>
      <c r="P904" s="33"/>
      <c r="U904" s="33"/>
      <c r="V904" s="33"/>
      <c r="AP904" s="35"/>
      <c r="AQ904" s="35"/>
    </row>
    <row r="905">
      <c r="C905" s="33"/>
      <c r="D905" s="33"/>
      <c r="I905" s="33"/>
      <c r="J905" s="33"/>
      <c r="O905" s="33"/>
      <c r="P905" s="33"/>
      <c r="U905" s="33"/>
      <c r="V905" s="33"/>
      <c r="AP905" s="35"/>
      <c r="AQ905" s="35"/>
    </row>
    <row r="906">
      <c r="C906" s="33"/>
      <c r="D906" s="33"/>
      <c r="I906" s="33"/>
      <c r="J906" s="33"/>
      <c r="O906" s="33"/>
      <c r="P906" s="33"/>
      <c r="U906" s="33"/>
      <c r="V906" s="33"/>
      <c r="AP906" s="35"/>
      <c r="AQ906" s="35"/>
    </row>
    <row r="907">
      <c r="C907" s="33"/>
      <c r="D907" s="33"/>
      <c r="I907" s="33"/>
      <c r="J907" s="33"/>
      <c r="O907" s="33"/>
      <c r="P907" s="33"/>
      <c r="U907" s="33"/>
      <c r="V907" s="33"/>
      <c r="AP907" s="35"/>
      <c r="AQ907" s="35"/>
    </row>
    <row r="908">
      <c r="C908" s="33"/>
      <c r="D908" s="33"/>
      <c r="I908" s="33"/>
      <c r="J908" s="33"/>
      <c r="O908" s="33"/>
      <c r="P908" s="33"/>
      <c r="U908" s="33"/>
      <c r="V908" s="33"/>
      <c r="AP908" s="35"/>
      <c r="AQ908" s="35"/>
    </row>
    <row r="909">
      <c r="C909" s="33"/>
      <c r="D909" s="33"/>
      <c r="I909" s="33"/>
      <c r="J909" s="33"/>
      <c r="O909" s="33"/>
      <c r="P909" s="33"/>
      <c r="U909" s="33"/>
      <c r="V909" s="33"/>
      <c r="AP909" s="35"/>
      <c r="AQ909" s="35"/>
    </row>
    <row r="910">
      <c r="C910" s="33"/>
      <c r="D910" s="33"/>
      <c r="I910" s="33"/>
      <c r="J910" s="33"/>
      <c r="O910" s="33"/>
      <c r="P910" s="33"/>
      <c r="U910" s="33"/>
      <c r="V910" s="33"/>
      <c r="AP910" s="35"/>
      <c r="AQ910" s="35"/>
    </row>
    <row r="911">
      <c r="C911" s="33"/>
      <c r="D911" s="33"/>
      <c r="I911" s="33"/>
      <c r="J911" s="33"/>
      <c r="O911" s="33"/>
      <c r="P911" s="33"/>
      <c r="U911" s="33"/>
      <c r="V911" s="33"/>
      <c r="AP911" s="35"/>
      <c r="AQ911" s="35"/>
    </row>
    <row r="912">
      <c r="C912" s="33"/>
      <c r="D912" s="33"/>
      <c r="I912" s="33"/>
      <c r="J912" s="33"/>
      <c r="O912" s="33"/>
      <c r="P912" s="33"/>
      <c r="U912" s="33"/>
      <c r="V912" s="33"/>
      <c r="AP912" s="35"/>
      <c r="AQ912" s="35"/>
    </row>
    <row r="913">
      <c r="C913" s="33"/>
      <c r="D913" s="33"/>
      <c r="I913" s="33"/>
      <c r="J913" s="33"/>
      <c r="O913" s="33"/>
      <c r="P913" s="33"/>
      <c r="U913" s="33"/>
      <c r="V913" s="33"/>
      <c r="AP913" s="35"/>
      <c r="AQ913" s="35"/>
    </row>
    <row r="914">
      <c r="C914" s="33"/>
      <c r="D914" s="33"/>
      <c r="I914" s="33"/>
      <c r="J914" s="33"/>
      <c r="O914" s="33"/>
      <c r="P914" s="33"/>
      <c r="U914" s="33"/>
      <c r="V914" s="33"/>
      <c r="AP914" s="35"/>
      <c r="AQ914" s="35"/>
    </row>
    <row r="915">
      <c r="C915" s="33"/>
      <c r="D915" s="33"/>
      <c r="I915" s="33"/>
      <c r="J915" s="33"/>
      <c r="O915" s="33"/>
      <c r="P915" s="33"/>
      <c r="U915" s="33"/>
      <c r="V915" s="33"/>
      <c r="AP915" s="35"/>
      <c r="AQ915" s="35"/>
    </row>
    <row r="916">
      <c r="C916" s="33"/>
      <c r="D916" s="33"/>
      <c r="I916" s="33"/>
      <c r="J916" s="33"/>
      <c r="O916" s="33"/>
      <c r="P916" s="33"/>
      <c r="U916" s="33"/>
      <c r="V916" s="33"/>
      <c r="AP916" s="35"/>
      <c r="AQ916" s="35"/>
    </row>
    <row r="917">
      <c r="C917" s="33"/>
      <c r="D917" s="33"/>
      <c r="I917" s="33"/>
      <c r="J917" s="33"/>
      <c r="O917" s="33"/>
      <c r="P917" s="33"/>
      <c r="U917" s="33"/>
      <c r="V917" s="33"/>
      <c r="AP917" s="35"/>
      <c r="AQ917" s="35"/>
    </row>
    <row r="918">
      <c r="C918" s="33"/>
      <c r="D918" s="33"/>
      <c r="I918" s="33"/>
      <c r="J918" s="33"/>
      <c r="O918" s="33"/>
      <c r="P918" s="33"/>
      <c r="U918" s="33"/>
      <c r="V918" s="33"/>
      <c r="AP918" s="35"/>
      <c r="AQ918" s="35"/>
    </row>
    <row r="919">
      <c r="C919" s="33"/>
      <c r="D919" s="33"/>
      <c r="I919" s="33"/>
      <c r="J919" s="33"/>
      <c r="O919" s="33"/>
      <c r="P919" s="33"/>
      <c r="U919" s="33"/>
      <c r="V919" s="33"/>
      <c r="AP919" s="35"/>
      <c r="AQ919" s="35"/>
    </row>
    <row r="920">
      <c r="C920" s="33"/>
      <c r="D920" s="33"/>
      <c r="I920" s="33"/>
      <c r="J920" s="33"/>
      <c r="O920" s="33"/>
      <c r="P920" s="33"/>
      <c r="U920" s="33"/>
      <c r="V920" s="33"/>
      <c r="AP920" s="35"/>
      <c r="AQ920" s="35"/>
    </row>
    <row r="921">
      <c r="C921" s="33"/>
      <c r="D921" s="33"/>
      <c r="I921" s="33"/>
      <c r="J921" s="33"/>
      <c r="O921" s="33"/>
      <c r="P921" s="33"/>
      <c r="U921" s="33"/>
      <c r="V921" s="33"/>
      <c r="AP921" s="35"/>
      <c r="AQ921" s="35"/>
    </row>
    <row r="922">
      <c r="C922" s="33"/>
      <c r="D922" s="33"/>
      <c r="I922" s="33"/>
      <c r="J922" s="33"/>
      <c r="O922" s="33"/>
      <c r="P922" s="33"/>
      <c r="U922" s="33"/>
      <c r="V922" s="33"/>
      <c r="AP922" s="35"/>
      <c r="AQ922" s="35"/>
    </row>
    <row r="923">
      <c r="C923" s="33"/>
      <c r="D923" s="33"/>
      <c r="I923" s="33"/>
      <c r="J923" s="33"/>
      <c r="O923" s="33"/>
      <c r="P923" s="33"/>
      <c r="U923" s="33"/>
      <c r="V923" s="33"/>
      <c r="AP923" s="35"/>
      <c r="AQ923" s="35"/>
    </row>
    <row r="924">
      <c r="C924" s="33"/>
      <c r="D924" s="33"/>
      <c r="I924" s="33"/>
      <c r="J924" s="33"/>
      <c r="O924" s="33"/>
      <c r="P924" s="33"/>
      <c r="U924" s="33"/>
      <c r="V924" s="33"/>
      <c r="AP924" s="35"/>
      <c r="AQ924" s="35"/>
    </row>
    <row r="925">
      <c r="C925" s="33"/>
      <c r="D925" s="33"/>
      <c r="I925" s="33"/>
      <c r="J925" s="33"/>
      <c r="O925" s="33"/>
      <c r="P925" s="33"/>
      <c r="U925" s="33"/>
      <c r="V925" s="33"/>
      <c r="AP925" s="35"/>
      <c r="AQ925" s="35"/>
    </row>
    <row r="926">
      <c r="C926" s="33"/>
      <c r="D926" s="33"/>
      <c r="I926" s="33"/>
      <c r="J926" s="33"/>
      <c r="O926" s="33"/>
      <c r="P926" s="33"/>
      <c r="U926" s="33"/>
      <c r="V926" s="33"/>
      <c r="AP926" s="35"/>
      <c r="AQ926" s="35"/>
    </row>
    <row r="927">
      <c r="C927" s="33"/>
      <c r="D927" s="33"/>
      <c r="I927" s="33"/>
      <c r="J927" s="33"/>
      <c r="O927" s="33"/>
      <c r="P927" s="33"/>
      <c r="U927" s="33"/>
      <c r="V927" s="33"/>
      <c r="AP927" s="35"/>
      <c r="AQ927" s="35"/>
    </row>
    <row r="928">
      <c r="C928" s="33"/>
      <c r="D928" s="33"/>
      <c r="I928" s="33"/>
      <c r="J928" s="33"/>
      <c r="O928" s="33"/>
      <c r="P928" s="33"/>
      <c r="U928" s="33"/>
      <c r="V928" s="33"/>
      <c r="AP928" s="35"/>
      <c r="AQ928" s="35"/>
    </row>
    <row r="929">
      <c r="C929" s="33"/>
      <c r="D929" s="33"/>
      <c r="I929" s="33"/>
      <c r="J929" s="33"/>
      <c r="O929" s="33"/>
      <c r="P929" s="33"/>
      <c r="U929" s="33"/>
      <c r="V929" s="33"/>
      <c r="AP929" s="35"/>
      <c r="AQ929" s="35"/>
    </row>
    <row r="930">
      <c r="C930" s="33"/>
      <c r="D930" s="33"/>
      <c r="I930" s="33"/>
      <c r="J930" s="33"/>
      <c r="O930" s="33"/>
      <c r="P930" s="33"/>
      <c r="U930" s="33"/>
      <c r="V930" s="33"/>
      <c r="AP930" s="35"/>
      <c r="AQ930" s="35"/>
    </row>
    <row r="931">
      <c r="C931" s="33"/>
      <c r="D931" s="33"/>
      <c r="I931" s="33"/>
      <c r="J931" s="33"/>
      <c r="O931" s="33"/>
      <c r="P931" s="33"/>
      <c r="U931" s="33"/>
      <c r="V931" s="33"/>
      <c r="AP931" s="35"/>
      <c r="AQ931" s="35"/>
    </row>
    <row r="932">
      <c r="C932" s="33"/>
      <c r="D932" s="33"/>
      <c r="I932" s="33"/>
      <c r="J932" s="33"/>
      <c r="O932" s="33"/>
      <c r="P932" s="33"/>
      <c r="U932" s="33"/>
      <c r="V932" s="33"/>
      <c r="AP932" s="35"/>
      <c r="AQ932" s="35"/>
    </row>
    <row r="933">
      <c r="C933" s="33"/>
      <c r="D933" s="33"/>
      <c r="I933" s="33"/>
      <c r="J933" s="33"/>
      <c r="O933" s="33"/>
      <c r="P933" s="33"/>
      <c r="U933" s="33"/>
      <c r="V933" s="33"/>
      <c r="AP933" s="35"/>
      <c r="AQ933" s="35"/>
    </row>
    <row r="934">
      <c r="C934" s="33"/>
      <c r="D934" s="33"/>
      <c r="I934" s="33"/>
      <c r="J934" s="33"/>
      <c r="O934" s="33"/>
      <c r="P934" s="33"/>
      <c r="U934" s="33"/>
      <c r="V934" s="33"/>
      <c r="AP934" s="35"/>
      <c r="AQ934" s="35"/>
    </row>
    <row r="935">
      <c r="C935" s="33"/>
      <c r="D935" s="33"/>
      <c r="I935" s="33"/>
      <c r="J935" s="33"/>
      <c r="O935" s="33"/>
      <c r="P935" s="33"/>
      <c r="U935" s="33"/>
      <c r="V935" s="33"/>
      <c r="AP935" s="35"/>
      <c r="AQ935" s="35"/>
    </row>
    <row r="936">
      <c r="C936" s="33"/>
      <c r="D936" s="33"/>
      <c r="I936" s="33"/>
      <c r="J936" s="33"/>
      <c r="O936" s="33"/>
      <c r="P936" s="33"/>
      <c r="U936" s="33"/>
      <c r="V936" s="33"/>
      <c r="AP936" s="35"/>
      <c r="AQ936" s="35"/>
    </row>
    <row r="937">
      <c r="C937" s="33"/>
      <c r="D937" s="33"/>
      <c r="I937" s="33"/>
      <c r="J937" s="33"/>
      <c r="O937" s="33"/>
      <c r="P937" s="33"/>
      <c r="U937" s="33"/>
      <c r="V937" s="33"/>
      <c r="AP937" s="35"/>
      <c r="AQ937" s="35"/>
    </row>
    <row r="938">
      <c r="C938" s="33"/>
      <c r="D938" s="33"/>
      <c r="I938" s="33"/>
      <c r="J938" s="33"/>
      <c r="O938" s="33"/>
      <c r="P938" s="33"/>
      <c r="U938" s="33"/>
      <c r="V938" s="33"/>
      <c r="AP938" s="35"/>
      <c r="AQ938" s="35"/>
    </row>
    <row r="939">
      <c r="C939" s="33"/>
      <c r="D939" s="33"/>
      <c r="I939" s="33"/>
      <c r="J939" s="33"/>
      <c r="O939" s="33"/>
      <c r="P939" s="33"/>
      <c r="U939" s="33"/>
      <c r="V939" s="33"/>
      <c r="AP939" s="35"/>
      <c r="AQ939" s="35"/>
    </row>
    <row r="940">
      <c r="C940" s="33"/>
      <c r="D940" s="33"/>
      <c r="I940" s="33"/>
      <c r="J940" s="33"/>
      <c r="O940" s="33"/>
      <c r="P940" s="33"/>
      <c r="U940" s="33"/>
      <c r="V940" s="33"/>
      <c r="AP940" s="35"/>
      <c r="AQ940" s="35"/>
    </row>
    <row r="941">
      <c r="C941" s="33"/>
      <c r="D941" s="33"/>
      <c r="I941" s="33"/>
      <c r="J941" s="33"/>
      <c r="O941" s="33"/>
      <c r="P941" s="33"/>
      <c r="U941" s="33"/>
      <c r="V941" s="33"/>
      <c r="AP941" s="35"/>
      <c r="AQ941" s="35"/>
    </row>
    <row r="942">
      <c r="C942" s="33"/>
      <c r="D942" s="33"/>
      <c r="I942" s="33"/>
      <c r="J942" s="33"/>
      <c r="O942" s="33"/>
      <c r="P942" s="33"/>
      <c r="U942" s="33"/>
      <c r="V942" s="33"/>
      <c r="AP942" s="35"/>
      <c r="AQ942" s="35"/>
    </row>
    <row r="943">
      <c r="C943" s="33"/>
      <c r="D943" s="33"/>
      <c r="I943" s="33"/>
      <c r="J943" s="33"/>
      <c r="O943" s="33"/>
      <c r="P943" s="33"/>
      <c r="U943" s="33"/>
      <c r="V943" s="33"/>
      <c r="AP943" s="35"/>
      <c r="AQ943" s="35"/>
    </row>
    <row r="944">
      <c r="C944" s="33"/>
      <c r="D944" s="33"/>
      <c r="I944" s="33"/>
      <c r="J944" s="33"/>
      <c r="O944" s="33"/>
      <c r="P944" s="33"/>
      <c r="U944" s="33"/>
      <c r="V944" s="33"/>
      <c r="AP944" s="35"/>
      <c r="AQ944" s="35"/>
    </row>
    <row r="945">
      <c r="C945" s="33"/>
      <c r="D945" s="33"/>
      <c r="I945" s="33"/>
      <c r="J945" s="33"/>
      <c r="O945" s="33"/>
      <c r="P945" s="33"/>
      <c r="U945" s="33"/>
      <c r="V945" s="33"/>
      <c r="AP945" s="35"/>
      <c r="AQ945" s="35"/>
    </row>
    <row r="946">
      <c r="C946" s="33"/>
      <c r="D946" s="33"/>
      <c r="I946" s="33"/>
      <c r="J946" s="33"/>
      <c r="O946" s="33"/>
      <c r="P946" s="33"/>
      <c r="U946" s="33"/>
      <c r="V946" s="33"/>
      <c r="AP946" s="35"/>
      <c r="AQ946" s="35"/>
    </row>
    <row r="947">
      <c r="C947" s="33"/>
      <c r="D947" s="33"/>
      <c r="I947" s="33"/>
      <c r="J947" s="33"/>
      <c r="O947" s="33"/>
      <c r="P947" s="33"/>
      <c r="U947" s="33"/>
      <c r="V947" s="33"/>
      <c r="AP947" s="35"/>
      <c r="AQ947" s="35"/>
    </row>
    <row r="948">
      <c r="C948" s="33"/>
      <c r="D948" s="33"/>
      <c r="I948" s="33"/>
      <c r="J948" s="33"/>
      <c r="O948" s="33"/>
      <c r="P948" s="33"/>
      <c r="U948" s="33"/>
      <c r="V948" s="33"/>
      <c r="AP948" s="35"/>
      <c r="AQ948" s="35"/>
    </row>
    <row r="949">
      <c r="C949" s="33"/>
      <c r="D949" s="33"/>
      <c r="I949" s="33"/>
      <c r="J949" s="33"/>
      <c r="O949" s="33"/>
      <c r="P949" s="33"/>
      <c r="U949" s="33"/>
      <c r="V949" s="33"/>
      <c r="AP949" s="35"/>
      <c r="AQ949" s="35"/>
    </row>
    <row r="950">
      <c r="C950" s="33"/>
      <c r="D950" s="33"/>
      <c r="I950" s="33"/>
      <c r="J950" s="33"/>
      <c r="O950" s="33"/>
      <c r="P950" s="33"/>
      <c r="U950" s="33"/>
      <c r="V950" s="33"/>
      <c r="AP950" s="35"/>
      <c r="AQ950" s="35"/>
    </row>
    <row r="951">
      <c r="C951" s="33"/>
      <c r="D951" s="33"/>
      <c r="I951" s="33"/>
      <c r="J951" s="33"/>
      <c r="O951" s="33"/>
      <c r="P951" s="33"/>
      <c r="U951" s="33"/>
      <c r="V951" s="33"/>
      <c r="AP951" s="35"/>
      <c r="AQ951" s="35"/>
    </row>
    <row r="952">
      <c r="C952" s="33"/>
      <c r="D952" s="33"/>
      <c r="I952" s="33"/>
      <c r="J952" s="33"/>
      <c r="O952" s="33"/>
      <c r="P952" s="33"/>
      <c r="U952" s="33"/>
      <c r="V952" s="33"/>
      <c r="AP952" s="35"/>
      <c r="AQ952" s="35"/>
    </row>
    <row r="953">
      <c r="C953" s="33"/>
      <c r="D953" s="33"/>
      <c r="I953" s="33"/>
      <c r="J953" s="33"/>
      <c r="O953" s="33"/>
      <c r="P953" s="33"/>
      <c r="U953" s="33"/>
      <c r="V953" s="33"/>
      <c r="AP953" s="35"/>
      <c r="AQ953" s="35"/>
    </row>
    <row r="954">
      <c r="C954" s="33"/>
      <c r="D954" s="33"/>
      <c r="I954" s="33"/>
      <c r="J954" s="33"/>
      <c r="O954" s="33"/>
      <c r="P954" s="33"/>
      <c r="U954" s="33"/>
      <c r="V954" s="33"/>
      <c r="AP954" s="35"/>
      <c r="AQ954" s="35"/>
    </row>
    <row r="955">
      <c r="C955" s="33"/>
      <c r="D955" s="33"/>
      <c r="I955" s="33"/>
      <c r="J955" s="33"/>
      <c r="O955" s="33"/>
      <c r="P955" s="33"/>
      <c r="U955" s="33"/>
      <c r="V955" s="33"/>
      <c r="AP955" s="35"/>
      <c r="AQ955" s="35"/>
    </row>
    <row r="956">
      <c r="C956" s="33"/>
      <c r="D956" s="33"/>
      <c r="I956" s="33"/>
      <c r="J956" s="33"/>
      <c r="O956" s="33"/>
      <c r="P956" s="33"/>
      <c r="U956" s="33"/>
      <c r="V956" s="33"/>
      <c r="AP956" s="35"/>
      <c r="AQ956" s="35"/>
    </row>
    <row r="957">
      <c r="C957" s="33"/>
      <c r="D957" s="33"/>
      <c r="I957" s="33"/>
      <c r="J957" s="33"/>
      <c r="O957" s="33"/>
      <c r="P957" s="33"/>
      <c r="U957" s="33"/>
      <c r="V957" s="33"/>
      <c r="AP957" s="35"/>
      <c r="AQ957" s="35"/>
    </row>
    <row r="958">
      <c r="C958" s="33"/>
      <c r="D958" s="33"/>
      <c r="I958" s="33"/>
      <c r="J958" s="33"/>
      <c r="O958" s="33"/>
      <c r="P958" s="33"/>
      <c r="U958" s="33"/>
      <c r="V958" s="33"/>
      <c r="AP958" s="35"/>
      <c r="AQ958" s="35"/>
    </row>
    <row r="959">
      <c r="C959" s="33"/>
      <c r="D959" s="33"/>
      <c r="I959" s="33"/>
      <c r="J959" s="33"/>
      <c r="O959" s="33"/>
      <c r="P959" s="33"/>
      <c r="U959" s="33"/>
      <c r="V959" s="33"/>
      <c r="AP959" s="35"/>
      <c r="AQ959" s="35"/>
    </row>
    <row r="960">
      <c r="C960" s="33"/>
      <c r="D960" s="33"/>
      <c r="I960" s="33"/>
      <c r="J960" s="33"/>
      <c r="O960" s="33"/>
      <c r="P960" s="33"/>
      <c r="U960" s="33"/>
      <c r="V960" s="33"/>
      <c r="AP960" s="35"/>
      <c r="AQ960" s="35"/>
    </row>
    <row r="961">
      <c r="C961" s="33"/>
      <c r="D961" s="33"/>
      <c r="I961" s="33"/>
      <c r="J961" s="33"/>
      <c r="O961" s="33"/>
      <c r="P961" s="33"/>
      <c r="U961" s="33"/>
      <c r="V961" s="33"/>
      <c r="AP961" s="35"/>
      <c r="AQ961" s="35"/>
    </row>
    <row r="962">
      <c r="C962" s="33"/>
      <c r="D962" s="33"/>
      <c r="I962" s="33"/>
      <c r="J962" s="33"/>
      <c r="O962" s="33"/>
      <c r="P962" s="33"/>
      <c r="U962" s="33"/>
      <c r="V962" s="33"/>
      <c r="AP962" s="35"/>
      <c r="AQ962" s="35"/>
    </row>
    <row r="963">
      <c r="C963" s="33"/>
      <c r="D963" s="33"/>
      <c r="I963" s="33"/>
      <c r="J963" s="33"/>
      <c r="O963" s="33"/>
      <c r="P963" s="33"/>
      <c r="U963" s="33"/>
      <c r="V963" s="33"/>
      <c r="AP963" s="35"/>
      <c r="AQ963" s="35"/>
    </row>
    <row r="964">
      <c r="C964" s="33"/>
      <c r="D964" s="33"/>
      <c r="I964" s="33"/>
      <c r="J964" s="33"/>
      <c r="O964" s="33"/>
      <c r="P964" s="33"/>
      <c r="U964" s="33"/>
      <c r="V964" s="33"/>
      <c r="AP964" s="35"/>
      <c r="AQ964" s="35"/>
    </row>
    <row r="965">
      <c r="C965" s="33"/>
      <c r="D965" s="33"/>
      <c r="I965" s="33"/>
      <c r="J965" s="33"/>
      <c r="O965" s="33"/>
      <c r="P965" s="33"/>
      <c r="U965" s="33"/>
      <c r="V965" s="33"/>
      <c r="AP965" s="35"/>
      <c r="AQ965" s="35"/>
    </row>
    <row r="966">
      <c r="C966" s="33"/>
      <c r="D966" s="33"/>
      <c r="I966" s="33"/>
      <c r="J966" s="33"/>
      <c r="O966" s="33"/>
      <c r="P966" s="33"/>
      <c r="U966" s="33"/>
      <c r="V966" s="33"/>
      <c r="AP966" s="35"/>
      <c r="AQ966" s="35"/>
    </row>
    <row r="967">
      <c r="C967" s="33"/>
      <c r="D967" s="33"/>
      <c r="I967" s="33"/>
      <c r="J967" s="33"/>
      <c r="O967" s="33"/>
      <c r="P967" s="33"/>
      <c r="U967" s="33"/>
      <c r="V967" s="33"/>
      <c r="AP967" s="35"/>
      <c r="AQ967" s="35"/>
    </row>
    <row r="968">
      <c r="C968" s="33"/>
      <c r="D968" s="33"/>
      <c r="I968" s="33"/>
      <c r="J968" s="33"/>
      <c r="O968" s="33"/>
      <c r="P968" s="33"/>
      <c r="U968" s="33"/>
      <c r="V968" s="33"/>
      <c r="AP968" s="35"/>
      <c r="AQ968" s="35"/>
    </row>
    <row r="969">
      <c r="C969" s="33"/>
      <c r="D969" s="33"/>
      <c r="I969" s="33"/>
      <c r="J969" s="33"/>
      <c r="O969" s="33"/>
      <c r="P969" s="33"/>
      <c r="U969" s="33"/>
      <c r="V969" s="33"/>
      <c r="AP969" s="35"/>
      <c r="AQ969" s="35"/>
    </row>
    <row r="970">
      <c r="C970" s="33"/>
      <c r="D970" s="33"/>
      <c r="I970" s="33"/>
      <c r="J970" s="33"/>
      <c r="O970" s="33"/>
      <c r="P970" s="33"/>
      <c r="U970" s="33"/>
      <c r="V970" s="33"/>
      <c r="AP970" s="35"/>
      <c r="AQ970" s="35"/>
    </row>
    <row r="971">
      <c r="C971" s="33"/>
      <c r="D971" s="33"/>
      <c r="I971" s="33"/>
      <c r="J971" s="33"/>
      <c r="O971" s="33"/>
      <c r="P971" s="33"/>
      <c r="U971" s="33"/>
      <c r="V971" s="33"/>
      <c r="AP971" s="35"/>
      <c r="AQ971" s="35"/>
    </row>
    <row r="972">
      <c r="C972" s="33"/>
      <c r="D972" s="33"/>
      <c r="I972" s="33"/>
      <c r="J972" s="33"/>
      <c r="O972" s="33"/>
      <c r="P972" s="33"/>
      <c r="U972" s="33"/>
      <c r="V972" s="33"/>
      <c r="AP972" s="35"/>
      <c r="AQ972" s="35"/>
    </row>
    <row r="973">
      <c r="C973" s="33"/>
      <c r="D973" s="33"/>
      <c r="I973" s="33"/>
      <c r="J973" s="33"/>
      <c r="O973" s="33"/>
      <c r="P973" s="33"/>
      <c r="U973" s="33"/>
      <c r="V973" s="33"/>
      <c r="AP973" s="35"/>
      <c r="AQ973" s="35"/>
    </row>
    <row r="974">
      <c r="C974" s="33"/>
      <c r="D974" s="33"/>
      <c r="I974" s="33"/>
      <c r="J974" s="33"/>
      <c r="O974" s="33"/>
      <c r="P974" s="33"/>
      <c r="U974" s="33"/>
      <c r="V974" s="33"/>
      <c r="AP974" s="35"/>
      <c r="AQ974" s="35"/>
    </row>
    <row r="975">
      <c r="C975" s="33"/>
      <c r="D975" s="33"/>
      <c r="I975" s="33"/>
      <c r="J975" s="33"/>
      <c r="O975" s="33"/>
      <c r="P975" s="33"/>
      <c r="U975" s="33"/>
      <c r="V975" s="33"/>
      <c r="AP975" s="35"/>
      <c r="AQ975" s="35"/>
    </row>
    <row r="976">
      <c r="C976" s="33"/>
      <c r="D976" s="33"/>
      <c r="I976" s="33"/>
      <c r="J976" s="33"/>
      <c r="O976" s="33"/>
      <c r="P976" s="33"/>
      <c r="U976" s="33"/>
      <c r="V976" s="33"/>
      <c r="AP976" s="35"/>
      <c r="AQ976" s="35"/>
    </row>
    <row r="977">
      <c r="C977" s="33"/>
      <c r="D977" s="33"/>
      <c r="I977" s="33"/>
      <c r="J977" s="33"/>
      <c r="O977" s="33"/>
      <c r="P977" s="33"/>
      <c r="U977" s="33"/>
      <c r="V977" s="33"/>
      <c r="AP977" s="35"/>
      <c r="AQ977" s="35"/>
    </row>
    <row r="978">
      <c r="C978" s="33"/>
      <c r="D978" s="33"/>
      <c r="I978" s="33"/>
      <c r="J978" s="33"/>
      <c r="O978" s="33"/>
      <c r="P978" s="33"/>
      <c r="U978" s="33"/>
      <c r="V978" s="33"/>
      <c r="AP978" s="35"/>
      <c r="AQ978" s="35"/>
    </row>
    <row r="979">
      <c r="C979" s="33"/>
      <c r="D979" s="33"/>
      <c r="I979" s="33"/>
      <c r="J979" s="33"/>
      <c r="O979" s="33"/>
      <c r="P979" s="33"/>
      <c r="U979" s="33"/>
      <c r="V979" s="33"/>
      <c r="AP979" s="35"/>
      <c r="AQ979" s="35"/>
    </row>
    <row r="980">
      <c r="C980" s="33"/>
      <c r="D980" s="33"/>
      <c r="I980" s="33"/>
      <c r="J980" s="33"/>
      <c r="O980" s="33"/>
      <c r="P980" s="33"/>
      <c r="U980" s="33"/>
      <c r="V980" s="33"/>
      <c r="AP980" s="35"/>
      <c r="AQ980" s="35"/>
    </row>
    <row r="981">
      <c r="C981" s="33"/>
      <c r="D981" s="33"/>
      <c r="I981" s="33"/>
      <c r="J981" s="33"/>
      <c r="O981" s="33"/>
      <c r="P981" s="33"/>
      <c r="U981" s="33"/>
      <c r="V981" s="33"/>
      <c r="AP981" s="35"/>
      <c r="AQ981" s="35"/>
    </row>
    <row r="982">
      <c r="C982" s="33"/>
      <c r="D982" s="33"/>
      <c r="I982" s="33"/>
      <c r="J982" s="33"/>
      <c r="O982" s="33"/>
      <c r="P982" s="33"/>
      <c r="U982" s="33"/>
      <c r="V982" s="33"/>
      <c r="AP982" s="35"/>
      <c r="AQ982" s="35"/>
    </row>
    <row r="983">
      <c r="C983" s="33"/>
      <c r="D983" s="33"/>
      <c r="I983" s="33"/>
      <c r="J983" s="33"/>
      <c r="O983" s="33"/>
      <c r="P983" s="33"/>
      <c r="U983" s="33"/>
      <c r="V983" s="33"/>
      <c r="AP983" s="35"/>
      <c r="AQ983" s="35"/>
    </row>
    <row r="984">
      <c r="C984" s="33"/>
      <c r="D984" s="33"/>
      <c r="I984" s="33"/>
      <c r="J984" s="33"/>
      <c r="O984" s="33"/>
      <c r="P984" s="33"/>
      <c r="U984" s="33"/>
      <c r="V984" s="33"/>
      <c r="AP984" s="35"/>
      <c r="AQ984" s="35"/>
    </row>
    <row r="985">
      <c r="C985" s="33"/>
      <c r="D985" s="33"/>
      <c r="I985" s="33"/>
      <c r="J985" s="33"/>
      <c r="O985" s="33"/>
      <c r="P985" s="33"/>
      <c r="U985" s="33"/>
      <c r="V985" s="33"/>
      <c r="AP985" s="35"/>
      <c r="AQ985" s="35"/>
    </row>
    <row r="986">
      <c r="C986" s="33"/>
      <c r="D986" s="33"/>
      <c r="I986" s="33"/>
      <c r="J986" s="33"/>
      <c r="O986" s="33"/>
      <c r="P986" s="33"/>
      <c r="U986" s="33"/>
      <c r="V986" s="33"/>
      <c r="AP986" s="35"/>
      <c r="AQ986" s="35"/>
    </row>
    <row r="987">
      <c r="C987" s="33"/>
      <c r="D987" s="33"/>
      <c r="I987" s="33"/>
      <c r="J987" s="33"/>
      <c r="O987" s="33"/>
      <c r="P987" s="33"/>
      <c r="U987" s="33"/>
      <c r="V987" s="33"/>
      <c r="AP987" s="35"/>
      <c r="AQ987" s="35"/>
    </row>
    <row r="988">
      <c r="C988" s="33"/>
      <c r="D988" s="33"/>
      <c r="I988" s="33"/>
      <c r="J988" s="33"/>
      <c r="O988" s="33"/>
      <c r="P988" s="33"/>
      <c r="U988" s="33"/>
      <c r="V988" s="33"/>
      <c r="AP988" s="35"/>
      <c r="AQ988" s="35"/>
    </row>
    <row r="989">
      <c r="C989" s="33"/>
      <c r="D989" s="33"/>
      <c r="I989" s="33"/>
      <c r="J989" s="33"/>
      <c r="O989" s="33"/>
      <c r="P989" s="33"/>
      <c r="U989" s="33"/>
      <c r="V989" s="33"/>
      <c r="AP989" s="35"/>
      <c r="AQ989" s="35"/>
    </row>
    <row r="990">
      <c r="C990" s="33"/>
      <c r="D990" s="33"/>
      <c r="I990" s="33"/>
      <c r="J990" s="33"/>
      <c r="O990" s="33"/>
      <c r="P990" s="33"/>
      <c r="U990" s="33"/>
      <c r="V990" s="33"/>
      <c r="AP990" s="35"/>
      <c r="AQ990" s="35"/>
    </row>
    <row r="991">
      <c r="C991" s="33"/>
      <c r="D991" s="33"/>
      <c r="I991" s="33"/>
      <c r="J991" s="33"/>
      <c r="O991" s="33"/>
      <c r="P991" s="33"/>
      <c r="U991" s="33"/>
      <c r="V991" s="33"/>
      <c r="AP991" s="35"/>
      <c r="AQ991" s="35"/>
    </row>
    <row r="992">
      <c r="C992" s="33"/>
      <c r="D992" s="33"/>
      <c r="I992" s="33"/>
      <c r="J992" s="33"/>
      <c r="O992" s="33"/>
      <c r="P992" s="33"/>
      <c r="U992" s="33"/>
      <c r="V992" s="33"/>
      <c r="AP992" s="35"/>
      <c r="AQ992" s="35"/>
    </row>
    <row r="993">
      <c r="C993" s="33"/>
      <c r="D993" s="33"/>
      <c r="I993" s="33"/>
      <c r="J993" s="33"/>
      <c r="O993" s="33"/>
      <c r="P993" s="33"/>
      <c r="U993" s="33"/>
      <c r="V993" s="33"/>
      <c r="AP993" s="35"/>
      <c r="AQ993" s="35"/>
    </row>
    <row r="994">
      <c r="C994" s="33"/>
      <c r="D994" s="33"/>
      <c r="I994" s="33"/>
      <c r="J994" s="33"/>
      <c r="O994" s="33"/>
      <c r="P994" s="33"/>
      <c r="U994" s="33"/>
      <c r="V994" s="33"/>
      <c r="AP994" s="35"/>
      <c r="AQ994" s="35"/>
    </row>
    <row r="995">
      <c r="C995" s="33"/>
      <c r="D995" s="33"/>
      <c r="I995" s="33"/>
      <c r="J995" s="33"/>
      <c r="O995" s="33"/>
      <c r="P995" s="33"/>
      <c r="U995" s="33"/>
      <c r="V995" s="33"/>
      <c r="AP995" s="35"/>
      <c r="AQ995" s="35"/>
    </row>
    <row r="996">
      <c r="C996" s="33"/>
      <c r="D996" s="33"/>
      <c r="I996" s="33"/>
      <c r="J996" s="33"/>
      <c r="O996" s="33"/>
      <c r="P996" s="33"/>
      <c r="U996" s="33"/>
      <c r="V996" s="33"/>
      <c r="AD996" s="35"/>
      <c r="AE996" s="35"/>
      <c r="AP996" s="35"/>
      <c r="AQ996" s="35"/>
    </row>
  </sheetData>
  <mergeCells count="94">
    <mergeCell ref="X18:Y18"/>
    <mergeCell ref="AE18:AF18"/>
    <mergeCell ref="AV18:AW18"/>
    <mergeCell ref="AS19:AT19"/>
    <mergeCell ref="AV19:AW19"/>
    <mergeCell ref="AV20:AW20"/>
    <mergeCell ref="AV23:AW23"/>
    <mergeCell ref="X25:Y25"/>
    <mergeCell ref="X28:Y28"/>
    <mergeCell ref="C31:D31"/>
    <mergeCell ref="I31:J31"/>
    <mergeCell ref="O31:P31"/>
    <mergeCell ref="R31:S31"/>
    <mergeCell ref="U31:V31"/>
    <mergeCell ref="X31:Y31"/>
    <mergeCell ref="AA18:AB18"/>
    <mergeCell ref="AA21:AB21"/>
    <mergeCell ref="AE21:AF21"/>
    <mergeCell ref="X22:Y22"/>
    <mergeCell ref="AA24:AB24"/>
    <mergeCell ref="AE24:AF24"/>
    <mergeCell ref="AE27:AF27"/>
    <mergeCell ref="AP37:AQ37"/>
    <mergeCell ref="AP40:AQ40"/>
    <mergeCell ref="AP43:AQ43"/>
    <mergeCell ref="AP46:AQ46"/>
    <mergeCell ref="AP18:AQ19"/>
    <mergeCell ref="AP25:AQ25"/>
    <mergeCell ref="AS25:AT25"/>
    <mergeCell ref="AP28:AQ28"/>
    <mergeCell ref="AS28:AT28"/>
    <mergeCell ref="AP31:AQ31"/>
    <mergeCell ref="AP34:AQ34"/>
    <mergeCell ref="AE30:AF30"/>
    <mergeCell ref="AE33:AF33"/>
    <mergeCell ref="X34:Y34"/>
    <mergeCell ref="AE36:AF36"/>
    <mergeCell ref="X37:Y37"/>
    <mergeCell ref="X40:Y40"/>
    <mergeCell ref="X43:Y43"/>
    <mergeCell ref="X70:Y70"/>
    <mergeCell ref="X73:Y73"/>
    <mergeCell ref="X76:Y76"/>
    <mergeCell ref="X79:Y79"/>
    <mergeCell ref="X46:Y46"/>
    <mergeCell ref="X49:Y49"/>
    <mergeCell ref="X52:Y52"/>
    <mergeCell ref="X55:Y55"/>
    <mergeCell ref="X58:Y58"/>
    <mergeCell ref="X61:Y61"/>
    <mergeCell ref="X67:Y67"/>
    <mergeCell ref="X6:Y6"/>
    <mergeCell ref="AA6:AB6"/>
    <mergeCell ref="AE6:AF6"/>
    <mergeCell ref="AM6:AN6"/>
    <mergeCell ref="AP7:AQ7"/>
    <mergeCell ref="AS7:AT7"/>
    <mergeCell ref="AV7:AW7"/>
    <mergeCell ref="R3:S3"/>
    <mergeCell ref="C6:D6"/>
    <mergeCell ref="F6:G6"/>
    <mergeCell ref="I6:J6"/>
    <mergeCell ref="O6:P6"/>
    <mergeCell ref="R6:S6"/>
    <mergeCell ref="U6:V6"/>
    <mergeCell ref="AP10:AQ10"/>
    <mergeCell ref="AS10:AT10"/>
    <mergeCell ref="AV10:AW10"/>
    <mergeCell ref="AM12:AN12"/>
    <mergeCell ref="AP13:AQ13"/>
    <mergeCell ref="AS13:AT13"/>
    <mergeCell ref="AV13:AW13"/>
    <mergeCell ref="O9:P9"/>
    <mergeCell ref="X9:Y9"/>
    <mergeCell ref="AA9:AB9"/>
    <mergeCell ref="AE9:AF9"/>
    <mergeCell ref="AM9:AN9"/>
    <mergeCell ref="C10:D10"/>
    <mergeCell ref="C11:D11"/>
    <mergeCell ref="AA15:AB15"/>
    <mergeCell ref="AE15:AF15"/>
    <mergeCell ref="AM15:AN15"/>
    <mergeCell ref="AP16:AQ16"/>
    <mergeCell ref="AS16:AT16"/>
    <mergeCell ref="AV16:AW16"/>
    <mergeCell ref="U9:V9"/>
    <mergeCell ref="U12:V12"/>
    <mergeCell ref="X12:Y12"/>
    <mergeCell ref="AA12:AB12"/>
    <mergeCell ref="AE12:AF12"/>
    <mergeCell ref="U15:V15"/>
    <mergeCell ref="X15:Y15"/>
    <mergeCell ref="AP22:AQ22"/>
    <mergeCell ref="AS22:AT22"/>
  </mergeCells>
  <hyperlinks>
    <hyperlink r:id="rId1" ref="C6"/>
    <hyperlink r:id="rId2" ref="I6"/>
    <hyperlink r:id="rId3" ref="O6"/>
    <hyperlink r:id="rId4" ref="R6"/>
    <hyperlink r:id="rId5" ref="X6"/>
    <hyperlink r:id="rId6" ref="AA6"/>
    <hyperlink r:id="rId7" ref="AE6"/>
    <hyperlink r:id="rId8" ref="AM6"/>
    <hyperlink r:id="rId9" ref="AP7"/>
    <hyperlink r:id="rId10" ref="AS7"/>
    <hyperlink r:id="rId11" ref="O9"/>
    <hyperlink r:id="rId12" ref="U9"/>
    <hyperlink r:id="rId13" ref="X9"/>
    <hyperlink r:id="rId14" ref="AA9"/>
    <hyperlink r:id="rId15" ref="AE9"/>
    <hyperlink r:id="rId16" ref="AM9"/>
    <hyperlink r:id="rId17" ref="AP10"/>
    <hyperlink r:id="rId18" ref="AS10"/>
    <hyperlink r:id="rId19" ref="U12"/>
    <hyperlink r:id="rId20" ref="X12"/>
    <hyperlink r:id="rId21" ref="AA12"/>
    <hyperlink r:id="rId22" ref="AE12"/>
    <hyperlink r:id="rId23" ref="AM12"/>
    <hyperlink r:id="rId24" ref="AP13"/>
    <hyperlink r:id="rId25" ref="AS13"/>
    <hyperlink r:id="rId26" ref="U15"/>
    <hyperlink r:id="rId27" ref="X15"/>
    <hyperlink r:id="rId28" ref="AA15"/>
    <hyperlink r:id="rId29" ref="AE15"/>
    <hyperlink r:id="rId30" ref="AM15"/>
    <hyperlink r:id="rId31" location="heading=h.sygdvuc0vual" ref="AP16"/>
    <hyperlink r:id="rId32" ref="AS16"/>
    <hyperlink r:id="rId33" ref="X18"/>
    <hyperlink r:id="rId34" ref="AA18"/>
    <hyperlink r:id="rId35" location="heading=h.wxfi5t7xjbx0" ref="AE18"/>
    <hyperlink r:id="rId36" ref="AS19"/>
    <hyperlink r:id="rId37" ref="AA21"/>
    <hyperlink r:id="rId38" ref="AE21"/>
    <hyperlink r:id="rId39" location="heading=h.afltj1z5zkxz" ref="X22"/>
    <hyperlink r:id="rId40" ref="AP22"/>
    <hyperlink r:id="rId41" ref="AS22"/>
    <hyperlink r:id="rId42" ref="AA24"/>
    <hyperlink r:id="rId43" ref="AE24"/>
    <hyperlink r:id="rId44" ref="X25"/>
    <hyperlink r:id="rId45" location="heading=h.k7att4950m72" ref="AP25"/>
    <hyperlink r:id="rId46" ref="AS25"/>
    <hyperlink r:id="rId47" ref="AE27"/>
    <hyperlink r:id="rId48" ref="X28"/>
    <hyperlink r:id="rId49" location="heading=h.ls3u0g2me2gl" ref="AP28"/>
    <hyperlink r:id="rId50" ref="AS28"/>
    <hyperlink r:id="rId51" ref="AE30"/>
    <hyperlink r:id="rId52" ref="C31"/>
    <hyperlink r:id="rId53" ref="I31"/>
    <hyperlink r:id="rId54" ref="O31"/>
    <hyperlink r:id="rId55" ref="R31"/>
    <hyperlink r:id="rId56" ref="U31"/>
    <hyperlink r:id="rId57" ref="X31"/>
    <hyperlink r:id="rId58" location="heading=h.wxfi5t7xjbx0" ref="AP31"/>
    <hyperlink r:id="rId59" location="heading=h.mbtnkdbkieyp" ref="AE33"/>
    <hyperlink r:id="rId60" ref="X34"/>
    <hyperlink r:id="rId61" ref="AP34"/>
    <hyperlink r:id="rId62" ref="AE36"/>
    <hyperlink r:id="rId63" ref="X37"/>
    <hyperlink r:id="rId64" location="heading=h.a7u2xj4x8vtz" ref="AP37"/>
    <hyperlink r:id="rId65" ref="X40"/>
    <hyperlink r:id="rId66" ref="AP40"/>
    <hyperlink r:id="rId67" ref="X43"/>
    <hyperlink r:id="rId68" ref="AP43"/>
    <hyperlink r:id="rId69" ref="X46"/>
    <hyperlink r:id="rId70" ref="AP46"/>
    <hyperlink r:id="rId71" ref="X49"/>
    <hyperlink r:id="rId72" ref="X52"/>
    <hyperlink r:id="rId73" ref="X55"/>
    <hyperlink r:id="rId74" ref="X58"/>
    <hyperlink r:id="rId75" ref="X61"/>
    <hyperlink r:id="rId76" ref="X64"/>
    <hyperlink r:id="rId77" ref="X67"/>
    <hyperlink r:id="rId78" ref="X70"/>
    <hyperlink r:id="rId79" ref="X73"/>
    <hyperlink r:id="rId80" ref="X76"/>
    <hyperlink r:id="rId81" ref="X79"/>
  </hyperlinks>
  <drawing r:id="rId8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38"/>
    <col customWidth="1" min="5" max="5" width="6.88"/>
    <col customWidth="1" min="7" max="7" width="25.25"/>
    <col customWidth="1" min="8" max="8" width="4.88"/>
    <col customWidth="1" min="9" max="9" width="25.5"/>
    <col customWidth="1" min="10" max="10" width="5.0"/>
    <col customWidth="1" min="11" max="11" width="21.75"/>
  </cols>
  <sheetData>
    <row r="1">
      <c r="A1" s="3"/>
      <c r="B1" s="3"/>
      <c r="C1" s="3"/>
      <c r="D1" s="3"/>
      <c r="E1" s="3"/>
      <c r="F1" s="109" t="s">
        <v>201</v>
      </c>
      <c r="G1" s="3"/>
    </row>
    <row r="2">
      <c r="A2" s="3"/>
      <c r="B2" s="3"/>
      <c r="C2" s="3"/>
      <c r="D2" s="3"/>
      <c r="E2" s="110"/>
      <c r="F2" s="111" t="s">
        <v>202</v>
      </c>
      <c r="G2" s="112" t="s">
        <v>203</v>
      </c>
      <c r="I2" s="2" t="s">
        <v>204</v>
      </c>
    </row>
    <row r="3">
      <c r="A3" s="3"/>
      <c r="B3" s="3"/>
      <c r="C3" s="3"/>
      <c r="D3" s="3"/>
      <c r="E3" s="113"/>
      <c r="F3" s="114"/>
      <c r="G3" s="112" t="s">
        <v>205</v>
      </c>
      <c r="I3" s="115" t="s">
        <v>206</v>
      </c>
      <c r="J3" s="116"/>
      <c r="K3" s="115" t="s">
        <v>207</v>
      </c>
      <c r="L3" s="115"/>
    </row>
    <row r="4">
      <c r="A4" s="3"/>
      <c r="B4" s="3"/>
      <c r="C4" s="3"/>
      <c r="D4" s="3"/>
      <c r="E4" s="113"/>
      <c r="F4" s="114"/>
      <c r="G4" s="112" t="s">
        <v>208</v>
      </c>
      <c r="I4" s="4"/>
      <c r="K4" s="4"/>
      <c r="L4" s="117" t="s">
        <v>209</v>
      </c>
    </row>
    <row r="5">
      <c r="A5" s="3"/>
      <c r="B5" s="3"/>
      <c r="C5" s="3"/>
      <c r="D5" s="3"/>
      <c r="E5" s="113"/>
      <c r="F5" s="118"/>
      <c r="G5" s="112" t="s">
        <v>210</v>
      </c>
      <c r="I5" s="119" t="s">
        <v>211</v>
      </c>
      <c r="K5" s="119" t="s">
        <v>212</v>
      </c>
    </row>
    <row r="6">
      <c r="A6" s="3"/>
      <c r="B6" s="120" t="s">
        <v>213</v>
      </c>
      <c r="C6" s="121"/>
      <c r="D6" s="122"/>
      <c r="E6" s="123"/>
      <c r="F6" s="109" t="s">
        <v>214</v>
      </c>
      <c r="G6" s="3"/>
      <c r="I6" s="119" t="s">
        <v>215</v>
      </c>
      <c r="K6" s="119" t="s">
        <v>216</v>
      </c>
    </row>
    <row r="7">
      <c r="A7" s="3"/>
      <c r="B7" s="124" t="s">
        <v>217</v>
      </c>
      <c r="C7" s="121"/>
      <c r="D7" s="122"/>
      <c r="E7" s="113"/>
      <c r="F7" s="111" t="s">
        <v>218</v>
      </c>
      <c r="G7" s="112" t="s">
        <v>203</v>
      </c>
      <c r="I7" s="119" t="s">
        <v>219</v>
      </c>
      <c r="K7" s="119" t="s">
        <v>220</v>
      </c>
      <c r="L7" s="3"/>
      <c r="N7" s="119"/>
      <c r="O7" s="3"/>
    </row>
    <row r="8">
      <c r="A8" s="125"/>
      <c r="B8" s="126"/>
      <c r="D8" s="127"/>
      <c r="E8" s="113"/>
      <c r="F8" s="114"/>
      <c r="G8" s="112" t="s">
        <v>205</v>
      </c>
      <c r="I8" s="119" t="s">
        <v>221</v>
      </c>
      <c r="K8" s="119" t="s">
        <v>222</v>
      </c>
      <c r="L8" s="3"/>
      <c r="N8" s="119"/>
      <c r="O8" s="3"/>
    </row>
    <row r="9">
      <c r="A9" s="125"/>
      <c r="B9" s="128"/>
      <c r="C9" s="129"/>
      <c r="D9" s="130"/>
      <c r="E9" s="113"/>
      <c r="F9" s="114"/>
      <c r="G9" s="112" t="s">
        <v>208</v>
      </c>
      <c r="I9" s="119" t="s">
        <v>223</v>
      </c>
      <c r="K9" s="119" t="s">
        <v>224</v>
      </c>
      <c r="L9" s="3"/>
      <c r="N9" s="119"/>
      <c r="O9" s="3"/>
    </row>
    <row r="10">
      <c r="A10" s="3"/>
      <c r="B10" s="3"/>
      <c r="C10" s="125"/>
      <c r="D10" s="125"/>
      <c r="E10" s="113"/>
      <c r="F10" s="118"/>
      <c r="G10" s="112" t="s">
        <v>210</v>
      </c>
      <c r="I10" s="119" t="s">
        <v>225</v>
      </c>
      <c r="K10" s="119" t="s">
        <v>226</v>
      </c>
      <c r="L10" s="3"/>
      <c r="N10" s="119"/>
      <c r="O10" s="3"/>
    </row>
    <row r="11">
      <c r="A11" s="125"/>
      <c r="B11" s="125"/>
      <c r="C11" s="125"/>
      <c r="D11" s="125"/>
      <c r="E11" s="123"/>
      <c r="F11" s="109" t="s">
        <v>227</v>
      </c>
      <c r="G11" s="3"/>
      <c r="I11" s="119" t="s">
        <v>228</v>
      </c>
      <c r="K11" s="119" t="s">
        <v>229</v>
      </c>
      <c r="L11" s="3"/>
      <c r="N11" s="119"/>
      <c r="O11" s="3"/>
    </row>
    <row r="12">
      <c r="A12" s="125"/>
      <c r="B12" s="125"/>
      <c r="C12" s="125"/>
      <c r="D12" s="125"/>
      <c r="E12" s="3"/>
      <c r="F12" s="111" t="s">
        <v>230</v>
      </c>
      <c r="G12" s="112" t="s">
        <v>203</v>
      </c>
      <c r="I12" s="119" t="s">
        <v>231</v>
      </c>
      <c r="K12" s="119" t="s">
        <v>232</v>
      </c>
      <c r="N12" s="119"/>
      <c r="O12" s="3"/>
    </row>
    <row r="13">
      <c r="A13" s="3"/>
      <c r="B13" s="3"/>
      <c r="C13" s="3"/>
      <c r="D13" s="3"/>
      <c r="E13" s="3"/>
      <c r="F13" s="114"/>
      <c r="G13" s="112" t="s">
        <v>205</v>
      </c>
      <c r="I13" s="119" t="s">
        <v>233</v>
      </c>
      <c r="K13" s="119" t="s">
        <v>234</v>
      </c>
      <c r="O13" s="3"/>
    </row>
    <row r="14">
      <c r="A14" s="3"/>
      <c r="B14" s="3"/>
      <c r="C14" s="3"/>
      <c r="D14" s="3"/>
      <c r="E14" s="3"/>
      <c r="F14" s="114"/>
      <c r="G14" s="112" t="s">
        <v>208</v>
      </c>
      <c r="I14" s="119" t="s">
        <v>235</v>
      </c>
      <c r="K14" s="119" t="s">
        <v>236</v>
      </c>
    </row>
    <row r="15">
      <c r="A15" s="3"/>
      <c r="B15" s="3"/>
      <c r="C15" s="3"/>
      <c r="D15" s="3"/>
      <c r="E15" s="3"/>
      <c r="F15" s="118"/>
      <c r="G15" s="112" t="s">
        <v>210</v>
      </c>
      <c r="I15" s="119" t="s">
        <v>237</v>
      </c>
      <c r="K15" s="119" t="s">
        <v>238</v>
      </c>
    </row>
    <row r="16">
      <c r="A16" s="3"/>
      <c r="B16" s="3"/>
      <c r="C16" s="3"/>
      <c r="D16" s="3"/>
      <c r="E16" s="3"/>
      <c r="F16" s="3"/>
      <c r="G16" s="3"/>
      <c r="I16" s="119" t="s">
        <v>239</v>
      </c>
      <c r="K16" s="119" t="s">
        <v>240</v>
      </c>
    </row>
    <row r="17">
      <c r="A17" s="3"/>
      <c r="B17" s="3"/>
      <c r="C17" s="3"/>
      <c r="D17" s="3"/>
      <c r="E17" s="3"/>
      <c r="F17" s="109" t="s">
        <v>241</v>
      </c>
      <c r="G17" s="3"/>
      <c r="I17" s="119" t="s">
        <v>242</v>
      </c>
      <c r="K17" s="119" t="s">
        <v>243</v>
      </c>
    </row>
    <row r="18">
      <c r="A18" s="3"/>
      <c r="B18" s="3"/>
      <c r="C18" s="3"/>
      <c r="D18" s="3"/>
      <c r="E18" s="110"/>
      <c r="F18" s="111" t="s">
        <v>202</v>
      </c>
      <c r="G18" s="112" t="s">
        <v>244</v>
      </c>
      <c r="I18" s="119" t="s">
        <v>245</v>
      </c>
      <c r="K18" s="119" t="s">
        <v>246</v>
      </c>
    </row>
    <row r="19">
      <c r="A19" s="3"/>
      <c r="B19" s="3"/>
      <c r="C19" s="3"/>
      <c r="D19" s="3"/>
      <c r="E19" s="113"/>
      <c r="F19" s="114"/>
      <c r="G19" s="112" t="s">
        <v>247</v>
      </c>
      <c r="I19" s="119" t="s">
        <v>248</v>
      </c>
      <c r="K19" s="119" t="s">
        <v>249</v>
      </c>
    </row>
    <row r="20">
      <c r="A20" s="3"/>
      <c r="B20" s="3"/>
      <c r="C20" s="3"/>
      <c r="D20" s="3"/>
      <c r="E20" s="113"/>
      <c r="F20" s="114"/>
      <c r="G20" s="112" t="s">
        <v>250</v>
      </c>
      <c r="I20" s="119" t="s">
        <v>251</v>
      </c>
      <c r="K20" s="119" t="s">
        <v>252</v>
      </c>
    </row>
    <row r="21">
      <c r="A21" s="3"/>
      <c r="B21" s="3"/>
      <c r="C21" s="3"/>
      <c r="D21" s="3"/>
      <c r="E21" s="113"/>
      <c r="F21" s="118"/>
      <c r="G21" s="112" t="s">
        <v>253</v>
      </c>
    </row>
    <row r="22">
      <c r="A22" s="3"/>
      <c r="B22" s="120" t="s">
        <v>254</v>
      </c>
      <c r="C22" s="121"/>
      <c r="D22" s="122"/>
      <c r="E22" s="123"/>
      <c r="F22" s="109" t="s">
        <v>255</v>
      </c>
      <c r="G22" s="3"/>
      <c r="I22" s="1" t="s">
        <v>256</v>
      </c>
    </row>
    <row r="23">
      <c r="A23" s="3"/>
      <c r="B23" s="124" t="s">
        <v>217</v>
      </c>
      <c r="C23" s="121"/>
      <c r="D23" s="122"/>
      <c r="E23" s="113"/>
      <c r="F23" s="111" t="s">
        <v>218</v>
      </c>
      <c r="G23" s="112" t="s">
        <v>244</v>
      </c>
      <c r="I23" s="34" t="s">
        <v>257</v>
      </c>
    </row>
    <row r="24">
      <c r="A24" s="125"/>
      <c r="B24" s="131"/>
      <c r="D24" s="127"/>
      <c r="E24" s="113"/>
      <c r="F24" s="114"/>
      <c r="G24" s="112" t="s">
        <v>247</v>
      </c>
    </row>
    <row r="25">
      <c r="A25" s="125"/>
      <c r="B25" s="128"/>
      <c r="C25" s="129"/>
      <c r="D25" s="130"/>
      <c r="E25" s="113"/>
      <c r="F25" s="114"/>
      <c r="G25" s="112" t="s">
        <v>250</v>
      </c>
      <c r="I25" s="34" t="s">
        <v>258</v>
      </c>
    </row>
    <row r="26">
      <c r="A26" s="3"/>
      <c r="B26" s="3"/>
      <c r="C26" s="125"/>
      <c r="D26" s="125"/>
      <c r="E26" s="113"/>
      <c r="F26" s="118"/>
      <c r="G26" s="112" t="s">
        <v>253</v>
      </c>
    </row>
    <row r="27">
      <c r="A27" s="125"/>
      <c r="B27" s="125"/>
      <c r="C27" s="125"/>
      <c r="D27" s="125"/>
      <c r="E27" s="123"/>
      <c r="F27" s="109" t="s">
        <v>259</v>
      </c>
      <c r="G27" s="3"/>
      <c r="I27" s="34" t="s">
        <v>260</v>
      </c>
    </row>
    <row r="28">
      <c r="A28" s="125"/>
      <c r="B28" s="125"/>
      <c r="C28" s="125"/>
      <c r="D28" s="125"/>
      <c r="E28" s="3"/>
      <c r="F28" s="111" t="s">
        <v>230</v>
      </c>
      <c r="G28" s="112" t="s">
        <v>244</v>
      </c>
    </row>
    <row r="29">
      <c r="A29" s="3"/>
      <c r="B29" s="3"/>
      <c r="C29" s="3"/>
      <c r="D29" s="3"/>
      <c r="E29" s="3"/>
      <c r="F29" s="114"/>
      <c r="G29" s="112" t="s">
        <v>247</v>
      </c>
      <c r="I29" s="34" t="s">
        <v>261</v>
      </c>
    </row>
    <row r="30">
      <c r="A30" s="3"/>
      <c r="B30" s="3"/>
      <c r="C30" s="3"/>
      <c r="D30" s="3"/>
      <c r="E30" s="3"/>
      <c r="F30" s="114"/>
      <c r="G30" s="112" t="s">
        <v>250</v>
      </c>
    </row>
    <row r="31">
      <c r="A31" s="3"/>
      <c r="B31" s="3"/>
      <c r="C31" s="3"/>
      <c r="D31" s="3"/>
      <c r="E31" s="3"/>
      <c r="F31" s="118"/>
      <c r="G31" s="112" t="s">
        <v>253</v>
      </c>
    </row>
    <row r="32">
      <c r="A32" s="3"/>
      <c r="B32" s="3"/>
      <c r="C32" s="3"/>
      <c r="D32" s="3"/>
      <c r="E32" s="3"/>
      <c r="F32" s="3"/>
      <c r="G32" s="3"/>
      <c r="I32" s="34" t="s">
        <v>262</v>
      </c>
    </row>
    <row r="33">
      <c r="A33" s="3"/>
      <c r="B33" s="3"/>
      <c r="C33" s="3"/>
      <c r="D33" s="3"/>
      <c r="E33" s="3"/>
      <c r="F33" s="109" t="s">
        <v>263</v>
      </c>
      <c r="G33" s="3"/>
      <c r="I33" s="34" t="s">
        <v>264</v>
      </c>
    </row>
    <row r="34">
      <c r="A34" s="3"/>
      <c r="B34" s="3"/>
      <c r="C34" s="3"/>
      <c r="D34" s="3"/>
      <c r="E34" s="110"/>
      <c r="F34" s="111" t="s">
        <v>202</v>
      </c>
      <c r="G34" s="112" t="s">
        <v>265</v>
      </c>
      <c r="I34" s="34" t="s">
        <v>266</v>
      </c>
    </row>
    <row r="35">
      <c r="A35" s="3"/>
      <c r="B35" s="3"/>
      <c r="C35" s="3"/>
      <c r="D35" s="3"/>
      <c r="E35" s="113"/>
      <c r="F35" s="114"/>
      <c r="G35" s="112" t="s">
        <v>267</v>
      </c>
      <c r="I35" s="34" t="s">
        <v>268</v>
      </c>
    </row>
    <row r="36">
      <c r="A36" s="3"/>
      <c r="B36" s="3"/>
      <c r="C36" s="3"/>
      <c r="D36" s="3"/>
      <c r="E36" s="113"/>
      <c r="F36" s="114"/>
      <c r="G36" s="112" t="s">
        <v>269</v>
      </c>
      <c r="I36" s="34" t="s">
        <v>270</v>
      </c>
    </row>
    <row r="37">
      <c r="A37" s="3"/>
      <c r="B37" s="3"/>
      <c r="C37" s="3"/>
      <c r="D37" s="3"/>
      <c r="E37" s="113"/>
      <c r="F37" s="118"/>
      <c r="G37" s="112" t="s">
        <v>271</v>
      </c>
      <c r="I37" s="34" t="s">
        <v>272</v>
      </c>
    </row>
    <row r="38">
      <c r="A38" s="3"/>
      <c r="B38" s="120" t="s">
        <v>273</v>
      </c>
      <c r="C38" s="121"/>
      <c r="D38" s="122"/>
      <c r="E38" s="123"/>
      <c r="F38" s="109" t="s">
        <v>274</v>
      </c>
      <c r="G38" s="3"/>
      <c r="I38" s="34" t="s">
        <v>275</v>
      </c>
    </row>
    <row r="39">
      <c r="A39" s="3"/>
      <c r="B39" s="124" t="s">
        <v>217</v>
      </c>
      <c r="C39" s="121"/>
      <c r="D39" s="122"/>
      <c r="E39" s="113"/>
      <c r="F39" s="111" t="s">
        <v>218</v>
      </c>
      <c r="G39" s="112" t="s">
        <v>265</v>
      </c>
      <c r="I39" s="34" t="s">
        <v>276</v>
      </c>
    </row>
    <row r="40">
      <c r="A40" s="125"/>
      <c r="B40" s="131"/>
      <c r="D40" s="127"/>
      <c r="E40" s="113"/>
      <c r="F40" s="114"/>
      <c r="G40" s="112" t="s">
        <v>267</v>
      </c>
    </row>
    <row r="41">
      <c r="A41" s="125"/>
      <c r="B41" s="128"/>
      <c r="C41" s="129"/>
      <c r="D41" s="130"/>
      <c r="E41" s="113"/>
      <c r="F41" s="114"/>
      <c r="G41" s="112" t="s">
        <v>269</v>
      </c>
    </row>
    <row r="42">
      <c r="A42" s="3"/>
      <c r="B42" s="3"/>
      <c r="C42" s="125"/>
      <c r="D42" s="125"/>
      <c r="E42" s="113"/>
      <c r="F42" s="118"/>
      <c r="G42" s="112" t="s">
        <v>271</v>
      </c>
    </row>
    <row r="43">
      <c r="A43" s="125"/>
      <c r="B43" s="125"/>
      <c r="C43" s="125"/>
      <c r="D43" s="125"/>
      <c r="E43" s="123"/>
      <c r="F43" s="109" t="s">
        <v>277</v>
      </c>
      <c r="G43" s="3"/>
    </row>
    <row r="44">
      <c r="A44" s="125"/>
      <c r="B44" s="125"/>
      <c r="C44" s="125"/>
      <c r="D44" s="125"/>
      <c r="E44" s="3"/>
      <c r="F44" s="111" t="s">
        <v>230</v>
      </c>
      <c r="G44" s="112" t="s">
        <v>265</v>
      </c>
    </row>
    <row r="45">
      <c r="A45" s="3"/>
      <c r="B45" s="3"/>
      <c r="C45" s="3"/>
      <c r="D45" s="3"/>
      <c r="E45" s="3"/>
      <c r="F45" s="114"/>
      <c r="G45" s="112" t="s">
        <v>267</v>
      </c>
    </row>
    <row r="46">
      <c r="A46" s="3"/>
      <c r="B46" s="3"/>
      <c r="C46" s="3"/>
      <c r="D46" s="3"/>
      <c r="E46" s="3"/>
      <c r="F46" s="114"/>
      <c r="G46" s="112" t="s">
        <v>269</v>
      </c>
    </row>
    <row r="47">
      <c r="A47" s="3"/>
      <c r="B47" s="3"/>
      <c r="C47" s="3"/>
      <c r="D47" s="3"/>
      <c r="E47" s="3"/>
      <c r="F47" s="118"/>
      <c r="G47" s="112" t="s">
        <v>271</v>
      </c>
    </row>
  </sheetData>
  <mergeCells count="21">
    <mergeCell ref="F2:F5"/>
    <mergeCell ref="I2:K2"/>
    <mergeCell ref="L4:O6"/>
    <mergeCell ref="B6:D6"/>
    <mergeCell ref="B7:D7"/>
    <mergeCell ref="F7:F10"/>
    <mergeCell ref="B8:D9"/>
    <mergeCell ref="F28:F31"/>
    <mergeCell ref="F34:F37"/>
    <mergeCell ref="B38:D38"/>
    <mergeCell ref="B39:D39"/>
    <mergeCell ref="F39:F42"/>
    <mergeCell ref="B40:D41"/>
    <mergeCell ref="F44:F47"/>
    <mergeCell ref="F12:F15"/>
    <mergeCell ref="F18:F21"/>
    <mergeCell ref="B22:D22"/>
    <mergeCell ref="I22:N22"/>
    <mergeCell ref="B23:D23"/>
    <mergeCell ref="F23:F26"/>
    <mergeCell ref="B24:D25"/>
  </mergeCells>
  <printOptions gridLines="1" horizontalCentered="1"/>
  <pageMargins bottom="0.75" footer="0.0" header="0.0" left="0.7" right="0.7" top="0.75"/>
  <pageSetup fitToHeight="0" paperSize="9"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13"/>
    <col customWidth="1" min="2" max="2" width="16.25"/>
    <col customWidth="1" min="3" max="3" width="10.13"/>
    <col customWidth="1" min="4" max="4" width="18.75"/>
    <col customWidth="1" min="5" max="5" width="36.5"/>
    <col customWidth="1" min="7" max="7" width="128.75"/>
    <col customWidth="1" min="8" max="8" width="60.63"/>
    <col customWidth="1" min="12" max="12" width="24.5"/>
  </cols>
  <sheetData>
    <row r="1">
      <c r="A1" s="132" t="s">
        <v>278</v>
      </c>
      <c r="B1" s="133" t="s">
        <v>279</v>
      </c>
      <c r="C1" s="132" t="s">
        <v>280</v>
      </c>
      <c r="D1" s="132" t="s">
        <v>281</v>
      </c>
      <c r="E1" s="134" t="s">
        <v>282</v>
      </c>
      <c r="F1" s="135" t="s">
        <v>283</v>
      </c>
      <c r="G1" s="135" t="s">
        <v>284</v>
      </c>
      <c r="H1" s="136" t="s">
        <v>285</v>
      </c>
      <c r="I1" s="137" t="s">
        <v>286</v>
      </c>
    </row>
    <row r="2">
      <c r="A2" s="3" t="s">
        <v>287</v>
      </c>
      <c r="B2" s="138" t="s">
        <v>287</v>
      </c>
      <c r="C2" s="3" t="s">
        <v>13</v>
      </c>
      <c r="D2" s="26" t="s">
        <v>288</v>
      </c>
      <c r="E2" s="139"/>
      <c r="I2" s="140" t="s">
        <v>289</v>
      </c>
    </row>
    <row r="3">
      <c r="A3" s="3" t="s">
        <v>287</v>
      </c>
      <c r="B3" s="138" t="s">
        <v>287</v>
      </c>
      <c r="C3" s="3" t="s">
        <v>13</v>
      </c>
      <c r="D3" s="26" t="s">
        <v>290</v>
      </c>
      <c r="E3" s="141" t="s">
        <v>291</v>
      </c>
      <c r="F3" s="142"/>
      <c r="G3" s="143"/>
      <c r="H3" s="79"/>
      <c r="I3" s="140"/>
    </row>
    <row r="4">
      <c r="A4" s="26" t="s">
        <v>292</v>
      </c>
      <c r="B4" s="144" t="s">
        <v>292</v>
      </c>
      <c r="C4" s="94" t="s">
        <v>293</v>
      </c>
      <c r="D4" s="94" t="s">
        <v>294</v>
      </c>
      <c r="E4" s="141" t="s">
        <v>295</v>
      </c>
      <c r="F4" s="142" t="str">
        <f t="shared" ref="F4:F13" si="1">"?utm_source="&amp;A4&amp;"&amp;"&amp;"utm_medium="&amp;B4&amp;"&amp;"&amp;"utm_campaign="&amp;C4&amp;"&amp;"&amp;"utm_content="&amp;D4</f>
        <v>?utm_source=INSTAGRAM&amp;utm_medium=INSTAGRAM&amp;utm_campaign=ORGÁNICO&amp;utm_content=REEL</v>
      </c>
      <c r="G4" s="143" t="str">
        <f t="shared" ref="G4:G13" si="2">TRIM(E4&amp;F4)</f>
        <v>https://www.berganzaivania.com/cyltco-org?utm_source=INSTAGRAM&amp;utm_medium=INSTAGRAM&amp;utm_campaign=ORGÁNICO&amp;utm_content=REEL</v>
      </c>
      <c r="H4" s="145" t="s">
        <v>296</v>
      </c>
      <c r="I4" s="140" t="s">
        <v>297</v>
      </c>
    </row>
    <row r="5">
      <c r="A5" s="26" t="s">
        <v>292</v>
      </c>
      <c r="B5" s="144" t="s">
        <v>292</v>
      </c>
      <c r="C5" s="3" t="s">
        <v>293</v>
      </c>
      <c r="D5" s="3" t="s">
        <v>298</v>
      </c>
      <c r="E5" s="141" t="s">
        <v>295</v>
      </c>
      <c r="F5" s="142" t="str">
        <f t="shared" si="1"/>
        <v>?utm_source=INSTAGRAM&amp;utm_medium=INSTAGRAM&amp;utm_campaign=ORGÁNICO&amp;utm_content=BIOGRAFIA</v>
      </c>
      <c r="G5" s="143" t="str">
        <f t="shared" si="2"/>
        <v>https://www.berganzaivania.com/cyltco-org?utm_source=INSTAGRAM&amp;utm_medium=INSTAGRAM&amp;utm_campaign=ORGÁNICO&amp;utm_content=BIOGRAFIA</v>
      </c>
      <c r="H5" s="145" t="s">
        <v>299</v>
      </c>
      <c r="L5" s="146"/>
    </row>
    <row r="6">
      <c r="A6" s="26" t="s">
        <v>292</v>
      </c>
      <c r="B6" s="144" t="s">
        <v>292</v>
      </c>
      <c r="C6" s="3" t="s">
        <v>293</v>
      </c>
      <c r="D6" s="3" t="s">
        <v>300</v>
      </c>
      <c r="E6" s="141" t="s">
        <v>295</v>
      </c>
      <c r="F6" s="142" t="str">
        <f t="shared" si="1"/>
        <v>?utm_source=INSTAGRAM&amp;utm_medium=INSTAGRAM&amp;utm_campaign=ORGÁNICO&amp;utm_content=HISTORIAS</v>
      </c>
      <c r="G6" s="143" t="str">
        <f t="shared" si="2"/>
        <v>https://www.berganzaivania.com/cyltco-org?utm_source=INSTAGRAM&amp;utm_medium=INSTAGRAM&amp;utm_campaign=ORGÁNICO&amp;utm_content=HISTORIAS</v>
      </c>
      <c r="H6" s="145" t="s">
        <v>301</v>
      </c>
      <c r="L6" s="146"/>
    </row>
    <row r="7">
      <c r="A7" s="26" t="s">
        <v>292</v>
      </c>
      <c r="B7" s="144" t="s">
        <v>292</v>
      </c>
      <c r="C7" s="3" t="s">
        <v>293</v>
      </c>
      <c r="D7" s="3" t="s">
        <v>302</v>
      </c>
      <c r="E7" s="141" t="s">
        <v>295</v>
      </c>
      <c r="F7" s="142" t="str">
        <f t="shared" si="1"/>
        <v>?utm_source=INSTAGRAM&amp;utm_medium=INSTAGRAM&amp;utm_campaign=ORGÁNICO&amp;utm_content=CARRUSEL</v>
      </c>
      <c r="G7" s="143" t="str">
        <f t="shared" si="2"/>
        <v>https://www.berganzaivania.com/cyltco-org?utm_source=INSTAGRAM&amp;utm_medium=INSTAGRAM&amp;utm_campaign=ORGÁNICO&amp;utm_content=CARRUSEL</v>
      </c>
      <c r="H7" s="145" t="s">
        <v>303</v>
      </c>
      <c r="L7" s="146"/>
    </row>
    <row r="8">
      <c r="A8" s="26" t="s">
        <v>292</v>
      </c>
      <c r="B8" s="144" t="s">
        <v>292</v>
      </c>
      <c r="C8" s="3" t="s">
        <v>293</v>
      </c>
      <c r="D8" s="3" t="s">
        <v>304</v>
      </c>
      <c r="E8" s="141" t="s">
        <v>295</v>
      </c>
      <c r="F8" s="142" t="str">
        <f t="shared" si="1"/>
        <v>?utm_source=INSTAGRAM&amp;utm_medium=INSTAGRAM&amp;utm_campaign=ORGÁNICO&amp;utm_content=DM</v>
      </c>
      <c r="G8" s="143" t="str">
        <f t="shared" si="2"/>
        <v>https://www.berganzaivania.com/cyltco-org?utm_source=INSTAGRAM&amp;utm_medium=INSTAGRAM&amp;utm_campaign=ORGÁNICO&amp;utm_content=DM</v>
      </c>
      <c r="H8" s="145" t="s">
        <v>305</v>
      </c>
      <c r="L8" s="146"/>
    </row>
    <row r="9">
      <c r="A9" s="26" t="s">
        <v>306</v>
      </c>
      <c r="B9" s="26" t="s">
        <v>306</v>
      </c>
      <c r="C9" s="26" t="s">
        <v>293</v>
      </c>
      <c r="D9" s="26" t="s">
        <v>298</v>
      </c>
      <c r="E9" s="141" t="s">
        <v>295</v>
      </c>
      <c r="F9" s="142" t="str">
        <f t="shared" si="1"/>
        <v>?utm_source=YOUTUBE&amp;utm_medium=YOUTUBE&amp;utm_campaign=ORGÁNICO&amp;utm_content=BIOGRAFIA</v>
      </c>
      <c r="G9" s="143" t="str">
        <f t="shared" si="2"/>
        <v>https://www.berganzaivania.com/cyltco-org?utm_source=YOUTUBE&amp;utm_medium=YOUTUBE&amp;utm_campaign=ORGÁNICO&amp;utm_content=BIOGRAFIA</v>
      </c>
      <c r="H9" s="145" t="s">
        <v>307</v>
      </c>
      <c r="L9" s="146"/>
    </row>
    <row r="10">
      <c r="A10" s="26" t="s">
        <v>308</v>
      </c>
      <c r="B10" s="144" t="s">
        <v>308</v>
      </c>
      <c r="C10" s="3" t="s">
        <v>293</v>
      </c>
      <c r="D10" s="3" t="s">
        <v>309</v>
      </c>
      <c r="E10" s="141" t="s">
        <v>295</v>
      </c>
      <c r="F10" s="142" t="str">
        <f t="shared" si="1"/>
        <v>?utm_source=GHL&amp;utm_medium=GHL&amp;utm_campaign=ORGÁNICO&amp;utm_content=CORREO</v>
      </c>
      <c r="G10" s="143" t="str">
        <f t="shared" si="2"/>
        <v>https://www.berganzaivania.com/cyltco-org?utm_source=GHL&amp;utm_medium=GHL&amp;utm_campaign=ORGÁNICO&amp;utm_content=CORREO</v>
      </c>
      <c r="H10" s="145" t="s">
        <v>310</v>
      </c>
      <c r="L10" s="146"/>
    </row>
    <row r="11">
      <c r="A11" s="26" t="s">
        <v>311</v>
      </c>
      <c r="B11" s="144" t="s">
        <v>312</v>
      </c>
      <c r="C11" s="3" t="s">
        <v>293</v>
      </c>
      <c r="D11" s="3" t="s">
        <v>313</v>
      </c>
      <c r="E11" s="141" t="s">
        <v>295</v>
      </c>
      <c r="F11" s="142" t="str">
        <f t="shared" si="1"/>
        <v>?utm_source=WHATSAPP&amp;utm_medium=GRUPOS&amp;utm_campaign=ORGÁNICO&amp;utm_content=COMUNIDADWHAIB</v>
      </c>
      <c r="G11" s="143" t="str">
        <f t="shared" si="2"/>
        <v>https://www.berganzaivania.com/cyltco-org?utm_source=WHATSAPP&amp;utm_medium=GRUPOS&amp;utm_campaign=ORGÁNICO&amp;utm_content=COMUNIDADWHAIB</v>
      </c>
      <c r="H11" s="145" t="s">
        <v>314</v>
      </c>
      <c r="L11" s="146"/>
    </row>
    <row r="12">
      <c r="A12" s="26" t="s">
        <v>311</v>
      </c>
      <c r="B12" s="147" t="s">
        <v>315</v>
      </c>
      <c r="C12" s="3" t="s">
        <v>293</v>
      </c>
      <c r="D12" s="3" t="s">
        <v>316</v>
      </c>
      <c r="E12" s="141" t="s">
        <v>295</v>
      </c>
      <c r="F12" s="142" t="str">
        <f t="shared" si="1"/>
        <v>?utm_source=WHATSAPP&amp;utm_medium=BD&amp;utm_campaign=ORGÁNICO&amp;utm_content=COMUNIDADIB</v>
      </c>
      <c r="G12" s="143" t="str">
        <f t="shared" si="2"/>
        <v>https://www.berganzaivania.com/cyltco-org?utm_source=WHATSAPP&amp;utm_medium=BD&amp;utm_campaign=ORGÁNICO&amp;utm_content=COMUNIDADIB</v>
      </c>
      <c r="H12" s="145" t="s">
        <v>317</v>
      </c>
      <c r="L12" s="146"/>
    </row>
    <row r="13">
      <c r="A13" s="26" t="s">
        <v>311</v>
      </c>
      <c r="B13" s="144" t="s">
        <v>318</v>
      </c>
      <c r="C13" s="3" t="s">
        <v>293</v>
      </c>
      <c r="D13" s="140" t="s">
        <v>319</v>
      </c>
      <c r="E13" s="141" t="s">
        <v>295</v>
      </c>
      <c r="F13" s="142" t="str">
        <f t="shared" si="1"/>
        <v>?utm_source=WHATSAPP&amp;utm_medium=MEMBRESIA&amp;utm_campaign=ORGÁNICO&amp;utm_content=MEMBRESIAB10K+</v>
      </c>
      <c r="G13" s="143" t="str">
        <f t="shared" si="2"/>
        <v>https://www.berganzaivania.com/cyltco-org?utm_source=WHATSAPP&amp;utm_medium=MEMBRESIA&amp;utm_campaign=ORGÁNICO&amp;utm_content=MEMBRESIAB10K+</v>
      </c>
      <c r="H13" s="148" t="s">
        <v>320</v>
      </c>
      <c r="L13" s="146"/>
    </row>
    <row r="14">
      <c r="A14" s="3"/>
      <c r="B14" s="138"/>
      <c r="C14" s="146"/>
      <c r="D14" s="146"/>
      <c r="E14" s="149"/>
      <c r="L14" s="146"/>
    </row>
    <row r="15">
      <c r="A15" s="3"/>
      <c r="B15" s="138"/>
      <c r="C15" s="146"/>
      <c r="D15" s="146"/>
      <c r="E15" s="149"/>
      <c r="L15" s="146"/>
    </row>
    <row r="16">
      <c r="A16" s="3" t="s">
        <v>321</v>
      </c>
      <c r="B16" s="150" t="s">
        <v>322</v>
      </c>
      <c r="C16" s="146"/>
      <c r="D16" s="146"/>
      <c r="E16" s="149"/>
      <c r="L16" s="146"/>
    </row>
    <row r="17">
      <c r="A17" s="3" t="s">
        <v>323</v>
      </c>
      <c r="B17" s="151" t="s">
        <v>324</v>
      </c>
      <c r="C17" s="146"/>
      <c r="D17" s="146"/>
      <c r="E17" s="149"/>
      <c r="L17" s="146"/>
    </row>
    <row r="18">
      <c r="A18" s="140" t="s">
        <v>325</v>
      </c>
      <c r="B18" s="152" t="s">
        <v>326</v>
      </c>
      <c r="C18" s="146"/>
      <c r="D18" s="146"/>
      <c r="E18" s="149"/>
      <c r="L18" s="146"/>
    </row>
    <row r="19">
      <c r="A19" s="140" t="s">
        <v>327</v>
      </c>
      <c r="B19" s="153" t="s">
        <v>328</v>
      </c>
      <c r="C19" s="146"/>
      <c r="D19" s="146"/>
      <c r="E19" s="154"/>
      <c r="G19" s="145" t="s">
        <v>329</v>
      </c>
      <c r="L19" s="146"/>
    </row>
    <row r="20">
      <c r="A20" s="140" t="s">
        <v>330</v>
      </c>
      <c r="B20" s="155" t="s">
        <v>331</v>
      </c>
      <c r="C20" s="146"/>
      <c r="D20" s="146"/>
      <c r="E20" s="149"/>
      <c r="G20" s="145" t="s">
        <v>332</v>
      </c>
      <c r="L20" s="146"/>
    </row>
    <row r="21">
      <c r="A21" s="140" t="s">
        <v>333</v>
      </c>
      <c r="B21" s="153" t="s">
        <v>334</v>
      </c>
      <c r="C21" s="146"/>
      <c r="D21" s="146"/>
      <c r="E21" s="149"/>
      <c r="L21" s="146"/>
    </row>
    <row r="22">
      <c r="A22" s="140" t="s">
        <v>335</v>
      </c>
      <c r="B22" s="152" t="s">
        <v>336</v>
      </c>
      <c r="C22" s="146"/>
      <c r="D22" s="146"/>
      <c r="E22" s="149"/>
      <c r="L22" s="146"/>
    </row>
    <row r="23">
      <c r="A23" s="140" t="s">
        <v>337</v>
      </c>
      <c r="B23" s="153" t="s">
        <v>338</v>
      </c>
      <c r="C23" s="146"/>
      <c r="D23" s="146"/>
      <c r="E23" s="149"/>
      <c r="L23" s="146"/>
    </row>
    <row r="24">
      <c r="A24" s="146"/>
      <c r="B24" s="156"/>
      <c r="C24" s="146"/>
      <c r="D24" s="146"/>
      <c r="E24" s="149"/>
      <c r="L24" s="146"/>
    </row>
    <row r="25">
      <c r="A25" s="157" t="s">
        <v>339</v>
      </c>
      <c r="B25" s="156"/>
      <c r="C25" s="146"/>
      <c r="D25" s="146"/>
      <c r="E25" s="149"/>
      <c r="L25" s="146"/>
    </row>
    <row r="26">
      <c r="A26" s="158" t="s">
        <v>340</v>
      </c>
      <c r="B26" s="156"/>
      <c r="C26" s="146"/>
      <c r="D26" s="146"/>
      <c r="E26" s="149"/>
      <c r="L26" s="146"/>
    </row>
    <row r="27">
      <c r="A27" s="146"/>
      <c r="B27" s="156"/>
      <c r="C27" s="146"/>
      <c r="D27" s="146"/>
      <c r="E27" s="149"/>
      <c r="L27" s="146"/>
    </row>
    <row r="28">
      <c r="A28" s="146"/>
      <c r="B28" s="156"/>
      <c r="C28" s="146"/>
      <c r="D28" s="146"/>
      <c r="E28" s="149"/>
      <c r="L28" s="146"/>
    </row>
    <row r="29">
      <c r="A29" s="146"/>
      <c r="B29" s="156"/>
      <c r="C29" s="146"/>
      <c r="D29" s="146"/>
      <c r="E29" s="149"/>
      <c r="L29" s="146"/>
    </row>
    <row r="30">
      <c r="A30" s="146"/>
      <c r="B30" s="156"/>
      <c r="C30" s="146"/>
      <c r="D30" s="146"/>
      <c r="E30" s="149"/>
      <c r="L30" s="146"/>
    </row>
    <row r="31">
      <c r="A31" s="146"/>
      <c r="B31" s="156"/>
      <c r="C31" s="146"/>
      <c r="D31" s="146"/>
      <c r="E31" s="149"/>
      <c r="L31" s="146"/>
    </row>
    <row r="32">
      <c r="A32" s="146"/>
      <c r="B32" s="156"/>
      <c r="C32" s="146"/>
      <c r="D32" s="146"/>
      <c r="E32" s="149"/>
      <c r="L32" s="146"/>
    </row>
    <row r="33">
      <c r="A33" s="146"/>
      <c r="B33" s="156"/>
      <c r="C33" s="146"/>
      <c r="D33" s="146"/>
      <c r="E33" s="149"/>
      <c r="L33" s="146"/>
    </row>
    <row r="34">
      <c r="A34" s="146"/>
      <c r="B34" s="156"/>
      <c r="C34" s="146"/>
      <c r="D34" s="146"/>
      <c r="E34" s="149"/>
      <c r="L34" s="146"/>
    </row>
    <row r="35">
      <c r="A35" s="146"/>
      <c r="B35" s="156"/>
      <c r="C35" s="146"/>
      <c r="D35" s="146"/>
      <c r="E35" s="149"/>
      <c r="L35" s="146"/>
    </row>
    <row r="36">
      <c r="A36" s="146"/>
      <c r="B36" s="156"/>
      <c r="C36" s="146"/>
      <c r="D36" s="146"/>
      <c r="E36" s="149"/>
      <c r="L36" s="146"/>
    </row>
    <row r="37">
      <c r="A37" s="146"/>
      <c r="B37" s="156"/>
      <c r="C37" s="146"/>
      <c r="D37" s="146"/>
      <c r="E37" s="149"/>
      <c r="L37" s="146"/>
    </row>
    <row r="38">
      <c r="A38" s="146"/>
      <c r="B38" s="156"/>
      <c r="C38" s="146"/>
      <c r="D38" s="146"/>
      <c r="E38" s="149"/>
      <c r="L38" s="146"/>
    </row>
    <row r="39">
      <c r="A39" s="146"/>
      <c r="B39" s="156"/>
      <c r="C39" s="146"/>
      <c r="D39" s="146"/>
      <c r="E39" s="149"/>
      <c r="L39" s="146"/>
    </row>
    <row r="40">
      <c r="A40" s="146"/>
      <c r="B40" s="156"/>
      <c r="C40" s="146"/>
      <c r="D40" s="146"/>
      <c r="E40" s="149"/>
      <c r="L40" s="146"/>
    </row>
    <row r="41">
      <c r="A41" s="146"/>
      <c r="B41" s="156"/>
      <c r="C41" s="146"/>
      <c r="D41" s="146"/>
      <c r="E41" s="149"/>
      <c r="L41" s="146"/>
    </row>
    <row r="42">
      <c r="A42" s="146"/>
      <c r="B42" s="156"/>
      <c r="C42" s="146"/>
      <c r="D42" s="146"/>
      <c r="E42" s="149"/>
      <c r="L42" s="146"/>
    </row>
    <row r="43">
      <c r="A43" s="146"/>
      <c r="B43" s="156"/>
      <c r="C43" s="146"/>
      <c r="D43" s="146"/>
      <c r="E43" s="149"/>
      <c r="L43" s="146"/>
    </row>
    <row r="44">
      <c r="A44" s="146"/>
      <c r="B44" s="156"/>
      <c r="C44" s="146"/>
      <c r="D44" s="146"/>
      <c r="E44" s="149"/>
      <c r="L44" s="146"/>
    </row>
    <row r="45">
      <c r="A45" s="146"/>
      <c r="B45" s="156"/>
      <c r="C45" s="146"/>
      <c r="D45" s="146"/>
      <c r="E45" s="149"/>
      <c r="L45" s="146"/>
    </row>
    <row r="46">
      <c r="A46" s="146"/>
      <c r="B46" s="156"/>
      <c r="C46" s="146"/>
      <c r="D46" s="146"/>
      <c r="E46" s="149"/>
      <c r="L46" s="146"/>
    </row>
    <row r="47">
      <c r="A47" s="146"/>
      <c r="B47" s="156"/>
      <c r="C47" s="146"/>
      <c r="D47" s="146"/>
      <c r="E47" s="149"/>
      <c r="L47" s="146"/>
    </row>
    <row r="48">
      <c r="A48" s="146"/>
      <c r="B48" s="156"/>
      <c r="C48" s="146"/>
      <c r="D48" s="146"/>
      <c r="E48" s="149"/>
      <c r="L48" s="146"/>
    </row>
    <row r="49">
      <c r="A49" s="146"/>
      <c r="B49" s="156"/>
      <c r="C49" s="146"/>
      <c r="D49" s="146"/>
      <c r="E49" s="149"/>
      <c r="L49" s="146"/>
    </row>
    <row r="50">
      <c r="A50" s="146"/>
      <c r="B50" s="156"/>
      <c r="C50" s="146"/>
      <c r="D50" s="146"/>
      <c r="E50" s="149"/>
      <c r="L50" s="146"/>
    </row>
    <row r="51">
      <c r="A51" s="146"/>
      <c r="B51" s="156"/>
      <c r="C51" s="146"/>
      <c r="D51" s="146"/>
      <c r="E51" s="149"/>
      <c r="L51" s="146"/>
    </row>
    <row r="52">
      <c r="A52" s="146"/>
      <c r="B52" s="156"/>
      <c r="C52" s="146"/>
      <c r="D52" s="146"/>
      <c r="E52" s="149"/>
      <c r="L52" s="146"/>
    </row>
    <row r="53">
      <c r="A53" s="146"/>
      <c r="B53" s="156"/>
      <c r="C53" s="146"/>
      <c r="D53" s="146"/>
      <c r="E53" s="149"/>
      <c r="L53" s="146"/>
    </row>
    <row r="54">
      <c r="A54" s="146"/>
      <c r="B54" s="156"/>
      <c r="C54" s="146"/>
      <c r="D54" s="146"/>
      <c r="E54" s="149"/>
      <c r="L54" s="146"/>
    </row>
    <row r="55">
      <c r="A55" s="146"/>
      <c r="B55" s="156"/>
      <c r="C55" s="146"/>
      <c r="D55" s="146"/>
      <c r="E55" s="149"/>
      <c r="L55" s="146"/>
    </row>
    <row r="56">
      <c r="A56" s="146"/>
      <c r="B56" s="156"/>
      <c r="C56" s="146"/>
      <c r="D56" s="146"/>
      <c r="E56" s="149"/>
      <c r="L56" s="146"/>
    </row>
    <row r="57">
      <c r="A57" s="146"/>
      <c r="B57" s="156"/>
      <c r="C57" s="146"/>
      <c r="D57" s="146"/>
      <c r="E57" s="149"/>
      <c r="L57" s="146"/>
    </row>
    <row r="58">
      <c r="A58" s="146"/>
      <c r="B58" s="156"/>
      <c r="C58" s="146"/>
      <c r="D58" s="146"/>
      <c r="E58" s="149"/>
      <c r="L58" s="146"/>
    </row>
    <row r="59">
      <c r="A59" s="146"/>
      <c r="B59" s="156"/>
      <c r="C59" s="146"/>
      <c r="D59" s="146"/>
      <c r="E59" s="149"/>
      <c r="L59" s="146"/>
    </row>
    <row r="60">
      <c r="A60" s="146"/>
      <c r="B60" s="156"/>
      <c r="C60" s="146"/>
      <c r="D60" s="146"/>
      <c r="E60" s="149"/>
      <c r="L60" s="146"/>
    </row>
    <row r="61">
      <c r="A61" s="146"/>
      <c r="B61" s="156"/>
      <c r="C61" s="146"/>
      <c r="D61" s="146"/>
      <c r="E61" s="149"/>
      <c r="L61" s="146"/>
    </row>
    <row r="62">
      <c r="A62" s="146"/>
      <c r="B62" s="156"/>
      <c r="C62" s="146"/>
      <c r="D62" s="146"/>
      <c r="E62" s="149"/>
      <c r="L62" s="146"/>
    </row>
    <row r="63">
      <c r="A63" s="146"/>
      <c r="B63" s="156"/>
      <c r="C63" s="146"/>
      <c r="D63" s="146"/>
      <c r="E63" s="149"/>
      <c r="L63" s="146"/>
    </row>
    <row r="64">
      <c r="A64" s="146"/>
      <c r="B64" s="156"/>
      <c r="C64" s="146"/>
      <c r="D64" s="146"/>
      <c r="E64" s="149"/>
      <c r="L64" s="146"/>
    </row>
    <row r="65">
      <c r="A65" s="146"/>
      <c r="B65" s="156"/>
      <c r="C65" s="146"/>
      <c r="D65" s="146"/>
      <c r="E65" s="149"/>
      <c r="L65" s="146"/>
    </row>
    <row r="66">
      <c r="A66" s="146"/>
      <c r="B66" s="156"/>
      <c r="C66" s="146"/>
      <c r="D66" s="146"/>
      <c r="E66" s="149"/>
      <c r="L66" s="146"/>
    </row>
    <row r="67">
      <c r="A67" s="146"/>
      <c r="B67" s="156"/>
      <c r="C67" s="146"/>
      <c r="D67" s="146"/>
      <c r="E67" s="149"/>
      <c r="L67" s="146"/>
    </row>
    <row r="68">
      <c r="A68" s="146"/>
      <c r="B68" s="156"/>
      <c r="C68" s="146"/>
      <c r="D68" s="146"/>
      <c r="E68" s="149"/>
      <c r="L68" s="146"/>
    </row>
    <row r="69">
      <c r="A69" s="146"/>
      <c r="B69" s="156"/>
      <c r="C69" s="146"/>
      <c r="D69" s="146"/>
      <c r="E69" s="149"/>
      <c r="L69" s="146"/>
    </row>
    <row r="70">
      <c r="A70" s="146"/>
      <c r="B70" s="156"/>
      <c r="C70" s="146"/>
      <c r="D70" s="146"/>
      <c r="E70" s="149"/>
      <c r="L70" s="146"/>
    </row>
    <row r="71">
      <c r="A71" s="146"/>
      <c r="B71" s="156"/>
      <c r="C71" s="146"/>
      <c r="D71" s="146"/>
      <c r="E71" s="149"/>
      <c r="L71" s="146"/>
    </row>
    <row r="72">
      <c r="A72" s="146"/>
      <c r="B72" s="156"/>
      <c r="C72" s="146"/>
      <c r="D72" s="146"/>
      <c r="E72" s="149"/>
      <c r="L72" s="146"/>
    </row>
    <row r="73">
      <c r="A73" s="146"/>
      <c r="B73" s="156"/>
      <c r="C73" s="146"/>
      <c r="D73" s="146"/>
      <c r="E73" s="149"/>
      <c r="L73" s="146"/>
    </row>
    <row r="74">
      <c r="A74" s="146"/>
      <c r="B74" s="156"/>
      <c r="C74" s="146"/>
      <c r="D74" s="146"/>
      <c r="E74" s="149"/>
      <c r="L74" s="146"/>
    </row>
    <row r="75">
      <c r="A75" s="146"/>
      <c r="B75" s="156"/>
      <c r="C75" s="146"/>
      <c r="D75" s="146"/>
      <c r="E75" s="149"/>
      <c r="L75" s="146"/>
    </row>
    <row r="76">
      <c r="A76" s="146"/>
      <c r="B76" s="156"/>
      <c r="C76" s="146"/>
      <c r="D76" s="146"/>
      <c r="E76" s="149"/>
      <c r="L76" s="146"/>
    </row>
    <row r="77">
      <c r="A77" s="146"/>
      <c r="B77" s="156"/>
      <c r="C77" s="146"/>
      <c r="D77" s="146"/>
      <c r="E77" s="149"/>
      <c r="L77" s="146"/>
    </row>
    <row r="78">
      <c r="A78" s="146"/>
      <c r="B78" s="156"/>
      <c r="C78" s="146"/>
      <c r="D78" s="146"/>
      <c r="E78" s="149"/>
      <c r="L78" s="146"/>
    </row>
    <row r="79">
      <c r="A79" s="146"/>
      <c r="B79" s="156"/>
      <c r="C79" s="146"/>
      <c r="D79" s="146"/>
      <c r="E79" s="149"/>
      <c r="L79" s="146"/>
    </row>
    <row r="80">
      <c r="A80" s="146"/>
      <c r="B80" s="156"/>
      <c r="C80" s="146"/>
      <c r="D80" s="146"/>
      <c r="E80" s="149"/>
      <c r="L80" s="146"/>
    </row>
    <row r="81">
      <c r="A81" s="146"/>
      <c r="B81" s="156"/>
      <c r="C81" s="146"/>
      <c r="D81" s="146"/>
      <c r="E81" s="149"/>
      <c r="L81" s="146"/>
    </row>
    <row r="82">
      <c r="A82" s="146"/>
      <c r="B82" s="156"/>
      <c r="C82" s="146"/>
      <c r="D82" s="146"/>
      <c r="E82" s="149"/>
      <c r="L82" s="146"/>
    </row>
    <row r="83">
      <c r="A83" s="146"/>
      <c r="B83" s="156"/>
      <c r="C83" s="146"/>
      <c r="D83" s="146"/>
      <c r="E83" s="149"/>
      <c r="L83" s="146"/>
    </row>
    <row r="84">
      <c r="A84" s="146"/>
      <c r="B84" s="156"/>
      <c r="C84" s="146"/>
      <c r="D84" s="146"/>
      <c r="E84" s="149"/>
      <c r="L84" s="146"/>
    </row>
    <row r="85">
      <c r="A85" s="146"/>
      <c r="B85" s="156"/>
      <c r="C85" s="146"/>
      <c r="D85" s="146"/>
      <c r="E85" s="149"/>
      <c r="L85" s="146"/>
    </row>
    <row r="86">
      <c r="A86" s="146"/>
      <c r="B86" s="156"/>
      <c r="C86" s="146"/>
      <c r="D86" s="146"/>
      <c r="E86" s="149"/>
      <c r="L86" s="146"/>
    </row>
    <row r="87">
      <c r="A87" s="146"/>
      <c r="B87" s="156"/>
      <c r="C87" s="146"/>
      <c r="D87" s="146"/>
      <c r="E87" s="149"/>
      <c r="L87" s="146"/>
    </row>
    <row r="88">
      <c r="A88" s="146"/>
      <c r="B88" s="156"/>
      <c r="C88" s="146"/>
      <c r="D88" s="146"/>
      <c r="E88" s="149"/>
      <c r="L88" s="146"/>
    </row>
    <row r="89">
      <c r="A89" s="146"/>
      <c r="B89" s="156"/>
      <c r="C89" s="146"/>
      <c r="D89" s="146"/>
      <c r="E89" s="149"/>
      <c r="L89" s="146"/>
    </row>
    <row r="90">
      <c r="A90" s="146"/>
      <c r="B90" s="156"/>
      <c r="C90" s="146"/>
      <c r="D90" s="146"/>
      <c r="E90" s="149"/>
      <c r="L90" s="146"/>
    </row>
    <row r="91">
      <c r="A91" s="146"/>
      <c r="B91" s="156"/>
      <c r="C91" s="146"/>
      <c r="D91" s="146"/>
      <c r="E91" s="149"/>
      <c r="L91" s="146"/>
    </row>
    <row r="92">
      <c r="A92" s="146"/>
      <c r="B92" s="156"/>
      <c r="C92" s="146"/>
      <c r="D92" s="146"/>
      <c r="E92" s="149"/>
      <c r="L92" s="146"/>
    </row>
    <row r="93">
      <c r="A93" s="146"/>
      <c r="B93" s="156"/>
      <c r="C93" s="146"/>
      <c r="D93" s="146"/>
      <c r="E93" s="149"/>
      <c r="L93" s="146"/>
    </row>
    <row r="94">
      <c r="A94" s="146"/>
      <c r="B94" s="156"/>
      <c r="C94" s="146"/>
      <c r="D94" s="146"/>
      <c r="E94" s="149"/>
      <c r="L94" s="146"/>
    </row>
    <row r="95">
      <c r="A95" s="146"/>
      <c r="B95" s="156"/>
      <c r="C95" s="146"/>
      <c r="D95" s="146"/>
      <c r="E95" s="149"/>
      <c r="L95" s="146"/>
    </row>
    <row r="96">
      <c r="A96" s="146"/>
      <c r="B96" s="156"/>
      <c r="C96" s="146"/>
      <c r="D96" s="146"/>
      <c r="E96" s="149"/>
      <c r="L96" s="146"/>
    </row>
    <row r="97">
      <c r="A97" s="146"/>
      <c r="B97" s="156"/>
      <c r="C97" s="146"/>
      <c r="D97" s="146"/>
      <c r="E97" s="149"/>
      <c r="L97" s="146"/>
    </row>
    <row r="98">
      <c r="A98" s="146"/>
      <c r="B98" s="156"/>
      <c r="C98" s="146"/>
      <c r="D98" s="146"/>
      <c r="E98" s="149"/>
      <c r="L98" s="146"/>
    </row>
    <row r="99">
      <c r="A99" s="146"/>
      <c r="B99" s="156"/>
      <c r="C99" s="146"/>
      <c r="D99" s="146"/>
      <c r="E99" s="149"/>
      <c r="L99" s="146"/>
    </row>
    <row r="100">
      <c r="A100" s="146"/>
      <c r="B100" s="156"/>
      <c r="C100" s="146"/>
      <c r="D100" s="146"/>
      <c r="E100" s="149"/>
      <c r="L100" s="146"/>
    </row>
    <row r="101">
      <c r="A101" s="146"/>
      <c r="B101" s="156"/>
      <c r="C101" s="146"/>
      <c r="D101" s="146"/>
      <c r="E101" s="149"/>
      <c r="L101" s="146"/>
    </row>
    <row r="102">
      <c r="A102" s="146"/>
      <c r="B102" s="156"/>
      <c r="C102" s="146"/>
      <c r="D102" s="146"/>
      <c r="E102" s="149"/>
      <c r="L102" s="146"/>
    </row>
    <row r="103">
      <c r="A103" s="146"/>
      <c r="B103" s="156"/>
      <c r="C103" s="146"/>
      <c r="D103" s="146"/>
      <c r="E103" s="149"/>
      <c r="L103" s="146"/>
    </row>
    <row r="104">
      <c r="A104" s="146"/>
      <c r="B104" s="156"/>
      <c r="C104" s="146"/>
      <c r="D104" s="146"/>
      <c r="E104" s="149"/>
      <c r="L104" s="146"/>
    </row>
    <row r="105">
      <c r="A105" s="146"/>
      <c r="B105" s="156"/>
      <c r="C105" s="146"/>
      <c r="D105" s="146"/>
      <c r="E105" s="149"/>
      <c r="L105" s="146"/>
    </row>
    <row r="106">
      <c r="A106" s="146"/>
      <c r="B106" s="156"/>
      <c r="C106" s="146"/>
      <c r="D106" s="146"/>
      <c r="E106" s="149"/>
      <c r="L106" s="146"/>
    </row>
    <row r="107">
      <c r="A107" s="146"/>
      <c r="B107" s="156"/>
      <c r="C107" s="146"/>
      <c r="D107" s="146"/>
      <c r="E107" s="149"/>
      <c r="L107" s="146"/>
    </row>
    <row r="108">
      <c r="A108" s="146"/>
      <c r="B108" s="156"/>
      <c r="C108" s="146"/>
      <c r="D108" s="146"/>
      <c r="E108" s="149"/>
      <c r="L108" s="146"/>
    </row>
    <row r="109">
      <c r="A109" s="146"/>
      <c r="B109" s="156"/>
      <c r="C109" s="146"/>
      <c r="D109" s="146"/>
      <c r="E109" s="149"/>
      <c r="L109" s="146"/>
    </row>
    <row r="110">
      <c r="A110" s="146"/>
      <c r="B110" s="156"/>
      <c r="C110" s="146"/>
      <c r="D110" s="146"/>
      <c r="E110" s="149"/>
      <c r="L110" s="146"/>
    </row>
    <row r="111">
      <c r="A111" s="146"/>
      <c r="B111" s="156"/>
      <c r="C111" s="146"/>
      <c r="D111" s="146"/>
      <c r="E111" s="149"/>
      <c r="L111" s="146"/>
    </row>
    <row r="112">
      <c r="A112" s="146"/>
      <c r="B112" s="156"/>
      <c r="C112" s="146"/>
      <c r="D112" s="146"/>
      <c r="E112" s="149"/>
      <c r="L112" s="146"/>
    </row>
    <row r="113">
      <c r="A113" s="146"/>
      <c r="B113" s="156"/>
      <c r="C113" s="146"/>
      <c r="D113" s="146"/>
      <c r="E113" s="149"/>
      <c r="L113" s="146"/>
    </row>
    <row r="114">
      <c r="A114" s="146"/>
      <c r="B114" s="156"/>
      <c r="C114" s="146"/>
      <c r="D114" s="146"/>
      <c r="E114" s="149"/>
      <c r="L114" s="146"/>
    </row>
    <row r="115">
      <c r="A115" s="146"/>
      <c r="B115" s="156"/>
      <c r="C115" s="146"/>
      <c r="D115" s="146"/>
      <c r="E115" s="149"/>
      <c r="L115" s="146"/>
    </row>
    <row r="116">
      <c r="A116" s="146"/>
      <c r="B116" s="156"/>
      <c r="C116" s="146"/>
      <c r="D116" s="146"/>
      <c r="E116" s="149"/>
      <c r="L116" s="146"/>
    </row>
    <row r="117">
      <c r="A117" s="146"/>
      <c r="B117" s="156"/>
      <c r="C117" s="146"/>
      <c r="D117" s="146"/>
      <c r="E117" s="149"/>
      <c r="L117" s="146"/>
    </row>
    <row r="118">
      <c r="A118" s="146"/>
      <c r="B118" s="156"/>
      <c r="C118" s="146"/>
      <c r="D118" s="146"/>
      <c r="E118" s="149"/>
      <c r="L118" s="146"/>
    </row>
    <row r="119">
      <c r="A119" s="146"/>
      <c r="B119" s="156"/>
      <c r="C119" s="146"/>
      <c r="D119" s="146"/>
      <c r="E119" s="149"/>
      <c r="L119" s="146"/>
    </row>
    <row r="120">
      <c r="A120" s="146"/>
      <c r="B120" s="156"/>
      <c r="C120" s="146"/>
      <c r="D120" s="146"/>
      <c r="E120" s="149"/>
      <c r="L120" s="146"/>
    </row>
    <row r="121">
      <c r="A121" s="146"/>
      <c r="B121" s="156"/>
      <c r="C121" s="146"/>
      <c r="D121" s="146"/>
      <c r="E121" s="149"/>
      <c r="L121" s="146"/>
    </row>
    <row r="122">
      <c r="A122" s="146"/>
      <c r="B122" s="156"/>
      <c r="C122" s="146"/>
      <c r="D122" s="146"/>
      <c r="E122" s="149"/>
      <c r="L122" s="146"/>
    </row>
    <row r="123">
      <c r="A123" s="146"/>
      <c r="B123" s="156"/>
      <c r="C123" s="146"/>
      <c r="D123" s="146"/>
      <c r="E123" s="149"/>
      <c r="L123" s="146"/>
    </row>
    <row r="124">
      <c r="A124" s="146"/>
      <c r="B124" s="156"/>
      <c r="C124" s="146"/>
      <c r="D124" s="146"/>
      <c r="E124" s="149"/>
      <c r="L124" s="146"/>
    </row>
    <row r="125">
      <c r="A125" s="146"/>
      <c r="B125" s="156"/>
      <c r="C125" s="146"/>
      <c r="D125" s="146"/>
      <c r="E125" s="149"/>
      <c r="L125" s="146"/>
    </row>
    <row r="126">
      <c r="A126" s="146"/>
      <c r="B126" s="156"/>
      <c r="C126" s="146"/>
      <c r="D126" s="146"/>
      <c r="E126" s="149"/>
      <c r="L126" s="146"/>
    </row>
    <row r="127">
      <c r="A127" s="146"/>
      <c r="B127" s="156"/>
      <c r="C127" s="146"/>
      <c r="D127" s="146"/>
      <c r="E127" s="149"/>
      <c r="L127" s="146"/>
    </row>
    <row r="128">
      <c r="A128" s="146"/>
      <c r="B128" s="156"/>
      <c r="C128" s="146"/>
      <c r="D128" s="146"/>
      <c r="E128" s="149"/>
      <c r="L128" s="146"/>
    </row>
    <row r="129">
      <c r="A129" s="146"/>
      <c r="B129" s="156"/>
      <c r="C129" s="146"/>
      <c r="D129" s="146"/>
      <c r="E129" s="149"/>
      <c r="L129" s="146"/>
    </row>
    <row r="130">
      <c r="A130" s="146"/>
      <c r="B130" s="156"/>
      <c r="C130" s="146"/>
      <c r="D130" s="146"/>
      <c r="E130" s="149"/>
      <c r="L130" s="146"/>
    </row>
    <row r="131">
      <c r="A131" s="146"/>
      <c r="B131" s="156"/>
      <c r="C131" s="146"/>
      <c r="D131" s="146"/>
      <c r="E131" s="149"/>
      <c r="L131" s="146"/>
    </row>
    <row r="132">
      <c r="A132" s="146"/>
      <c r="B132" s="156"/>
      <c r="C132" s="146"/>
      <c r="D132" s="146"/>
      <c r="E132" s="149"/>
      <c r="L132" s="146"/>
    </row>
    <row r="133">
      <c r="A133" s="146"/>
      <c r="B133" s="156"/>
      <c r="C133" s="146"/>
      <c r="D133" s="146"/>
      <c r="E133" s="149"/>
      <c r="L133" s="146"/>
    </row>
    <row r="134">
      <c r="A134" s="146"/>
      <c r="B134" s="156"/>
      <c r="C134" s="146"/>
      <c r="D134" s="146"/>
      <c r="E134" s="149"/>
      <c r="L134" s="146"/>
    </row>
    <row r="135">
      <c r="A135" s="146"/>
      <c r="B135" s="156"/>
      <c r="C135" s="146"/>
      <c r="D135" s="146"/>
      <c r="E135" s="149"/>
      <c r="L135" s="146"/>
    </row>
    <row r="136">
      <c r="A136" s="146"/>
      <c r="B136" s="156"/>
      <c r="C136" s="146"/>
      <c r="D136" s="146"/>
      <c r="E136" s="149"/>
      <c r="L136" s="146"/>
    </row>
    <row r="137">
      <c r="A137" s="146"/>
      <c r="B137" s="156"/>
      <c r="C137" s="146"/>
      <c r="D137" s="146"/>
      <c r="E137" s="149"/>
      <c r="L137" s="146"/>
    </row>
    <row r="138">
      <c r="A138" s="146"/>
      <c r="B138" s="156"/>
      <c r="C138" s="146"/>
      <c r="D138" s="146"/>
      <c r="E138" s="149"/>
      <c r="L138" s="146"/>
    </row>
    <row r="139">
      <c r="A139" s="146"/>
      <c r="B139" s="156"/>
      <c r="C139" s="146"/>
      <c r="D139" s="146"/>
      <c r="E139" s="149"/>
      <c r="L139" s="146"/>
    </row>
    <row r="140">
      <c r="A140" s="146"/>
      <c r="B140" s="156"/>
      <c r="C140" s="146"/>
      <c r="D140" s="146"/>
      <c r="E140" s="149"/>
      <c r="L140" s="146"/>
    </row>
    <row r="141">
      <c r="A141" s="146"/>
      <c r="B141" s="156"/>
      <c r="C141" s="146"/>
      <c r="D141" s="146"/>
      <c r="E141" s="149"/>
      <c r="L141" s="146"/>
    </row>
    <row r="142">
      <c r="A142" s="146"/>
      <c r="B142" s="156"/>
      <c r="C142" s="146"/>
      <c r="D142" s="146"/>
      <c r="E142" s="149"/>
      <c r="L142" s="146"/>
    </row>
    <row r="143">
      <c r="A143" s="146"/>
      <c r="B143" s="156"/>
      <c r="C143" s="146"/>
      <c r="D143" s="146"/>
      <c r="E143" s="149"/>
      <c r="L143" s="146"/>
    </row>
    <row r="144">
      <c r="A144" s="146"/>
      <c r="B144" s="156"/>
      <c r="C144" s="146"/>
      <c r="D144" s="146"/>
      <c r="E144" s="149"/>
      <c r="L144" s="146"/>
    </row>
    <row r="145">
      <c r="A145" s="146"/>
      <c r="B145" s="156"/>
      <c r="C145" s="146"/>
      <c r="D145" s="146"/>
      <c r="E145" s="149"/>
      <c r="L145" s="146"/>
    </row>
    <row r="146">
      <c r="A146" s="146"/>
      <c r="B146" s="156"/>
      <c r="C146" s="146"/>
      <c r="D146" s="146"/>
      <c r="E146" s="149"/>
      <c r="L146" s="146"/>
    </row>
    <row r="147">
      <c r="A147" s="146"/>
      <c r="B147" s="156"/>
      <c r="C147" s="146"/>
      <c r="D147" s="146"/>
      <c r="E147" s="149"/>
      <c r="L147" s="146"/>
    </row>
    <row r="148">
      <c r="A148" s="146"/>
      <c r="B148" s="156"/>
      <c r="C148" s="146"/>
      <c r="D148" s="146"/>
      <c r="E148" s="149"/>
      <c r="L148" s="146"/>
    </row>
    <row r="149">
      <c r="A149" s="146"/>
      <c r="B149" s="156"/>
      <c r="C149" s="146"/>
      <c r="D149" s="146"/>
      <c r="E149" s="149"/>
      <c r="L149" s="146"/>
    </row>
    <row r="150">
      <c r="A150" s="146"/>
      <c r="B150" s="156"/>
      <c r="C150" s="146"/>
      <c r="D150" s="146"/>
      <c r="E150" s="149"/>
      <c r="L150" s="146"/>
    </row>
    <row r="151">
      <c r="A151" s="146"/>
      <c r="B151" s="156"/>
      <c r="C151" s="146"/>
      <c r="D151" s="146"/>
      <c r="E151" s="149"/>
      <c r="L151" s="146"/>
    </row>
    <row r="152">
      <c r="A152" s="146"/>
      <c r="B152" s="156"/>
      <c r="C152" s="146"/>
      <c r="D152" s="146"/>
      <c r="E152" s="149"/>
      <c r="L152" s="146"/>
    </row>
    <row r="153">
      <c r="A153" s="146"/>
      <c r="B153" s="156"/>
      <c r="C153" s="146"/>
      <c r="D153" s="146"/>
      <c r="E153" s="149"/>
      <c r="L153" s="146"/>
    </row>
    <row r="154">
      <c r="A154" s="146"/>
      <c r="B154" s="156"/>
      <c r="C154" s="146"/>
      <c r="D154" s="146"/>
      <c r="E154" s="149"/>
      <c r="L154" s="146"/>
    </row>
    <row r="155">
      <c r="A155" s="146"/>
      <c r="B155" s="156"/>
      <c r="C155" s="146"/>
      <c r="D155" s="146"/>
      <c r="E155" s="149"/>
      <c r="L155" s="146"/>
    </row>
    <row r="156">
      <c r="A156" s="146"/>
      <c r="B156" s="156"/>
      <c r="C156" s="146"/>
      <c r="D156" s="146"/>
      <c r="E156" s="149"/>
      <c r="L156" s="146"/>
    </row>
    <row r="157">
      <c r="A157" s="146"/>
      <c r="B157" s="156"/>
      <c r="C157" s="146"/>
      <c r="D157" s="146"/>
      <c r="E157" s="149"/>
      <c r="L157" s="146"/>
    </row>
    <row r="158">
      <c r="A158" s="146"/>
      <c r="B158" s="156"/>
      <c r="C158" s="146"/>
      <c r="D158" s="146"/>
      <c r="E158" s="149"/>
      <c r="L158" s="146"/>
    </row>
    <row r="159">
      <c r="A159" s="146"/>
      <c r="B159" s="156"/>
      <c r="C159" s="146"/>
      <c r="D159" s="146"/>
      <c r="E159" s="149"/>
      <c r="L159" s="146"/>
    </row>
    <row r="160">
      <c r="A160" s="146"/>
      <c r="B160" s="156"/>
      <c r="C160" s="146"/>
      <c r="D160" s="146"/>
      <c r="E160" s="149"/>
      <c r="L160" s="146"/>
    </row>
    <row r="161">
      <c r="A161" s="146"/>
      <c r="B161" s="156"/>
      <c r="C161" s="146"/>
      <c r="D161" s="146"/>
      <c r="E161" s="149"/>
      <c r="L161" s="146"/>
    </row>
    <row r="162">
      <c r="A162" s="146"/>
      <c r="B162" s="156"/>
      <c r="C162" s="146"/>
      <c r="D162" s="146"/>
      <c r="E162" s="149"/>
      <c r="L162" s="146"/>
    </row>
    <row r="163">
      <c r="A163" s="146"/>
      <c r="B163" s="156"/>
      <c r="C163" s="146"/>
      <c r="D163" s="146"/>
      <c r="E163" s="149"/>
      <c r="L163" s="146"/>
    </row>
    <row r="164">
      <c r="A164" s="146"/>
      <c r="B164" s="156"/>
      <c r="C164" s="146"/>
      <c r="D164" s="146"/>
      <c r="E164" s="149"/>
      <c r="L164" s="146"/>
    </row>
    <row r="165">
      <c r="A165" s="146"/>
      <c r="B165" s="156"/>
      <c r="C165" s="146"/>
      <c r="D165" s="146"/>
      <c r="E165" s="149"/>
      <c r="L165" s="146"/>
    </row>
    <row r="166">
      <c r="A166" s="146"/>
      <c r="B166" s="156"/>
      <c r="C166" s="146"/>
      <c r="D166" s="146"/>
      <c r="E166" s="149"/>
      <c r="L166" s="146"/>
    </row>
    <row r="167">
      <c r="A167" s="146"/>
      <c r="B167" s="156"/>
      <c r="C167" s="146"/>
      <c r="D167" s="146"/>
      <c r="E167" s="149"/>
      <c r="L167" s="146"/>
    </row>
    <row r="168">
      <c r="A168" s="146"/>
      <c r="B168" s="156"/>
      <c r="C168" s="146"/>
      <c r="D168" s="146"/>
      <c r="E168" s="149"/>
      <c r="L168" s="146"/>
    </row>
    <row r="169">
      <c r="A169" s="146"/>
      <c r="B169" s="156"/>
      <c r="C169" s="146"/>
      <c r="D169" s="146"/>
      <c r="E169" s="149"/>
      <c r="L169" s="146"/>
    </row>
    <row r="170">
      <c r="A170" s="146"/>
      <c r="B170" s="156"/>
      <c r="C170" s="146"/>
      <c r="D170" s="146"/>
      <c r="E170" s="149"/>
      <c r="L170" s="146"/>
    </row>
    <row r="171">
      <c r="A171" s="146"/>
      <c r="B171" s="156"/>
      <c r="C171" s="146"/>
      <c r="D171" s="146"/>
      <c r="E171" s="149"/>
      <c r="L171" s="146"/>
    </row>
    <row r="172">
      <c r="A172" s="146"/>
      <c r="B172" s="156"/>
      <c r="C172" s="146"/>
      <c r="D172" s="146"/>
      <c r="E172" s="149"/>
      <c r="L172" s="146"/>
    </row>
    <row r="173">
      <c r="A173" s="146"/>
      <c r="B173" s="156"/>
      <c r="C173" s="146"/>
      <c r="D173" s="146"/>
      <c r="E173" s="149"/>
      <c r="L173" s="146"/>
    </row>
    <row r="174">
      <c r="A174" s="146"/>
      <c r="B174" s="156"/>
      <c r="C174" s="146"/>
      <c r="D174" s="146"/>
      <c r="E174" s="149"/>
      <c r="L174" s="146"/>
    </row>
    <row r="175">
      <c r="A175" s="146"/>
      <c r="B175" s="156"/>
      <c r="C175" s="146"/>
      <c r="D175" s="146"/>
      <c r="E175" s="149"/>
      <c r="L175" s="146"/>
    </row>
    <row r="176">
      <c r="A176" s="146"/>
      <c r="B176" s="156"/>
      <c r="C176" s="146"/>
      <c r="D176" s="146"/>
      <c r="E176" s="149"/>
      <c r="L176" s="146"/>
    </row>
    <row r="177">
      <c r="A177" s="146"/>
      <c r="B177" s="156"/>
      <c r="C177" s="146"/>
      <c r="D177" s="146"/>
      <c r="E177" s="149"/>
      <c r="L177" s="146"/>
    </row>
    <row r="178">
      <c r="A178" s="146"/>
      <c r="B178" s="156"/>
      <c r="C178" s="146"/>
      <c r="D178" s="146"/>
      <c r="E178" s="149"/>
      <c r="L178" s="146"/>
    </row>
    <row r="179">
      <c r="A179" s="146"/>
      <c r="B179" s="156"/>
      <c r="C179" s="146"/>
      <c r="D179" s="146"/>
      <c r="E179" s="149"/>
      <c r="L179" s="146"/>
    </row>
    <row r="180">
      <c r="A180" s="146"/>
      <c r="B180" s="156"/>
      <c r="C180" s="146"/>
      <c r="D180" s="146"/>
      <c r="E180" s="149"/>
      <c r="L180" s="146"/>
    </row>
    <row r="181">
      <c r="A181" s="146"/>
      <c r="B181" s="156"/>
      <c r="C181" s="146"/>
      <c r="D181" s="146"/>
      <c r="E181" s="149"/>
      <c r="L181" s="146"/>
    </row>
    <row r="182">
      <c r="A182" s="146"/>
      <c r="B182" s="156"/>
      <c r="C182" s="146"/>
      <c r="D182" s="146"/>
      <c r="E182" s="149"/>
      <c r="L182" s="146"/>
    </row>
    <row r="183">
      <c r="A183" s="146"/>
      <c r="B183" s="156"/>
      <c r="C183" s="146"/>
      <c r="D183" s="146"/>
      <c r="E183" s="149"/>
      <c r="L183" s="146"/>
    </row>
    <row r="184">
      <c r="A184" s="146"/>
      <c r="B184" s="156"/>
      <c r="C184" s="146"/>
      <c r="D184" s="146"/>
      <c r="E184" s="149"/>
      <c r="L184" s="146"/>
    </row>
    <row r="185">
      <c r="A185" s="146"/>
      <c r="B185" s="156"/>
      <c r="C185" s="146"/>
      <c r="D185" s="146"/>
      <c r="E185" s="149"/>
      <c r="L185" s="146"/>
    </row>
    <row r="186">
      <c r="A186" s="146"/>
      <c r="B186" s="156"/>
      <c r="C186" s="146"/>
      <c r="D186" s="146"/>
      <c r="E186" s="149"/>
      <c r="L186" s="146"/>
    </row>
    <row r="187">
      <c r="A187" s="146"/>
      <c r="B187" s="156"/>
      <c r="C187" s="146"/>
      <c r="D187" s="146"/>
      <c r="E187" s="149"/>
      <c r="L187" s="146"/>
    </row>
    <row r="188">
      <c r="A188" s="146"/>
      <c r="B188" s="156"/>
      <c r="C188" s="146"/>
      <c r="D188" s="146"/>
      <c r="E188" s="149"/>
      <c r="L188" s="146"/>
    </row>
    <row r="189">
      <c r="A189" s="146"/>
      <c r="B189" s="156"/>
      <c r="C189" s="146"/>
      <c r="D189" s="146"/>
      <c r="E189" s="149"/>
      <c r="L189" s="146"/>
    </row>
    <row r="190">
      <c r="A190" s="146"/>
      <c r="B190" s="156"/>
      <c r="C190" s="146"/>
      <c r="D190" s="146"/>
      <c r="E190" s="149"/>
      <c r="L190" s="146"/>
    </row>
    <row r="191">
      <c r="A191" s="146"/>
      <c r="B191" s="156"/>
      <c r="C191" s="146"/>
      <c r="D191" s="146"/>
      <c r="E191" s="149"/>
      <c r="L191" s="146"/>
    </row>
    <row r="192">
      <c r="A192" s="146"/>
      <c r="B192" s="156"/>
      <c r="C192" s="146"/>
      <c r="D192" s="146"/>
      <c r="E192" s="149"/>
      <c r="L192" s="146"/>
    </row>
    <row r="193">
      <c r="A193" s="146"/>
      <c r="B193" s="156"/>
      <c r="C193" s="146"/>
      <c r="D193" s="146"/>
      <c r="E193" s="149"/>
      <c r="L193" s="146"/>
    </row>
    <row r="194">
      <c r="A194" s="146"/>
      <c r="B194" s="156"/>
      <c r="C194" s="146"/>
      <c r="D194" s="146"/>
      <c r="E194" s="149"/>
      <c r="L194" s="146"/>
    </row>
    <row r="195">
      <c r="A195" s="146"/>
      <c r="B195" s="156"/>
      <c r="C195" s="146"/>
      <c r="D195" s="146"/>
      <c r="E195" s="149"/>
      <c r="L195" s="146"/>
    </row>
    <row r="196">
      <c r="A196" s="146"/>
      <c r="B196" s="156"/>
      <c r="C196" s="146"/>
      <c r="D196" s="146"/>
      <c r="E196" s="149"/>
      <c r="L196" s="146"/>
    </row>
    <row r="197">
      <c r="A197" s="146"/>
      <c r="B197" s="156"/>
      <c r="C197" s="146"/>
      <c r="D197" s="146"/>
      <c r="E197" s="149"/>
      <c r="L197" s="146"/>
    </row>
    <row r="198">
      <c r="A198" s="146"/>
      <c r="B198" s="156"/>
      <c r="C198" s="146"/>
      <c r="D198" s="146"/>
      <c r="E198" s="149"/>
      <c r="L198" s="146"/>
    </row>
    <row r="199">
      <c r="A199" s="146"/>
      <c r="B199" s="156"/>
      <c r="C199" s="146"/>
      <c r="D199" s="146"/>
      <c r="E199" s="149"/>
      <c r="L199" s="146"/>
    </row>
    <row r="200">
      <c r="A200" s="146"/>
      <c r="B200" s="156"/>
      <c r="C200" s="146"/>
      <c r="D200" s="146"/>
      <c r="E200" s="149"/>
      <c r="L200" s="146"/>
    </row>
    <row r="201">
      <c r="A201" s="146"/>
      <c r="B201" s="156"/>
      <c r="C201" s="146"/>
      <c r="D201" s="146"/>
      <c r="E201" s="149"/>
      <c r="L201" s="146"/>
    </row>
    <row r="202">
      <c r="A202" s="146"/>
      <c r="B202" s="156"/>
      <c r="C202" s="146"/>
      <c r="D202" s="146"/>
      <c r="E202" s="149"/>
      <c r="L202" s="146"/>
    </row>
    <row r="203">
      <c r="A203" s="146"/>
      <c r="B203" s="156"/>
      <c r="C203" s="146"/>
      <c r="D203" s="146"/>
      <c r="E203" s="149"/>
      <c r="L203" s="146"/>
    </row>
    <row r="204">
      <c r="A204" s="146"/>
      <c r="B204" s="156"/>
      <c r="C204" s="146"/>
      <c r="D204" s="146"/>
      <c r="E204" s="149"/>
      <c r="L204" s="146"/>
    </row>
    <row r="205">
      <c r="A205" s="146"/>
      <c r="B205" s="156"/>
      <c r="C205" s="146"/>
      <c r="D205" s="146"/>
      <c r="E205" s="149"/>
      <c r="L205" s="146"/>
    </row>
    <row r="206">
      <c r="A206" s="146"/>
      <c r="B206" s="156"/>
      <c r="C206" s="146"/>
      <c r="D206" s="146"/>
      <c r="E206" s="149"/>
      <c r="L206" s="146"/>
    </row>
    <row r="207">
      <c r="A207" s="146"/>
      <c r="B207" s="156"/>
      <c r="C207" s="146"/>
      <c r="D207" s="146"/>
      <c r="E207" s="149"/>
      <c r="L207" s="146"/>
    </row>
    <row r="208">
      <c r="A208" s="146"/>
      <c r="B208" s="156"/>
      <c r="C208" s="146"/>
      <c r="D208" s="146"/>
      <c r="E208" s="149"/>
      <c r="L208" s="146"/>
    </row>
    <row r="209">
      <c r="A209" s="146"/>
      <c r="B209" s="156"/>
      <c r="C209" s="146"/>
      <c r="D209" s="146"/>
      <c r="E209" s="149"/>
      <c r="L209" s="146"/>
    </row>
    <row r="210">
      <c r="A210" s="146"/>
      <c r="B210" s="156"/>
      <c r="C210" s="146"/>
      <c r="D210" s="146"/>
      <c r="E210" s="149"/>
      <c r="L210" s="146"/>
    </row>
    <row r="211">
      <c r="A211" s="146"/>
      <c r="B211" s="156"/>
      <c r="C211" s="146"/>
      <c r="D211" s="146"/>
      <c r="E211" s="149"/>
      <c r="L211" s="146"/>
    </row>
    <row r="212">
      <c r="A212" s="146"/>
      <c r="B212" s="156"/>
      <c r="C212" s="146"/>
      <c r="D212" s="146"/>
      <c r="E212" s="149"/>
      <c r="L212" s="146"/>
    </row>
    <row r="213">
      <c r="A213" s="146"/>
      <c r="B213" s="156"/>
      <c r="C213" s="146"/>
      <c r="D213" s="146"/>
      <c r="E213" s="149"/>
      <c r="L213" s="146"/>
    </row>
    <row r="214">
      <c r="A214" s="146"/>
      <c r="B214" s="156"/>
      <c r="C214" s="146"/>
      <c r="D214" s="146"/>
      <c r="E214" s="149"/>
      <c r="L214" s="146"/>
    </row>
    <row r="215">
      <c r="A215" s="146"/>
      <c r="B215" s="156"/>
      <c r="C215" s="146"/>
      <c r="D215" s="146"/>
      <c r="E215" s="149"/>
      <c r="L215" s="146"/>
    </row>
    <row r="216">
      <c r="A216" s="146"/>
      <c r="B216" s="156"/>
      <c r="C216" s="146"/>
      <c r="D216" s="146"/>
      <c r="E216" s="149"/>
      <c r="L216" s="146"/>
    </row>
    <row r="217">
      <c r="A217" s="146"/>
      <c r="B217" s="156"/>
      <c r="C217" s="146"/>
      <c r="D217" s="146"/>
      <c r="E217" s="149"/>
      <c r="L217" s="146"/>
    </row>
    <row r="218">
      <c r="A218" s="146"/>
      <c r="B218" s="156"/>
      <c r="C218" s="146"/>
      <c r="D218" s="146"/>
      <c r="E218" s="149"/>
      <c r="L218" s="146"/>
    </row>
    <row r="219">
      <c r="A219" s="146"/>
      <c r="B219" s="156"/>
      <c r="C219" s="146"/>
      <c r="D219" s="146"/>
      <c r="E219" s="149"/>
      <c r="L219" s="146"/>
    </row>
    <row r="220">
      <c r="A220" s="146"/>
      <c r="B220" s="156"/>
      <c r="C220" s="146"/>
      <c r="D220" s="146"/>
      <c r="E220" s="149"/>
      <c r="L220" s="146"/>
    </row>
    <row r="221">
      <c r="A221" s="146"/>
      <c r="B221" s="156"/>
      <c r="C221" s="146"/>
      <c r="D221" s="146"/>
      <c r="E221" s="149"/>
      <c r="L221" s="146"/>
    </row>
    <row r="222">
      <c r="A222" s="146"/>
      <c r="B222" s="156"/>
      <c r="C222" s="146"/>
      <c r="D222" s="146"/>
      <c r="E222" s="149"/>
      <c r="L222" s="146"/>
    </row>
    <row r="223">
      <c r="A223" s="146"/>
      <c r="B223" s="156"/>
      <c r="C223" s="146"/>
      <c r="D223" s="146"/>
      <c r="E223" s="149"/>
      <c r="L223" s="146"/>
    </row>
    <row r="224">
      <c r="A224" s="146"/>
      <c r="B224" s="156"/>
      <c r="C224" s="146"/>
      <c r="D224" s="146"/>
      <c r="E224" s="149"/>
      <c r="L224" s="146"/>
    </row>
    <row r="225">
      <c r="A225" s="146"/>
      <c r="B225" s="156"/>
      <c r="C225" s="146"/>
      <c r="D225" s="146"/>
      <c r="E225" s="149"/>
      <c r="L225" s="146"/>
    </row>
    <row r="226">
      <c r="A226" s="146"/>
      <c r="B226" s="156"/>
      <c r="C226" s="146"/>
      <c r="D226" s="146"/>
      <c r="E226" s="149"/>
      <c r="L226" s="146"/>
    </row>
    <row r="227">
      <c r="A227" s="146"/>
      <c r="B227" s="156"/>
      <c r="C227" s="146"/>
      <c r="D227" s="146"/>
      <c r="E227" s="149"/>
      <c r="L227" s="146"/>
    </row>
    <row r="228">
      <c r="A228" s="146"/>
      <c r="B228" s="156"/>
      <c r="C228" s="146"/>
      <c r="D228" s="146"/>
      <c r="E228" s="149"/>
      <c r="L228" s="146"/>
    </row>
    <row r="229">
      <c r="A229" s="146"/>
      <c r="B229" s="156"/>
      <c r="C229" s="146"/>
      <c r="D229" s="146"/>
      <c r="E229" s="149"/>
      <c r="L229" s="146"/>
    </row>
    <row r="230">
      <c r="A230" s="146"/>
      <c r="B230" s="156"/>
      <c r="C230" s="146"/>
      <c r="D230" s="146"/>
      <c r="E230" s="149"/>
      <c r="L230" s="146"/>
    </row>
    <row r="231">
      <c r="A231" s="146"/>
      <c r="B231" s="156"/>
      <c r="C231" s="146"/>
      <c r="D231" s="146"/>
      <c r="E231" s="149"/>
      <c r="L231" s="146"/>
    </row>
    <row r="232">
      <c r="A232" s="146"/>
      <c r="B232" s="156"/>
      <c r="C232" s="146"/>
      <c r="D232" s="146"/>
      <c r="E232" s="149"/>
      <c r="L232" s="146"/>
    </row>
    <row r="233">
      <c r="A233" s="146"/>
      <c r="B233" s="156"/>
      <c r="C233" s="146"/>
      <c r="D233" s="146"/>
      <c r="E233" s="149"/>
      <c r="L233" s="146"/>
    </row>
    <row r="234">
      <c r="A234" s="146"/>
      <c r="B234" s="156"/>
      <c r="C234" s="146"/>
      <c r="D234" s="146"/>
      <c r="E234" s="149"/>
      <c r="L234" s="146"/>
    </row>
    <row r="235">
      <c r="A235" s="146"/>
      <c r="B235" s="156"/>
      <c r="C235" s="146"/>
      <c r="D235" s="146"/>
      <c r="E235" s="149"/>
      <c r="L235" s="146"/>
    </row>
    <row r="236">
      <c r="A236" s="146"/>
      <c r="B236" s="156"/>
      <c r="C236" s="146"/>
      <c r="D236" s="146"/>
      <c r="E236" s="149"/>
      <c r="L236" s="146"/>
    </row>
    <row r="237">
      <c r="A237" s="146"/>
      <c r="B237" s="156"/>
      <c r="C237" s="146"/>
      <c r="D237" s="146"/>
      <c r="E237" s="149"/>
      <c r="L237" s="146"/>
    </row>
    <row r="238">
      <c r="A238" s="146"/>
      <c r="B238" s="156"/>
      <c r="C238" s="146"/>
      <c r="D238" s="146"/>
      <c r="E238" s="149"/>
      <c r="L238" s="146"/>
    </row>
    <row r="239">
      <c r="A239" s="146"/>
      <c r="B239" s="156"/>
      <c r="C239" s="146"/>
      <c r="D239" s="146"/>
      <c r="E239" s="149"/>
      <c r="L239" s="146"/>
    </row>
    <row r="240">
      <c r="A240" s="146"/>
      <c r="B240" s="156"/>
      <c r="C240" s="146"/>
      <c r="D240" s="146"/>
      <c r="E240" s="149"/>
      <c r="L240" s="146"/>
    </row>
    <row r="241">
      <c r="A241" s="146"/>
      <c r="B241" s="156"/>
      <c r="C241" s="146"/>
      <c r="D241" s="146"/>
      <c r="E241" s="149"/>
      <c r="L241" s="146"/>
    </row>
    <row r="242">
      <c r="A242" s="146"/>
      <c r="B242" s="156"/>
      <c r="C242" s="146"/>
      <c r="D242" s="146"/>
      <c r="E242" s="149"/>
      <c r="L242" s="146"/>
    </row>
    <row r="243">
      <c r="A243" s="146"/>
      <c r="B243" s="156"/>
      <c r="C243" s="146"/>
      <c r="D243" s="146"/>
      <c r="E243" s="149"/>
      <c r="L243" s="146"/>
    </row>
    <row r="244">
      <c r="A244" s="146"/>
      <c r="B244" s="156"/>
      <c r="C244" s="146"/>
      <c r="D244" s="146"/>
      <c r="E244" s="149"/>
      <c r="L244" s="146"/>
    </row>
    <row r="245">
      <c r="A245" s="146"/>
      <c r="B245" s="156"/>
      <c r="C245" s="146"/>
      <c r="D245" s="146"/>
      <c r="E245" s="149"/>
      <c r="L245" s="146"/>
    </row>
    <row r="246">
      <c r="A246" s="146"/>
      <c r="B246" s="156"/>
      <c r="C246" s="146"/>
      <c r="D246" s="146"/>
      <c r="E246" s="149"/>
      <c r="L246" s="146"/>
    </row>
    <row r="247">
      <c r="A247" s="146"/>
      <c r="B247" s="156"/>
      <c r="C247" s="146"/>
      <c r="D247" s="146"/>
      <c r="E247" s="149"/>
      <c r="L247" s="146"/>
    </row>
    <row r="248">
      <c r="A248" s="146"/>
      <c r="B248" s="156"/>
      <c r="C248" s="146"/>
      <c r="D248" s="146"/>
      <c r="E248" s="149"/>
      <c r="L248" s="146"/>
    </row>
    <row r="249">
      <c r="A249" s="146"/>
      <c r="B249" s="156"/>
      <c r="C249" s="146"/>
      <c r="D249" s="146"/>
      <c r="E249" s="149"/>
      <c r="L249" s="146"/>
    </row>
    <row r="250">
      <c r="A250" s="146"/>
      <c r="B250" s="156"/>
      <c r="C250" s="146"/>
      <c r="D250" s="146"/>
      <c r="E250" s="149"/>
      <c r="L250" s="146"/>
    </row>
    <row r="251">
      <c r="A251" s="146"/>
      <c r="B251" s="156"/>
      <c r="C251" s="146"/>
      <c r="D251" s="146"/>
      <c r="E251" s="149"/>
      <c r="L251" s="146"/>
    </row>
    <row r="252">
      <c r="A252" s="146"/>
      <c r="B252" s="156"/>
      <c r="C252" s="146"/>
      <c r="D252" s="146"/>
      <c r="E252" s="149"/>
      <c r="L252" s="146"/>
    </row>
    <row r="253">
      <c r="A253" s="146"/>
      <c r="B253" s="156"/>
      <c r="C253" s="146"/>
      <c r="D253" s="146"/>
      <c r="E253" s="149"/>
      <c r="L253" s="146"/>
    </row>
    <row r="254">
      <c r="A254" s="146"/>
      <c r="B254" s="156"/>
      <c r="C254" s="146"/>
      <c r="D254" s="146"/>
      <c r="E254" s="149"/>
      <c r="L254" s="146"/>
    </row>
    <row r="255">
      <c r="A255" s="146"/>
      <c r="B255" s="156"/>
      <c r="C255" s="146"/>
      <c r="D255" s="146"/>
      <c r="E255" s="149"/>
      <c r="L255" s="146"/>
    </row>
    <row r="256">
      <c r="A256" s="146"/>
      <c r="B256" s="156"/>
      <c r="C256" s="146"/>
      <c r="D256" s="146"/>
      <c r="E256" s="149"/>
      <c r="L256" s="146"/>
    </row>
    <row r="257">
      <c r="A257" s="146"/>
      <c r="B257" s="156"/>
      <c r="C257" s="146"/>
      <c r="D257" s="146"/>
      <c r="E257" s="149"/>
      <c r="L257" s="146"/>
    </row>
    <row r="258">
      <c r="A258" s="146"/>
      <c r="B258" s="156"/>
      <c r="C258" s="146"/>
      <c r="D258" s="146"/>
      <c r="E258" s="149"/>
      <c r="L258" s="146"/>
    </row>
    <row r="259">
      <c r="A259" s="146"/>
      <c r="B259" s="156"/>
      <c r="C259" s="146"/>
      <c r="D259" s="146"/>
      <c r="E259" s="149"/>
      <c r="L259" s="146"/>
    </row>
    <row r="260">
      <c r="A260" s="146"/>
      <c r="B260" s="156"/>
      <c r="C260" s="146"/>
      <c r="D260" s="146"/>
      <c r="E260" s="149"/>
      <c r="L260" s="146"/>
    </row>
    <row r="261">
      <c r="A261" s="146"/>
      <c r="B261" s="156"/>
      <c r="C261" s="146"/>
      <c r="D261" s="146"/>
      <c r="E261" s="149"/>
      <c r="L261" s="146"/>
    </row>
    <row r="262">
      <c r="A262" s="146"/>
      <c r="B262" s="156"/>
      <c r="C262" s="146"/>
      <c r="D262" s="146"/>
      <c r="E262" s="149"/>
      <c r="L262" s="146"/>
    </row>
    <row r="263">
      <c r="A263" s="146"/>
      <c r="B263" s="156"/>
      <c r="C263" s="146"/>
      <c r="D263" s="146"/>
      <c r="E263" s="149"/>
      <c r="L263" s="146"/>
    </row>
    <row r="264">
      <c r="A264" s="146"/>
      <c r="B264" s="156"/>
      <c r="C264" s="146"/>
      <c r="D264" s="146"/>
      <c r="E264" s="149"/>
      <c r="L264" s="146"/>
    </row>
    <row r="265">
      <c r="A265" s="146"/>
      <c r="B265" s="156"/>
      <c r="C265" s="146"/>
      <c r="D265" s="146"/>
      <c r="E265" s="149"/>
      <c r="L265" s="146"/>
    </row>
    <row r="266">
      <c r="A266" s="146"/>
      <c r="B266" s="156"/>
      <c r="C266" s="146"/>
      <c r="D266" s="146"/>
      <c r="E266" s="149"/>
      <c r="L266" s="146"/>
    </row>
    <row r="267">
      <c r="A267" s="146"/>
      <c r="B267" s="156"/>
      <c r="C267" s="146"/>
      <c r="D267" s="146"/>
      <c r="E267" s="149"/>
      <c r="L267" s="146"/>
    </row>
    <row r="268">
      <c r="A268" s="146"/>
      <c r="B268" s="156"/>
      <c r="C268" s="146"/>
      <c r="D268" s="146"/>
      <c r="E268" s="149"/>
      <c r="L268" s="146"/>
    </row>
    <row r="269">
      <c r="A269" s="146"/>
      <c r="B269" s="156"/>
      <c r="C269" s="146"/>
      <c r="D269" s="146"/>
      <c r="E269" s="149"/>
      <c r="L269" s="146"/>
    </row>
    <row r="270">
      <c r="A270" s="146"/>
      <c r="B270" s="156"/>
      <c r="C270" s="146"/>
      <c r="D270" s="146"/>
      <c r="E270" s="149"/>
      <c r="L270" s="146"/>
    </row>
    <row r="271">
      <c r="A271" s="146"/>
      <c r="B271" s="156"/>
      <c r="C271" s="146"/>
      <c r="D271" s="146"/>
      <c r="E271" s="149"/>
      <c r="L271" s="146"/>
    </row>
    <row r="272">
      <c r="A272" s="146"/>
      <c r="B272" s="156"/>
      <c r="C272" s="146"/>
      <c r="D272" s="146"/>
      <c r="E272" s="149"/>
      <c r="L272" s="146"/>
    </row>
    <row r="273">
      <c r="A273" s="146"/>
      <c r="B273" s="156"/>
      <c r="C273" s="146"/>
      <c r="D273" s="146"/>
      <c r="E273" s="149"/>
      <c r="L273" s="146"/>
    </row>
    <row r="274">
      <c r="A274" s="146"/>
      <c r="B274" s="156"/>
      <c r="C274" s="146"/>
      <c r="D274" s="146"/>
      <c r="E274" s="149"/>
      <c r="L274" s="146"/>
    </row>
    <row r="275">
      <c r="A275" s="146"/>
      <c r="B275" s="156"/>
      <c r="C275" s="146"/>
      <c r="D275" s="146"/>
      <c r="E275" s="149"/>
      <c r="L275" s="146"/>
    </row>
    <row r="276">
      <c r="A276" s="146"/>
      <c r="B276" s="156"/>
      <c r="C276" s="146"/>
      <c r="D276" s="146"/>
      <c r="E276" s="149"/>
      <c r="L276" s="146"/>
    </row>
    <row r="277">
      <c r="A277" s="146"/>
      <c r="B277" s="156"/>
      <c r="C277" s="146"/>
      <c r="D277" s="146"/>
      <c r="E277" s="149"/>
      <c r="L277" s="146"/>
    </row>
    <row r="278">
      <c r="A278" s="146"/>
      <c r="B278" s="156"/>
      <c r="C278" s="146"/>
      <c r="D278" s="146"/>
      <c r="E278" s="149"/>
      <c r="L278" s="146"/>
    </row>
    <row r="279">
      <c r="A279" s="146"/>
      <c r="B279" s="156"/>
      <c r="C279" s="146"/>
      <c r="D279" s="146"/>
      <c r="E279" s="149"/>
      <c r="L279" s="146"/>
    </row>
    <row r="280">
      <c r="A280" s="146"/>
      <c r="B280" s="156"/>
      <c r="C280" s="146"/>
      <c r="D280" s="146"/>
      <c r="E280" s="149"/>
      <c r="L280" s="146"/>
    </row>
    <row r="281">
      <c r="A281" s="146"/>
      <c r="B281" s="156"/>
      <c r="C281" s="146"/>
      <c r="D281" s="146"/>
      <c r="E281" s="149"/>
      <c r="L281" s="146"/>
    </row>
    <row r="282">
      <c r="A282" s="146"/>
      <c r="B282" s="156"/>
      <c r="C282" s="146"/>
      <c r="D282" s="146"/>
      <c r="E282" s="149"/>
      <c r="L282" s="146"/>
    </row>
    <row r="283">
      <c r="A283" s="146"/>
      <c r="B283" s="156"/>
      <c r="C283" s="146"/>
      <c r="D283" s="146"/>
      <c r="E283" s="149"/>
      <c r="L283" s="146"/>
    </row>
    <row r="284">
      <c r="A284" s="146"/>
      <c r="B284" s="156"/>
      <c r="C284" s="146"/>
      <c r="D284" s="146"/>
      <c r="E284" s="149"/>
      <c r="L284" s="146"/>
    </row>
    <row r="285">
      <c r="A285" s="146"/>
      <c r="B285" s="156"/>
      <c r="C285" s="146"/>
      <c r="D285" s="146"/>
      <c r="E285" s="149"/>
      <c r="L285" s="146"/>
    </row>
    <row r="286">
      <c r="A286" s="146"/>
      <c r="B286" s="156"/>
      <c r="C286" s="146"/>
      <c r="D286" s="146"/>
      <c r="E286" s="149"/>
      <c r="L286" s="146"/>
    </row>
    <row r="287">
      <c r="A287" s="146"/>
      <c r="B287" s="156"/>
      <c r="C287" s="146"/>
      <c r="D287" s="146"/>
      <c r="E287" s="149"/>
      <c r="L287" s="146"/>
    </row>
    <row r="288">
      <c r="A288" s="146"/>
      <c r="B288" s="156"/>
      <c r="C288" s="146"/>
      <c r="D288" s="146"/>
      <c r="E288" s="149"/>
      <c r="L288" s="146"/>
    </row>
    <row r="289">
      <c r="A289" s="146"/>
      <c r="B289" s="156"/>
      <c r="C289" s="146"/>
      <c r="D289" s="146"/>
      <c r="E289" s="149"/>
      <c r="L289" s="146"/>
    </row>
    <row r="290">
      <c r="A290" s="146"/>
      <c r="B290" s="156"/>
      <c r="C290" s="146"/>
      <c r="D290" s="146"/>
      <c r="E290" s="149"/>
      <c r="L290" s="146"/>
    </row>
    <row r="291">
      <c r="A291" s="146"/>
      <c r="B291" s="156"/>
      <c r="C291" s="146"/>
      <c r="D291" s="146"/>
      <c r="E291" s="149"/>
      <c r="L291" s="146"/>
    </row>
    <row r="292">
      <c r="A292" s="146"/>
      <c r="B292" s="156"/>
      <c r="C292" s="146"/>
      <c r="D292" s="146"/>
      <c r="E292" s="149"/>
      <c r="L292" s="146"/>
    </row>
    <row r="293">
      <c r="A293" s="146"/>
      <c r="B293" s="156"/>
      <c r="C293" s="146"/>
      <c r="D293" s="146"/>
      <c r="E293" s="149"/>
      <c r="L293" s="146"/>
    </row>
    <row r="294">
      <c r="A294" s="146"/>
      <c r="B294" s="156"/>
      <c r="C294" s="146"/>
      <c r="D294" s="146"/>
      <c r="E294" s="149"/>
      <c r="L294" s="146"/>
    </row>
    <row r="295">
      <c r="A295" s="146"/>
      <c r="B295" s="156"/>
      <c r="C295" s="146"/>
      <c r="D295" s="146"/>
      <c r="E295" s="149"/>
      <c r="L295" s="146"/>
    </row>
    <row r="296">
      <c r="A296" s="146"/>
      <c r="B296" s="156"/>
      <c r="C296" s="146"/>
      <c r="D296" s="146"/>
      <c r="E296" s="149"/>
      <c r="L296" s="146"/>
    </row>
    <row r="297">
      <c r="A297" s="146"/>
      <c r="B297" s="156"/>
      <c r="C297" s="146"/>
      <c r="D297" s="146"/>
      <c r="E297" s="149"/>
      <c r="L297" s="146"/>
    </row>
    <row r="298">
      <c r="A298" s="146"/>
      <c r="B298" s="156"/>
      <c r="C298" s="146"/>
      <c r="D298" s="146"/>
      <c r="E298" s="149"/>
      <c r="L298" s="146"/>
    </row>
    <row r="299">
      <c r="A299" s="146"/>
      <c r="B299" s="156"/>
      <c r="C299" s="146"/>
      <c r="D299" s="146"/>
      <c r="E299" s="149"/>
      <c r="L299" s="146"/>
    </row>
    <row r="300">
      <c r="A300" s="146"/>
      <c r="B300" s="156"/>
      <c r="C300" s="146"/>
      <c r="D300" s="146"/>
      <c r="E300" s="149"/>
      <c r="L300" s="146"/>
    </row>
    <row r="301">
      <c r="A301" s="146"/>
      <c r="B301" s="156"/>
      <c r="C301" s="146"/>
      <c r="D301" s="146"/>
      <c r="E301" s="149"/>
      <c r="L301" s="146"/>
    </row>
    <row r="302">
      <c r="A302" s="146"/>
      <c r="B302" s="156"/>
      <c r="C302" s="146"/>
      <c r="D302" s="146"/>
      <c r="E302" s="149"/>
      <c r="L302" s="146"/>
    </row>
    <row r="303">
      <c r="A303" s="146"/>
      <c r="B303" s="156"/>
      <c r="C303" s="146"/>
      <c r="D303" s="146"/>
      <c r="E303" s="149"/>
      <c r="L303" s="146"/>
    </row>
    <row r="304">
      <c r="A304" s="146"/>
      <c r="B304" s="156"/>
      <c r="C304" s="146"/>
      <c r="D304" s="146"/>
      <c r="E304" s="149"/>
      <c r="L304" s="146"/>
    </row>
    <row r="305">
      <c r="A305" s="146"/>
      <c r="B305" s="156"/>
      <c r="C305" s="146"/>
      <c r="D305" s="146"/>
      <c r="E305" s="149"/>
      <c r="L305" s="146"/>
    </row>
    <row r="306">
      <c r="A306" s="146"/>
      <c r="B306" s="156"/>
      <c r="C306" s="146"/>
      <c r="D306" s="146"/>
      <c r="E306" s="149"/>
      <c r="L306" s="146"/>
    </row>
    <row r="307">
      <c r="A307" s="146"/>
      <c r="B307" s="156"/>
      <c r="C307" s="146"/>
      <c r="D307" s="146"/>
      <c r="E307" s="149"/>
      <c r="L307" s="146"/>
    </row>
    <row r="308">
      <c r="A308" s="146"/>
      <c r="B308" s="156"/>
      <c r="C308" s="146"/>
      <c r="D308" s="146"/>
      <c r="E308" s="149"/>
      <c r="L308" s="146"/>
    </row>
    <row r="309">
      <c r="A309" s="146"/>
      <c r="B309" s="156"/>
      <c r="C309" s="146"/>
      <c r="D309" s="146"/>
      <c r="E309" s="149"/>
      <c r="L309" s="146"/>
    </row>
    <row r="310">
      <c r="A310" s="146"/>
      <c r="B310" s="156"/>
      <c r="C310" s="146"/>
      <c r="D310" s="146"/>
      <c r="E310" s="149"/>
      <c r="L310" s="146"/>
    </row>
    <row r="311">
      <c r="A311" s="146"/>
      <c r="B311" s="156"/>
      <c r="C311" s="146"/>
      <c r="D311" s="146"/>
      <c r="E311" s="149"/>
      <c r="L311" s="146"/>
    </row>
    <row r="312">
      <c r="A312" s="146"/>
      <c r="B312" s="156"/>
      <c r="C312" s="146"/>
      <c r="D312" s="146"/>
      <c r="E312" s="149"/>
      <c r="L312" s="146"/>
    </row>
    <row r="313">
      <c r="A313" s="146"/>
      <c r="B313" s="156"/>
      <c r="C313" s="146"/>
      <c r="D313" s="146"/>
      <c r="E313" s="149"/>
      <c r="L313" s="146"/>
    </row>
    <row r="314">
      <c r="A314" s="146"/>
      <c r="B314" s="156"/>
      <c r="C314" s="146"/>
      <c r="D314" s="146"/>
      <c r="E314" s="149"/>
      <c r="L314" s="146"/>
    </row>
    <row r="315">
      <c r="A315" s="146"/>
      <c r="B315" s="156"/>
      <c r="C315" s="146"/>
      <c r="D315" s="146"/>
      <c r="E315" s="149"/>
      <c r="L315" s="146"/>
    </row>
    <row r="316">
      <c r="A316" s="146"/>
      <c r="B316" s="156"/>
      <c r="C316" s="146"/>
      <c r="D316" s="146"/>
      <c r="E316" s="149"/>
      <c r="L316" s="146"/>
    </row>
    <row r="317">
      <c r="A317" s="146"/>
      <c r="B317" s="156"/>
      <c r="C317" s="146"/>
      <c r="D317" s="146"/>
      <c r="E317" s="149"/>
      <c r="L317" s="146"/>
    </row>
    <row r="318">
      <c r="A318" s="146"/>
      <c r="B318" s="156"/>
      <c r="C318" s="146"/>
      <c r="D318" s="146"/>
      <c r="E318" s="149"/>
      <c r="L318" s="146"/>
    </row>
    <row r="319">
      <c r="A319" s="146"/>
      <c r="B319" s="156"/>
      <c r="C319" s="146"/>
      <c r="D319" s="146"/>
      <c r="E319" s="149"/>
      <c r="L319" s="146"/>
    </row>
    <row r="320">
      <c r="A320" s="146"/>
      <c r="B320" s="156"/>
      <c r="C320" s="146"/>
      <c r="D320" s="146"/>
      <c r="E320" s="149"/>
      <c r="L320" s="146"/>
    </row>
    <row r="321">
      <c r="A321" s="146"/>
      <c r="B321" s="156"/>
      <c r="C321" s="146"/>
      <c r="D321" s="146"/>
      <c r="E321" s="149"/>
      <c r="L321" s="146"/>
    </row>
    <row r="322">
      <c r="A322" s="146"/>
      <c r="B322" s="156"/>
      <c r="C322" s="146"/>
      <c r="D322" s="146"/>
      <c r="E322" s="149"/>
      <c r="L322" s="146"/>
    </row>
    <row r="323">
      <c r="A323" s="146"/>
      <c r="B323" s="156"/>
      <c r="C323" s="146"/>
      <c r="D323" s="146"/>
      <c r="E323" s="149"/>
      <c r="L323" s="146"/>
    </row>
    <row r="324">
      <c r="A324" s="146"/>
      <c r="B324" s="156"/>
      <c r="C324" s="146"/>
      <c r="D324" s="146"/>
      <c r="E324" s="149"/>
      <c r="L324" s="146"/>
    </row>
    <row r="325">
      <c r="A325" s="146"/>
      <c r="B325" s="156"/>
      <c r="C325" s="146"/>
      <c r="D325" s="146"/>
      <c r="E325" s="149"/>
      <c r="L325" s="146"/>
    </row>
    <row r="326">
      <c r="A326" s="146"/>
      <c r="B326" s="156"/>
      <c r="C326" s="146"/>
      <c r="D326" s="146"/>
      <c r="E326" s="149"/>
      <c r="L326" s="146"/>
    </row>
    <row r="327">
      <c r="A327" s="146"/>
      <c r="B327" s="156"/>
      <c r="C327" s="146"/>
      <c r="D327" s="146"/>
      <c r="E327" s="149"/>
      <c r="L327" s="146"/>
    </row>
    <row r="328">
      <c r="A328" s="146"/>
      <c r="B328" s="156"/>
      <c r="C328" s="146"/>
      <c r="D328" s="146"/>
      <c r="E328" s="149"/>
      <c r="L328" s="146"/>
    </row>
    <row r="329">
      <c r="A329" s="146"/>
      <c r="B329" s="156"/>
      <c r="C329" s="146"/>
      <c r="D329" s="146"/>
      <c r="E329" s="149"/>
      <c r="L329" s="146"/>
    </row>
    <row r="330">
      <c r="A330" s="146"/>
      <c r="B330" s="156"/>
      <c r="C330" s="146"/>
      <c r="D330" s="146"/>
      <c r="E330" s="149"/>
      <c r="L330" s="146"/>
    </row>
    <row r="331">
      <c r="A331" s="146"/>
      <c r="B331" s="156"/>
      <c r="C331" s="146"/>
      <c r="D331" s="146"/>
      <c r="E331" s="149"/>
      <c r="L331" s="146"/>
    </row>
    <row r="332">
      <c r="A332" s="146"/>
      <c r="B332" s="156"/>
      <c r="C332" s="146"/>
      <c r="D332" s="146"/>
      <c r="E332" s="149"/>
      <c r="L332" s="146"/>
    </row>
    <row r="333">
      <c r="A333" s="146"/>
      <c r="B333" s="156"/>
      <c r="C333" s="146"/>
      <c r="D333" s="146"/>
      <c r="E333" s="149"/>
      <c r="L333" s="146"/>
    </row>
    <row r="334">
      <c r="A334" s="146"/>
      <c r="B334" s="156"/>
      <c r="C334" s="146"/>
      <c r="D334" s="146"/>
      <c r="E334" s="149"/>
      <c r="L334" s="146"/>
    </row>
    <row r="335">
      <c r="A335" s="146"/>
      <c r="B335" s="156"/>
      <c r="C335" s="146"/>
      <c r="D335" s="146"/>
      <c r="E335" s="149"/>
      <c r="L335" s="146"/>
    </row>
    <row r="336">
      <c r="A336" s="146"/>
      <c r="B336" s="156"/>
      <c r="C336" s="146"/>
      <c r="D336" s="146"/>
      <c r="E336" s="149"/>
      <c r="L336" s="146"/>
    </row>
    <row r="337">
      <c r="A337" s="146"/>
      <c r="B337" s="156"/>
      <c r="C337" s="146"/>
      <c r="D337" s="146"/>
      <c r="E337" s="149"/>
      <c r="L337" s="146"/>
    </row>
    <row r="338">
      <c r="A338" s="146"/>
      <c r="B338" s="156"/>
      <c r="C338" s="146"/>
      <c r="D338" s="146"/>
      <c r="E338" s="149"/>
      <c r="L338" s="146"/>
    </row>
    <row r="339">
      <c r="A339" s="146"/>
      <c r="B339" s="156"/>
      <c r="C339" s="146"/>
      <c r="D339" s="146"/>
      <c r="E339" s="149"/>
      <c r="L339" s="146"/>
    </row>
    <row r="340">
      <c r="A340" s="146"/>
      <c r="B340" s="156"/>
      <c r="C340" s="146"/>
      <c r="D340" s="146"/>
      <c r="E340" s="149"/>
      <c r="L340" s="146"/>
    </row>
    <row r="341">
      <c r="A341" s="146"/>
      <c r="B341" s="156"/>
      <c r="C341" s="146"/>
      <c r="D341" s="146"/>
      <c r="E341" s="149"/>
      <c r="L341" s="146"/>
    </row>
    <row r="342">
      <c r="A342" s="146"/>
      <c r="B342" s="156"/>
      <c r="C342" s="146"/>
      <c r="D342" s="146"/>
      <c r="E342" s="149"/>
      <c r="L342" s="146"/>
    </row>
    <row r="343">
      <c r="A343" s="146"/>
      <c r="B343" s="156"/>
      <c r="C343" s="146"/>
      <c r="D343" s="146"/>
      <c r="E343" s="149"/>
      <c r="L343" s="146"/>
    </row>
    <row r="344">
      <c r="A344" s="146"/>
      <c r="B344" s="156"/>
      <c r="C344" s="146"/>
      <c r="D344" s="146"/>
      <c r="E344" s="149"/>
      <c r="L344" s="146"/>
    </row>
    <row r="345">
      <c r="A345" s="146"/>
      <c r="B345" s="156"/>
      <c r="C345" s="146"/>
      <c r="D345" s="146"/>
      <c r="E345" s="149"/>
      <c r="L345" s="146"/>
    </row>
    <row r="346">
      <c r="A346" s="146"/>
      <c r="B346" s="156"/>
      <c r="C346" s="146"/>
      <c r="D346" s="146"/>
      <c r="E346" s="149"/>
      <c r="L346" s="146"/>
    </row>
    <row r="347">
      <c r="A347" s="146"/>
      <c r="B347" s="156"/>
      <c r="C347" s="146"/>
      <c r="D347" s="146"/>
      <c r="E347" s="149"/>
      <c r="L347" s="146"/>
    </row>
    <row r="348">
      <c r="A348" s="146"/>
      <c r="B348" s="156"/>
      <c r="C348" s="146"/>
      <c r="D348" s="146"/>
      <c r="E348" s="149"/>
      <c r="L348" s="146"/>
    </row>
    <row r="349">
      <c r="A349" s="146"/>
      <c r="B349" s="156"/>
      <c r="C349" s="146"/>
      <c r="D349" s="146"/>
      <c r="E349" s="149"/>
      <c r="L349" s="146"/>
    </row>
    <row r="350">
      <c r="A350" s="146"/>
      <c r="B350" s="156"/>
      <c r="C350" s="146"/>
      <c r="D350" s="146"/>
      <c r="E350" s="149"/>
      <c r="L350" s="146"/>
    </row>
    <row r="351">
      <c r="A351" s="146"/>
      <c r="B351" s="156"/>
      <c r="C351" s="146"/>
      <c r="D351" s="146"/>
      <c r="E351" s="149"/>
      <c r="L351" s="146"/>
    </row>
    <row r="352">
      <c r="A352" s="146"/>
      <c r="B352" s="156"/>
      <c r="C352" s="146"/>
      <c r="D352" s="146"/>
      <c r="E352" s="149"/>
      <c r="L352" s="146"/>
    </row>
    <row r="353">
      <c r="A353" s="146"/>
      <c r="B353" s="156"/>
      <c r="C353" s="146"/>
      <c r="D353" s="146"/>
      <c r="E353" s="149"/>
      <c r="L353" s="146"/>
    </row>
    <row r="354">
      <c r="A354" s="146"/>
      <c r="B354" s="156"/>
      <c r="C354" s="146"/>
      <c r="D354" s="146"/>
      <c r="E354" s="149"/>
      <c r="L354" s="146"/>
    </row>
    <row r="355">
      <c r="A355" s="146"/>
      <c r="B355" s="156"/>
      <c r="C355" s="146"/>
      <c r="D355" s="146"/>
      <c r="E355" s="149"/>
      <c r="L355" s="146"/>
    </row>
    <row r="356">
      <c r="A356" s="146"/>
      <c r="B356" s="156"/>
      <c r="C356" s="146"/>
      <c r="D356" s="146"/>
      <c r="E356" s="149"/>
      <c r="L356" s="146"/>
    </row>
    <row r="357">
      <c r="A357" s="146"/>
      <c r="B357" s="156"/>
      <c r="C357" s="146"/>
      <c r="D357" s="146"/>
      <c r="E357" s="149"/>
      <c r="L357" s="146"/>
    </row>
    <row r="358">
      <c r="A358" s="146"/>
      <c r="B358" s="156"/>
      <c r="C358" s="146"/>
      <c r="D358" s="146"/>
      <c r="E358" s="149"/>
      <c r="L358" s="146"/>
    </row>
    <row r="359">
      <c r="A359" s="146"/>
      <c r="B359" s="156"/>
      <c r="C359" s="146"/>
      <c r="D359" s="146"/>
      <c r="E359" s="149"/>
      <c r="L359" s="146"/>
    </row>
    <row r="360">
      <c r="A360" s="146"/>
      <c r="B360" s="156"/>
      <c r="C360" s="146"/>
      <c r="D360" s="146"/>
      <c r="E360" s="149"/>
      <c r="L360" s="146"/>
    </row>
    <row r="361">
      <c r="A361" s="146"/>
      <c r="B361" s="156"/>
      <c r="C361" s="146"/>
      <c r="D361" s="146"/>
      <c r="E361" s="149"/>
      <c r="L361" s="146"/>
    </row>
    <row r="362">
      <c r="A362" s="146"/>
      <c r="B362" s="156"/>
      <c r="C362" s="146"/>
      <c r="D362" s="146"/>
      <c r="E362" s="149"/>
      <c r="L362" s="146"/>
    </row>
    <row r="363">
      <c r="A363" s="146"/>
      <c r="B363" s="156"/>
      <c r="C363" s="146"/>
      <c r="D363" s="146"/>
      <c r="E363" s="149"/>
      <c r="L363" s="146"/>
    </row>
    <row r="364">
      <c r="A364" s="146"/>
      <c r="B364" s="156"/>
      <c r="C364" s="146"/>
      <c r="D364" s="146"/>
      <c r="E364" s="149"/>
      <c r="L364" s="146"/>
    </row>
    <row r="365">
      <c r="A365" s="146"/>
      <c r="B365" s="156"/>
      <c r="C365" s="146"/>
      <c r="D365" s="146"/>
      <c r="E365" s="149"/>
      <c r="L365" s="146"/>
    </row>
    <row r="366">
      <c r="A366" s="146"/>
      <c r="B366" s="156"/>
      <c r="C366" s="146"/>
      <c r="D366" s="146"/>
      <c r="E366" s="149"/>
      <c r="L366" s="146"/>
    </row>
    <row r="367">
      <c r="A367" s="146"/>
      <c r="B367" s="156"/>
      <c r="C367" s="146"/>
      <c r="D367" s="146"/>
      <c r="E367" s="149"/>
      <c r="L367" s="146"/>
    </row>
    <row r="368">
      <c r="A368" s="146"/>
      <c r="B368" s="156"/>
      <c r="C368" s="146"/>
      <c r="D368" s="146"/>
      <c r="E368" s="149"/>
      <c r="L368" s="146"/>
    </row>
    <row r="369">
      <c r="A369" s="146"/>
      <c r="B369" s="156"/>
      <c r="C369" s="146"/>
      <c r="D369" s="146"/>
      <c r="E369" s="149"/>
      <c r="L369" s="146"/>
    </row>
    <row r="370">
      <c r="A370" s="146"/>
      <c r="B370" s="156"/>
      <c r="C370" s="146"/>
      <c r="D370" s="146"/>
      <c r="E370" s="149"/>
      <c r="L370" s="146"/>
    </row>
    <row r="371">
      <c r="A371" s="146"/>
      <c r="B371" s="156"/>
      <c r="C371" s="146"/>
      <c r="D371" s="146"/>
      <c r="E371" s="149"/>
      <c r="L371" s="146"/>
    </row>
    <row r="372">
      <c r="A372" s="146"/>
      <c r="B372" s="156"/>
      <c r="C372" s="146"/>
      <c r="D372" s="146"/>
      <c r="E372" s="149"/>
      <c r="L372" s="146"/>
    </row>
    <row r="373">
      <c r="A373" s="146"/>
      <c r="B373" s="156"/>
      <c r="C373" s="146"/>
      <c r="D373" s="146"/>
      <c r="E373" s="149"/>
      <c r="L373" s="146"/>
    </row>
    <row r="374">
      <c r="A374" s="146"/>
      <c r="B374" s="156"/>
      <c r="C374" s="146"/>
      <c r="D374" s="146"/>
      <c r="E374" s="149"/>
      <c r="L374" s="146"/>
    </row>
    <row r="375">
      <c r="A375" s="146"/>
      <c r="B375" s="156"/>
      <c r="C375" s="146"/>
      <c r="D375" s="146"/>
      <c r="E375" s="149"/>
      <c r="L375" s="146"/>
    </row>
    <row r="376">
      <c r="A376" s="146"/>
      <c r="B376" s="156"/>
      <c r="C376" s="146"/>
      <c r="D376" s="146"/>
      <c r="E376" s="149"/>
      <c r="L376" s="146"/>
    </row>
    <row r="377">
      <c r="A377" s="146"/>
      <c r="B377" s="156"/>
      <c r="C377" s="146"/>
      <c r="D377" s="146"/>
      <c r="E377" s="149"/>
      <c r="L377" s="146"/>
    </row>
    <row r="378">
      <c r="A378" s="146"/>
      <c r="B378" s="156"/>
      <c r="C378" s="146"/>
      <c r="D378" s="146"/>
      <c r="E378" s="149"/>
      <c r="L378" s="146"/>
    </row>
    <row r="379">
      <c r="A379" s="146"/>
      <c r="B379" s="156"/>
      <c r="C379" s="146"/>
      <c r="D379" s="146"/>
      <c r="E379" s="149"/>
      <c r="L379" s="146"/>
    </row>
    <row r="380">
      <c r="A380" s="146"/>
      <c r="B380" s="156"/>
      <c r="C380" s="146"/>
      <c r="D380" s="146"/>
      <c r="E380" s="149"/>
      <c r="L380" s="146"/>
    </row>
    <row r="381">
      <c r="A381" s="146"/>
      <c r="B381" s="156"/>
      <c r="C381" s="146"/>
      <c r="D381" s="146"/>
      <c r="E381" s="149"/>
      <c r="L381" s="146"/>
    </row>
    <row r="382">
      <c r="A382" s="146"/>
      <c r="B382" s="156"/>
      <c r="C382" s="146"/>
      <c r="D382" s="146"/>
      <c r="E382" s="149"/>
      <c r="L382" s="146"/>
    </row>
    <row r="383">
      <c r="A383" s="146"/>
      <c r="B383" s="156"/>
      <c r="C383" s="146"/>
      <c r="D383" s="146"/>
      <c r="E383" s="149"/>
      <c r="L383" s="146"/>
    </row>
    <row r="384">
      <c r="A384" s="146"/>
      <c r="B384" s="156"/>
      <c r="C384" s="146"/>
      <c r="D384" s="146"/>
      <c r="E384" s="149"/>
      <c r="L384" s="146"/>
    </row>
    <row r="385">
      <c r="A385" s="146"/>
      <c r="B385" s="156"/>
      <c r="C385" s="146"/>
      <c r="D385" s="146"/>
      <c r="E385" s="149"/>
      <c r="L385" s="146"/>
    </row>
    <row r="386">
      <c r="A386" s="146"/>
      <c r="B386" s="156"/>
      <c r="C386" s="146"/>
      <c r="D386" s="146"/>
      <c r="E386" s="149"/>
      <c r="L386" s="146"/>
    </row>
    <row r="387">
      <c r="A387" s="146"/>
      <c r="B387" s="156"/>
      <c r="C387" s="146"/>
      <c r="D387" s="146"/>
      <c r="E387" s="149"/>
      <c r="L387" s="146"/>
    </row>
    <row r="388">
      <c r="A388" s="146"/>
      <c r="B388" s="156"/>
      <c r="C388" s="146"/>
      <c r="D388" s="146"/>
      <c r="E388" s="149"/>
      <c r="L388" s="146"/>
    </row>
    <row r="389">
      <c r="A389" s="146"/>
      <c r="B389" s="156"/>
      <c r="C389" s="146"/>
      <c r="D389" s="146"/>
      <c r="E389" s="149"/>
      <c r="L389" s="146"/>
    </row>
    <row r="390">
      <c r="A390" s="146"/>
      <c r="B390" s="156"/>
      <c r="C390" s="146"/>
      <c r="D390" s="146"/>
      <c r="E390" s="149"/>
      <c r="L390" s="146"/>
    </row>
    <row r="391">
      <c r="A391" s="146"/>
      <c r="B391" s="156"/>
      <c r="C391" s="146"/>
      <c r="D391" s="146"/>
      <c r="E391" s="149"/>
      <c r="L391" s="146"/>
    </row>
    <row r="392">
      <c r="A392" s="146"/>
      <c r="B392" s="156"/>
      <c r="C392" s="146"/>
      <c r="D392" s="146"/>
      <c r="E392" s="149"/>
      <c r="L392" s="146"/>
    </row>
    <row r="393">
      <c r="A393" s="146"/>
      <c r="B393" s="156"/>
      <c r="C393" s="146"/>
      <c r="D393" s="146"/>
      <c r="E393" s="149"/>
      <c r="L393" s="146"/>
    </row>
    <row r="394">
      <c r="A394" s="146"/>
      <c r="B394" s="156"/>
      <c r="C394" s="146"/>
      <c r="D394" s="146"/>
      <c r="E394" s="149"/>
      <c r="L394" s="146"/>
    </row>
    <row r="395">
      <c r="A395" s="146"/>
      <c r="B395" s="156"/>
      <c r="C395" s="146"/>
      <c r="D395" s="146"/>
      <c r="E395" s="149"/>
      <c r="L395" s="146"/>
    </row>
    <row r="396">
      <c r="A396" s="146"/>
      <c r="B396" s="156"/>
      <c r="C396" s="146"/>
      <c r="D396" s="146"/>
      <c r="E396" s="149"/>
      <c r="L396" s="146"/>
    </row>
    <row r="397">
      <c r="A397" s="146"/>
      <c r="B397" s="156"/>
      <c r="C397" s="146"/>
      <c r="D397" s="146"/>
      <c r="E397" s="149"/>
      <c r="L397" s="146"/>
    </row>
    <row r="398">
      <c r="A398" s="146"/>
      <c r="B398" s="156"/>
      <c r="C398" s="146"/>
      <c r="D398" s="146"/>
      <c r="E398" s="149"/>
      <c r="L398" s="146"/>
    </row>
    <row r="399">
      <c r="A399" s="146"/>
      <c r="B399" s="156"/>
      <c r="C399" s="146"/>
      <c r="D399" s="146"/>
      <c r="E399" s="149"/>
      <c r="L399" s="146"/>
    </row>
    <row r="400">
      <c r="A400" s="146"/>
      <c r="B400" s="156"/>
      <c r="C400" s="146"/>
      <c r="D400" s="146"/>
      <c r="E400" s="149"/>
      <c r="L400" s="146"/>
    </row>
    <row r="401">
      <c r="A401" s="146"/>
      <c r="B401" s="156"/>
      <c r="C401" s="146"/>
      <c r="D401" s="146"/>
      <c r="E401" s="149"/>
      <c r="L401" s="146"/>
    </row>
    <row r="402">
      <c r="A402" s="146"/>
      <c r="B402" s="156"/>
      <c r="C402" s="146"/>
      <c r="D402" s="146"/>
      <c r="E402" s="149"/>
      <c r="L402" s="146"/>
    </row>
    <row r="403">
      <c r="A403" s="146"/>
      <c r="B403" s="156"/>
      <c r="C403" s="146"/>
      <c r="D403" s="146"/>
      <c r="E403" s="149"/>
      <c r="L403" s="146"/>
    </row>
    <row r="404">
      <c r="A404" s="146"/>
      <c r="B404" s="156"/>
      <c r="C404" s="146"/>
      <c r="D404" s="146"/>
      <c r="E404" s="149"/>
      <c r="L404" s="146"/>
    </row>
    <row r="405">
      <c r="A405" s="146"/>
      <c r="B405" s="156"/>
      <c r="C405" s="146"/>
      <c r="D405" s="146"/>
      <c r="E405" s="149"/>
      <c r="L405" s="146"/>
    </row>
    <row r="406">
      <c r="A406" s="146"/>
      <c r="B406" s="156"/>
      <c r="C406" s="146"/>
      <c r="D406" s="146"/>
      <c r="E406" s="149"/>
      <c r="L406" s="146"/>
    </row>
    <row r="407">
      <c r="A407" s="146"/>
      <c r="B407" s="156"/>
      <c r="C407" s="146"/>
      <c r="D407" s="146"/>
      <c r="E407" s="149"/>
      <c r="L407" s="146"/>
    </row>
    <row r="408">
      <c r="A408" s="146"/>
      <c r="B408" s="156"/>
      <c r="C408" s="146"/>
      <c r="D408" s="146"/>
      <c r="E408" s="149"/>
      <c r="L408" s="146"/>
    </row>
    <row r="409">
      <c r="A409" s="146"/>
      <c r="B409" s="156"/>
      <c r="C409" s="146"/>
      <c r="D409" s="146"/>
      <c r="E409" s="149"/>
      <c r="L409" s="146"/>
    </row>
    <row r="410">
      <c r="A410" s="146"/>
      <c r="B410" s="156"/>
      <c r="C410" s="146"/>
      <c r="D410" s="146"/>
      <c r="E410" s="149"/>
      <c r="L410" s="146"/>
    </row>
    <row r="411">
      <c r="A411" s="146"/>
      <c r="B411" s="156"/>
      <c r="C411" s="146"/>
      <c r="D411" s="146"/>
      <c r="E411" s="149"/>
      <c r="L411" s="146"/>
    </row>
    <row r="412">
      <c r="A412" s="146"/>
      <c r="B412" s="156"/>
      <c r="C412" s="146"/>
      <c r="D412" s="146"/>
      <c r="E412" s="149"/>
      <c r="L412" s="146"/>
    </row>
    <row r="413">
      <c r="A413" s="146"/>
      <c r="B413" s="156"/>
      <c r="C413" s="146"/>
      <c r="D413" s="146"/>
      <c r="E413" s="149"/>
      <c r="L413" s="146"/>
    </row>
    <row r="414">
      <c r="A414" s="146"/>
      <c r="B414" s="156"/>
      <c r="C414" s="146"/>
      <c r="D414" s="146"/>
      <c r="E414" s="149"/>
      <c r="L414" s="146"/>
    </row>
    <row r="415">
      <c r="A415" s="146"/>
      <c r="B415" s="156"/>
      <c r="C415" s="146"/>
      <c r="D415" s="146"/>
      <c r="E415" s="149"/>
      <c r="L415" s="146"/>
    </row>
    <row r="416">
      <c r="A416" s="146"/>
      <c r="B416" s="156"/>
      <c r="C416" s="146"/>
      <c r="D416" s="146"/>
      <c r="E416" s="149"/>
      <c r="L416" s="146"/>
    </row>
    <row r="417">
      <c r="A417" s="146"/>
      <c r="B417" s="156"/>
      <c r="C417" s="146"/>
      <c r="D417" s="146"/>
      <c r="E417" s="149"/>
      <c r="L417" s="146"/>
    </row>
    <row r="418">
      <c r="A418" s="146"/>
      <c r="B418" s="156"/>
      <c r="C418" s="146"/>
      <c r="D418" s="146"/>
      <c r="E418" s="149"/>
      <c r="L418" s="146"/>
    </row>
    <row r="419">
      <c r="A419" s="146"/>
      <c r="B419" s="156"/>
      <c r="C419" s="146"/>
      <c r="D419" s="146"/>
      <c r="E419" s="149"/>
      <c r="L419" s="146"/>
    </row>
    <row r="420">
      <c r="A420" s="146"/>
      <c r="B420" s="156"/>
      <c r="C420" s="146"/>
      <c r="D420" s="146"/>
      <c r="E420" s="149"/>
      <c r="L420" s="146"/>
    </row>
    <row r="421">
      <c r="A421" s="146"/>
      <c r="B421" s="156"/>
      <c r="C421" s="146"/>
      <c r="D421" s="146"/>
      <c r="E421" s="149"/>
      <c r="L421" s="146"/>
    </row>
    <row r="422">
      <c r="A422" s="146"/>
      <c r="B422" s="156"/>
      <c r="C422" s="146"/>
      <c r="D422" s="146"/>
      <c r="E422" s="149"/>
      <c r="L422" s="146"/>
    </row>
    <row r="423">
      <c r="A423" s="146"/>
      <c r="B423" s="156"/>
      <c r="C423" s="146"/>
      <c r="D423" s="146"/>
      <c r="E423" s="149"/>
      <c r="L423" s="146"/>
    </row>
    <row r="424">
      <c r="A424" s="146"/>
      <c r="B424" s="156"/>
      <c r="C424" s="146"/>
      <c r="D424" s="146"/>
      <c r="E424" s="149"/>
      <c r="L424" s="146"/>
    </row>
    <row r="425">
      <c r="A425" s="146"/>
      <c r="B425" s="156"/>
      <c r="C425" s="146"/>
      <c r="D425" s="146"/>
      <c r="E425" s="149"/>
      <c r="L425" s="146"/>
    </row>
    <row r="426">
      <c r="A426" s="146"/>
      <c r="B426" s="156"/>
      <c r="C426" s="146"/>
      <c r="D426" s="146"/>
      <c r="E426" s="149"/>
      <c r="L426" s="146"/>
    </row>
    <row r="427">
      <c r="A427" s="146"/>
      <c r="B427" s="156"/>
      <c r="C427" s="146"/>
      <c r="D427" s="146"/>
      <c r="E427" s="149"/>
      <c r="L427" s="146"/>
    </row>
    <row r="428">
      <c r="A428" s="146"/>
      <c r="B428" s="156"/>
      <c r="C428" s="146"/>
      <c r="D428" s="146"/>
      <c r="E428" s="149"/>
      <c r="L428" s="146"/>
    </row>
    <row r="429">
      <c r="A429" s="146"/>
      <c r="B429" s="156"/>
      <c r="C429" s="146"/>
      <c r="D429" s="146"/>
      <c r="E429" s="149"/>
      <c r="L429" s="146"/>
    </row>
    <row r="430">
      <c r="A430" s="146"/>
      <c r="B430" s="156"/>
      <c r="C430" s="146"/>
      <c r="D430" s="146"/>
      <c r="E430" s="149"/>
      <c r="L430" s="146"/>
    </row>
    <row r="431">
      <c r="A431" s="146"/>
      <c r="B431" s="156"/>
      <c r="C431" s="146"/>
      <c r="D431" s="146"/>
      <c r="E431" s="149"/>
      <c r="L431" s="146"/>
    </row>
    <row r="432">
      <c r="A432" s="146"/>
      <c r="B432" s="156"/>
      <c r="C432" s="146"/>
      <c r="D432" s="146"/>
      <c r="E432" s="149"/>
      <c r="L432" s="146"/>
    </row>
    <row r="433">
      <c r="A433" s="146"/>
      <c r="B433" s="156"/>
      <c r="C433" s="146"/>
      <c r="D433" s="146"/>
      <c r="E433" s="149"/>
      <c r="L433" s="146"/>
    </row>
    <row r="434">
      <c r="A434" s="146"/>
      <c r="B434" s="156"/>
      <c r="C434" s="146"/>
      <c r="D434" s="146"/>
      <c r="E434" s="149"/>
      <c r="L434" s="146"/>
    </row>
    <row r="435">
      <c r="A435" s="146"/>
      <c r="B435" s="156"/>
      <c r="C435" s="146"/>
      <c r="D435" s="146"/>
      <c r="E435" s="149"/>
      <c r="L435" s="146"/>
    </row>
    <row r="436">
      <c r="A436" s="146"/>
      <c r="B436" s="156"/>
      <c r="C436" s="146"/>
      <c r="D436" s="146"/>
      <c r="E436" s="149"/>
      <c r="L436" s="146"/>
    </row>
    <row r="437">
      <c r="A437" s="146"/>
      <c r="B437" s="156"/>
      <c r="C437" s="146"/>
      <c r="D437" s="146"/>
      <c r="E437" s="149"/>
      <c r="L437" s="146"/>
    </row>
    <row r="438">
      <c r="A438" s="146"/>
      <c r="B438" s="156"/>
      <c r="C438" s="146"/>
      <c r="D438" s="146"/>
      <c r="E438" s="149"/>
      <c r="L438" s="146"/>
    </row>
    <row r="439">
      <c r="A439" s="146"/>
      <c r="B439" s="156"/>
      <c r="C439" s="146"/>
      <c r="D439" s="146"/>
      <c r="E439" s="149"/>
      <c r="L439" s="146"/>
    </row>
    <row r="440">
      <c r="A440" s="146"/>
      <c r="B440" s="156"/>
      <c r="C440" s="146"/>
      <c r="D440" s="146"/>
      <c r="E440" s="149"/>
      <c r="L440" s="146"/>
    </row>
    <row r="441">
      <c r="A441" s="146"/>
      <c r="B441" s="156"/>
      <c r="C441" s="146"/>
      <c r="D441" s="146"/>
      <c r="E441" s="149"/>
      <c r="L441" s="146"/>
    </row>
    <row r="442">
      <c r="A442" s="146"/>
      <c r="B442" s="156"/>
      <c r="C442" s="146"/>
      <c r="D442" s="146"/>
      <c r="E442" s="149"/>
      <c r="L442" s="146"/>
    </row>
    <row r="443">
      <c r="A443" s="146"/>
      <c r="B443" s="156"/>
      <c r="C443" s="146"/>
      <c r="D443" s="146"/>
      <c r="E443" s="149"/>
      <c r="L443" s="146"/>
    </row>
    <row r="444">
      <c r="A444" s="146"/>
      <c r="B444" s="156"/>
      <c r="C444" s="146"/>
      <c r="D444" s="146"/>
      <c r="E444" s="149"/>
      <c r="L444" s="146"/>
    </row>
    <row r="445">
      <c r="A445" s="146"/>
      <c r="B445" s="156"/>
      <c r="C445" s="146"/>
      <c r="D445" s="146"/>
      <c r="E445" s="149"/>
      <c r="L445" s="146"/>
    </row>
    <row r="446">
      <c r="A446" s="146"/>
      <c r="B446" s="156"/>
      <c r="C446" s="146"/>
      <c r="D446" s="146"/>
      <c r="E446" s="149"/>
      <c r="L446" s="146"/>
    </row>
    <row r="447">
      <c r="A447" s="146"/>
      <c r="B447" s="156"/>
      <c r="C447" s="146"/>
      <c r="D447" s="146"/>
      <c r="E447" s="149"/>
      <c r="L447" s="146"/>
    </row>
    <row r="448">
      <c r="A448" s="146"/>
      <c r="B448" s="156"/>
      <c r="C448" s="146"/>
      <c r="D448" s="146"/>
      <c r="E448" s="149"/>
      <c r="L448" s="146"/>
    </row>
    <row r="449">
      <c r="A449" s="146"/>
      <c r="B449" s="156"/>
      <c r="C449" s="146"/>
      <c r="D449" s="146"/>
      <c r="E449" s="149"/>
      <c r="L449" s="146"/>
    </row>
    <row r="450">
      <c r="A450" s="146"/>
      <c r="B450" s="156"/>
      <c r="C450" s="146"/>
      <c r="D450" s="146"/>
      <c r="E450" s="149"/>
      <c r="L450" s="146"/>
    </row>
    <row r="451">
      <c r="A451" s="146"/>
      <c r="B451" s="156"/>
      <c r="C451" s="146"/>
      <c r="D451" s="146"/>
      <c r="E451" s="149"/>
      <c r="L451" s="146"/>
    </row>
    <row r="452">
      <c r="A452" s="146"/>
      <c r="B452" s="156"/>
      <c r="C452" s="146"/>
      <c r="D452" s="146"/>
      <c r="E452" s="149"/>
      <c r="L452" s="146"/>
    </row>
    <row r="453">
      <c r="A453" s="146"/>
      <c r="B453" s="156"/>
      <c r="C453" s="146"/>
      <c r="D453" s="146"/>
      <c r="E453" s="149"/>
      <c r="L453" s="146"/>
    </row>
    <row r="454">
      <c r="A454" s="146"/>
      <c r="B454" s="156"/>
      <c r="C454" s="146"/>
      <c r="D454" s="146"/>
      <c r="E454" s="149"/>
      <c r="L454" s="146"/>
    </row>
    <row r="455">
      <c r="A455" s="146"/>
      <c r="B455" s="156"/>
      <c r="C455" s="146"/>
      <c r="D455" s="146"/>
      <c r="E455" s="149"/>
      <c r="L455" s="146"/>
    </row>
    <row r="456">
      <c r="A456" s="146"/>
      <c r="B456" s="156"/>
      <c r="C456" s="146"/>
      <c r="D456" s="146"/>
      <c r="E456" s="149"/>
      <c r="L456" s="146"/>
    </row>
    <row r="457">
      <c r="A457" s="146"/>
      <c r="B457" s="156"/>
      <c r="C457" s="146"/>
      <c r="D457" s="146"/>
      <c r="E457" s="149"/>
      <c r="L457" s="146"/>
    </row>
    <row r="458">
      <c r="A458" s="146"/>
      <c r="B458" s="156"/>
      <c r="C458" s="146"/>
      <c r="D458" s="146"/>
      <c r="E458" s="149"/>
      <c r="L458" s="146"/>
    </row>
    <row r="459">
      <c r="A459" s="146"/>
      <c r="B459" s="156"/>
      <c r="C459" s="146"/>
      <c r="D459" s="146"/>
      <c r="E459" s="149"/>
      <c r="L459" s="146"/>
    </row>
    <row r="460">
      <c r="A460" s="146"/>
      <c r="B460" s="156"/>
      <c r="C460" s="146"/>
      <c r="D460" s="146"/>
      <c r="E460" s="149"/>
      <c r="L460" s="146"/>
    </row>
    <row r="461">
      <c r="A461" s="146"/>
      <c r="B461" s="156"/>
      <c r="C461" s="146"/>
      <c r="D461" s="146"/>
      <c r="E461" s="149"/>
      <c r="L461" s="146"/>
    </row>
    <row r="462">
      <c r="A462" s="146"/>
      <c r="B462" s="156"/>
      <c r="C462" s="146"/>
      <c r="D462" s="146"/>
      <c r="E462" s="149"/>
      <c r="L462" s="146"/>
    </row>
    <row r="463">
      <c r="A463" s="146"/>
      <c r="B463" s="156"/>
      <c r="C463" s="146"/>
      <c r="D463" s="146"/>
      <c r="E463" s="149"/>
      <c r="L463" s="146"/>
    </row>
    <row r="464">
      <c r="A464" s="146"/>
      <c r="B464" s="156"/>
      <c r="C464" s="146"/>
      <c r="D464" s="146"/>
      <c r="E464" s="149"/>
      <c r="L464" s="146"/>
    </row>
    <row r="465">
      <c r="A465" s="146"/>
      <c r="B465" s="156"/>
      <c r="C465" s="146"/>
      <c r="D465" s="146"/>
      <c r="E465" s="149"/>
      <c r="L465" s="146"/>
    </row>
    <row r="466">
      <c r="A466" s="146"/>
      <c r="B466" s="156"/>
      <c r="C466" s="146"/>
      <c r="D466" s="146"/>
      <c r="E466" s="149"/>
      <c r="L466" s="146"/>
    </row>
    <row r="467">
      <c r="A467" s="146"/>
      <c r="B467" s="156"/>
      <c r="C467" s="146"/>
      <c r="D467" s="146"/>
      <c r="E467" s="149"/>
      <c r="L467" s="146"/>
    </row>
    <row r="468">
      <c r="A468" s="146"/>
      <c r="B468" s="156"/>
      <c r="C468" s="146"/>
      <c r="D468" s="146"/>
      <c r="E468" s="149"/>
      <c r="L468" s="146"/>
    </row>
    <row r="469">
      <c r="A469" s="146"/>
      <c r="B469" s="156"/>
      <c r="C469" s="146"/>
      <c r="D469" s="146"/>
      <c r="E469" s="149"/>
      <c r="L469" s="146"/>
    </row>
    <row r="470">
      <c r="A470" s="146"/>
      <c r="B470" s="156"/>
      <c r="C470" s="146"/>
      <c r="D470" s="146"/>
      <c r="E470" s="149"/>
      <c r="L470" s="146"/>
    </row>
    <row r="471">
      <c r="A471" s="146"/>
      <c r="B471" s="156"/>
      <c r="C471" s="146"/>
      <c r="D471" s="146"/>
      <c r="E471" s="149"/>
      <c r="L471" s="146"/>
    </row>
    <row r="472">
      <c r="A472" s="146"/>
      <c r="B472" s="156"/>
      <c r="C472" s="146"/>
      <c r="D472" s="146"/>
      <c r="E472" s="149"/>
      <c r="L472" s="146"/>
    </row>
    <row r="473">
      <c r="A473" s="146"/>
      <c r="B473" s="156"/>
      <c r="C473" s="146"/>
      <c r="D473" s="146"/>
      <c r="E473" s="149"/>
      <c r="L473" s="146"/>
    </row>
    <row r="474">
      <c r="A474" s="146"/>
      <c r="B474" s="156"/>
      <c r="C474" s="146"/>
      <c r="D474" s="146"/>
      <c r="E474" s="149"/>
      <c r="L474" s="146"/>
    </row>
    <row r="475">
      <c r="A475" s="146"/>
      <c r="B475" s="156"/>
      <c r="C475" s="146"/>
      <c r="D475" s="146"/>
      <c r="E475" s="149"/>
      <c r="L475" s="146"/>
    </row>
    <row r="476">
      <c r="A476" s="146"/>
      <c r="B476" s="156"/>
      <c r="C476" s="146"/>
      <c r="D476" s="146"/>
      <c r="E476" s="149"/>
      <c r="L476" s="146"/>
    </row>
    <row r="477">
      <c r="A477" s="146"/>
      <c r="B477" s="156"/>
      <c r="C477" s="146"/>
      <c r="D477" s="146"/>
      <c r="E477" s="149"/>
      <c r="L477" s="146"/>
    </row>
    <row r="478">
      <c r="A478" s="146"/>
      <c r="B478" s="156"/>
      <c r="C478" s="146"/>
      <c r="D478" s="146"/>
      <c r="E478" s="149"/>
      <c r="L478" s="146"/>
    </row>
    <row r="479">
      <c r="A479" s="146"/>
      <c r="B479" s="156"/>
      <c r="C479" s="146"/>
      <c r="D479" s="146"/>
      <c r="E479" s="149"/>
      <c r="L479" s="146"/>
    </row>
    <row r="480">
      <c r="A480" s="146"/>
      <c r="B480" s="156"/>
      <c r="C480" s="146"/>
      <c r="D480" s="146"/>
      <c r="E480" s="149"/>
      <c r="L480" s="146"/>
    </row>
    <row r="481">
      <c r="A481" s="146"/>
      <c r="B481" s="156"/>
      <c r="C481" s="146"/>
      <c r="D481" s="146"/>
      <c r="E481" s="149"/>
      <c r="L481" s="146"/>
    </row>
    <row r="482">
      <c r="A482" s="146"/>
      <c r="B482" s="156"/>
      <c r="C482" s="146"/>
      <c r="D482" s="146"/>
      <c r="E482" s="149"/>
      <c r="L482" s="146"/>
    </row>
    <row r="483">
      <c r="A483" s="146"/>
      <c r="B483" s="156"/>
      <c r="C483" s="146"/>
      <c r="D483" s="146"/>
      <c r="E483" s="149"/>
      <c r="L483" s="146"/>
    </row>
    <row r="484">
      <c r="A484" s="146"/>
      <c r="B484" s="156"/>
      <c r="C484" s="146"/>
      <c r="D484" s="146"/>
      <c r="E484" s="149"/>
      <c r="L484" s="146"/>
    </row>
    <row r="485">
      <c r="A485" s="146"/>
      <c r="B485" s="156"/>
      <c r="C485" s="146"/>
      <c r="D485" s="146"/>
      <c r="E485" s="149"/>
      <c r="L485" s="146"/>
    </row>
    <row r="486">
      <c r="A486" s="146"/>
      <c r="B486" s="156"/>
      <c r="C486" s="146"/>
      <c r="D486" s="146"/>
      <c r="E486" s="149"/>
      <c r="L486" s="146"/>
    </row>
    <row r="487">
      <c r="A487" s="146"/>
      <c r="B487" s="156"/>
      <c r="C487" s="146"/>
      <c r="D487" s="146"/>
      <c r="E487" s="149"/>
      <c r="L487" s="146"/>
    </row>
    <row r="488">
      <c r="A488" s="146"/>
      <c r="B488" s="156"/>
      <c r="C488" s="146"/>
      <c r="D488" s="146"/>
      <c r="E488" s="149"/>
      <c r="L488" s="146"/>
    </row>
    <row r="489">
      <c r="A489" s="146"/>
      <c r="B489" s="156"/>
      <c r="C489" s="146"/>
      <c r="D489" s="146"/>
      <c r="E489" s="149"/>
      <c r="L489" s="146"/>
    </row>
    <row r="490">
      <c r="A490" s="146"/>
      <c r="B490" s="156"/>
      <c r="C490" s="146"/>
      <c r="D490" s="146"/>
      <c r="E490" s="149"/>
      <c r="L490" s="146"/>
    </row>
    <row r="491">
      <c r="A491" s="146"/>
      <c r="B491" s="156"/>
      <c r="C491" s="146"/>
      <c r="D491" s="146"/>
      <c r="E491" s="149"/>
      <c r="L491" s="146"/>
    </row>
    <row r="492">
      <c r="A492" s="146"/>
      <c r="B492" s="156"/>
      <c r="C492" s="146"/>
      <c r="D492" s="146"/>
      <c r="E492" s="149"/>
      <c r="L492" s="146"/>
    </row>
    <row r="493">
      <c r="A493" s="146"/>
      <c r="B493" s="156"/>
      <c r="C493" s="146"/>
      <c r="D493" s="146"/>
      <c r="E493" s="149"/>
      <c r="L493" s="146"/>
    </row>
    <row r="494">
      <c r="A494" s="146"/>
      <c r="B494" s="156"/>
      <c r="C494" s="146"/>
      <c r="D494" s="146"/>
      <c r="E494" s="149"/>
      <c r="L494" s="146"/>
    </row>
    <row r="495">
      <c r="A495" s="146"/>
      <c r="B495" s="156"/>
      <c r="C495" s="146"/>
      <c r="D495" s="146"/>
      <c r="E495" s="149"/>
      <c r="L495" s="146"/>
    </row>
    <row r="496">
      <c r="A496" s="146"/>
      <c r="B496" s="156"/>
      <c r="C496" s="146"/>
      <c r="D496" s="146"/>
      <c r="E496" s="149"/>
      <c r="L496" s="146"/>
    </row>
    <row r="497">
      <c r="A497" s="146"/>
      <c r="B497" s="156"/>
      <c r="C497" s="146"/>
      <c r="D497" s="146"/>
      <c r="E497" s="149"/>
      <c r="L497" s="146"/>
    </row>
    <row r="498">
      <c r="A498" s="146"/>
      <c r="B498" s="156"/>
      <c r="C498" s="146"/>
      <c r="D498" s="146"/>
      <c r="E498" s="149"/>
      <c r="L498" s="146"/>
    </row>
    <row r="499">
      <c r="A499" s="146"/>
      <c r="B499" s="156"/>
      <c r="C499" s="146"/>
      <c r="D499" s="146"/>
      <c r="E499" s="149"/>
      <c r="L499" s="146"/>
    </row>
    <row r="500">
      <c r="A500" s="146"/>
      <c r="B500" s="156"/>
      <c r="C500" s="146"/>
      <c r="D500" s="146"/>
      <c r="E500" s="149"/>
      <c r="L500" s="146"/>
    </row>
    <row r="501">
      <c r="A501" s="146"/>
      <c r="B501" s="156"/>
      <c r="C501" s="146"/>
      <c r="D501" s="146"/>
      <c r="E501" s="149"/>
      <c r="L501" s="146"/>
    </row>
    <row r="502">
      <c r="A502" s="146"/>
      <c r="B502" s="156"/>
      <c r="C502" s="146"/>
      <c r="D502" s="146"/>
      <c r="E502" s="149"/>
      <c r="L502" s="146"/>
    </row>
    <row r="503">
      <c r="A503" s="146"/>
      <c r="B503" s="156"/>
      <c r="C503" s="146"/>
      <c r="D503" s="146"/>
      <c r="E503" s="149"/>
      <c r="L503" s="146"/>
    </row>
    <row r="504">
      <c r="A504" s="146"/>
      <c r="B504" s="156"/>
      <c r="C504" s="146"/>
      <c r="D504" s="146"/>
      <c r="E504" s="149"/>
      <c r="L504" s="146"/>
    </row>
    <row r="505">
      <c r="A505" s="146"/>
      <c r="B505" s="156"/>
      <c r="C505" s="146"/>
      <c r="D505" s="146"/>
      <c r="E505" s="149"/>
      <c r="L505" s="146"/>
    </row>
    <row r="506">
      <c r="A506" s="146"/>
      <c r="B506" s="156"/>
      <c r="C506" s="146"/>
      <c r="D506" s="146"/>
      <c r="E506" s="149"/>
      <c r="L506" s="146"/>
    </row>
    <row r="507">
      <c r="A507" s="146"/>
      <c r="B507" s="156"/>
      <c r="C507" s="146"/>
      <c r="D507" s="146"/>
      <c r="E507" s="149"/>
      <c r="L507" s="146"/>
    </row>
    <row r="508">
      <c r="A508" s="146"/>
      <c r="B508" s="156"/>
      <c r="C508" s="146"/>
      <c r="D508" s="146"/>
      <c r="E508" s="149"/>
      <c r="L508" s="146"/>
    </row>
    <row r="509">
      <c r="A509" s="146"/>
      <c r="B509" s="156"/>
      <c r="C509" s="146"/>
      <c r="D509" s="146"/>
      <c r="E509" s="149"/>
      <c r="L509" s="146"/>
    </row>
    <row r="510">
      <c r="A510" s="146"/>
      <c r="B510" s="156"/>
      <c r="C510" s="146"/>
      <c r="D510" s="146"/>
      <c r="E510" s="149"/>
      <c r="L510" s="146"/>
    </row>
    <row r="511">
      <c r="A511" s="146"/>
      <c r="B511" s="156"/>
      <c r="C511" s="146"/>
      <c r="D511" s="146"/>
      <c r="E511" s="149"/>
      <c r="L511" s="146"/>
    </row>
    <row r="512">
      <c r="A512" s="146"/>
      <c r="B512" s="156"/>
      <c r="C512" s="146"/>
      <c r="D512" s="146"/>
      <c r="E512" s="149"/>
      <c r="L512" s="146"/>
    </row>
    <row r="513">
      <c r="A513" s="146"/>
      <c r="B513" s="156"/>
      <c r="C513" s="146"/>
      <c r="D513" s="146"/>
      <c r="E513" s="149"/>
      <c r="L513" s="146"/>
    </row>
    <row r="514">
      <c r="A514" s="146"/>
      <c r="B514" s="156"/>
      <c r="C514" s="146"/>
      <c r="D514" s="146"/>
      <c r="E514" s="149"/>
      <c r="L514" s="146"/>
    </row>
    <row r="515">
      <c r="A515" s="146"/>
      <c r="B515" s="156"/>
      <c r="C515" s="146"/>
      <c r="D515" s="146"/>
      <c r="E515" s="149"/>
      <c r="L515" s="146"/>
    </row>
    <row r="516">
      <c r="A516" s="146"/>
      <c r="B516" s="156"/>
      <c r="C516" s="146"/>
      <c r="D516" s="146"/>
      <c r="E516" s="149"/>
      <c r="L516" s="146"/>
    </row>
    <row r="517">
      <c r="A517" s="146"/>
      <c r="B517" s="156"/>
      <c r="C517" s="146"/>
      <c r="D517" s="146"/>
      <c r="E517" s="149"/>
      <c r="L517" s="146"/>
    </row>
    <row r="518">
      <c r="A518" s="146"/>
      <c r="B518" s="156"/>
      <c r="C518" s="146"/>
      <c r="D518" s="146"/>
      <c r="E518" s="149"/>
      <c r="L518" s="146"/>
    </row>
    <row r="519">
      <c r="A519" s="146"/>
      <c r="B519" s="156"/>
      <c r="C519" s="146"/>
      <c r="D519" s="146"/>
      <c r="E519" s="149"/>
      <c r="L519" s="146"/>
    </row>
    <row r="520">
      <c r="A520" s="146"/>
      <c r="B520" s="156"/>
      <c r="C520" s="146"/>
      <c r="D520" s="146"/>
      <c r="E520" s="149"/>
      <c r="L520" s="146"/>
    </row>
    <row r="521">
      <c r="A521" s="146"/>
      <c r="B521" s="156"/>
      <c r="C521" s="146"/>
      <c r="D521" s="146"/>
      <c r="E521" s="149"/>
      <c r="L521" s="146"/>
    </row>
    <row r="522">
      <c r="A522" s="146"/>
      <c r="B522" s="156"/>
      <c r="C522" s="146"/>
      <c r="D522" s="146"/>
      <c r="E522" s="149"/>
      <c r="L522" s="146"/>
    </row>
    <row r="523">
      <c r="A523" s="146"/>
      <c r="B523" s="156"/>
      <c r="C523" s="146"/>
      <c r="D523" s="146"/>
      <c r="E523" s="149"/>
      <c r="L523" s="146"/>
    </row>
    <row r="524">
      <c r="A524" s="146"/>
      <c r="B524" s="156"/>
      <c r="C524" s="146"/>
      <c r="D524" s="146"/>
      <c r="E524" s="149"/>
      <c r="L524" s="146"/>
    </row>
    <row r="525">
      <c r="A525" s="146"/>
      <c r="B525" s="156"/>
      <c r="C525" s="146"/>
      <c r="D525" s="146"/>
      <c r="E525" s="149"/>
      <c r="L525" s="146"/>
    </row>
    <row r="526">
      <c r="A526" s="146"/>
      <c r="B526" s="156"/>
      <c r="C526" s="146"/>
      <c r="D526" s="146"/>
      <c r="E526" s="149"/>
      <c r="L526" s="146"/>
    </row>
    <row r="527">
      <c r="A527" s="146"/>
      <c r="B527" s="156"/>
      <c r="C527" s="146"/>
      <c r="D527" s="146"/>
      <c r="E527" s="149"/>
      <c r="L527" s="146"/>
    </row>
    <row r="528">
      <c r="A528" s="146"/>
      <c r="B528" s="156"/>
      <c r="C528" s="146"/>
      <c r="D528" s="146"/>
      <c r="E528" s="149"/>
      <c r="L528" s="146"/>
    </row>
    <row r="529">
      <c r="A529" s="146"/>
      <c r="B529" s="156"/>
      <c r="C529" s="146"/>
      <c r="D529" s="146"/>
      <c r="E529" s="149"/>
      <c r="L529" s="146"/>
    </row>
    <row r="530">
      <c r="A530" s="146"/>
      <c r="B530" s="156"/>
      <c r="C530" s="146"/>
      <c r="D530" s="146"/>
      <c r="E530" s="149"/>
      <c r="L530" s="146"/>
    </row>
    <row r="531">
      <c r="A531" s="146"/>
      <c r="B531" s="156"/>
      <c r="C531" s="146"/>
      <c r="D531" s="146"/>
      <c r="E531" s="149"/>
      <c r="L531" s="146"/>
    </row>
    <row r="532">
      <c r="A532" s="146"/>
      <c r="B532" s="156"/>
      <c r="C532" s="146"/>
      <c r="D532" s="146"/>
      <c r="E532" s="149"/>
      <c r="L532" s="146"/>
    </row>
    <row r="533">
      <c r="A533" s="146"/>
      <c r="B533" s="156"/>
      <c r="C533" s="146"/>
      <c r="D533" s="146"/>
      <c r="E533" s="149"/>
      <c r="L533" s="146"/>
    </row>
    <row r="534">
      <c r="A534" s="146"/>
      <c r="B534" s="156"/>
      <c r="C534" s="146"/>
      <c r="D534" s="146"/>
      <c r="E534" s="149"/>
      <c r="L534" s="146"/>
    </row>
    <row r="535">
      <c r="A535" s="146"/>
      <c r="B535" s="156"/>
      <c r="C535" s="146"/>
      <c r="D535" s="146"/>
      <c r="E535" s="149"/>
      <c r="L535" s="146"/>
    </row>
    <row r="536">
      <c r="A536" s="146"/>
      <c r="B536" s="156"/>
      <c r="C536" s="146"/>
      <c r="D536" s="146"/>
      <c r="E536" s="149"/>
      <c r="L536" s="146"/>
    </row>
    <row r="537">
      <c r="A537" s="146"/>
      <c r="B537" s="156"/>
      <c r="C537" s="146"/>
      <c r="D537" s="146"/>
      <c r="E537" s="149"/>
      <c r="L537" s="146"/>
    </row>
    <row r="538">
      <c r="A538" s="146"/>
      <c r="B538" s="156"/>
      <c r="C538" s="146"/>
      <c r="D538" s="146"/>
      <c r="E538" s="149"/>
      <c r="L538" s="146"/>
    </row>
    <row r="539">
      <c r="A539" s="146"/>
      <c r="B539" s="156"/>
      <c r="C539" s="146"/>
      <c r="D539" s="146"/>
      <c r="E539" s="149"/>
      <c r="L539" s="146"/>
    </row>
    <row r="540">
      <c r="A540" s="146"/>
      <c r="B540" s="156"/>
      <c r="C540" s="146"/>
      <c r="D540" s="146"/>
      <c r="E540" s="149"/>
      <c r="L540" s="146"/>
    </row>
    <row r="541">
      <c r="A541" s="146"/>
      <c r="B541" s="156"/>
      <c r="C541" s="146"/>
      <c r="D541" s="146"/>
      <c r="E541" s="149"/>
      <c r="L541" s="146"/>
    </row>
    <row r="542">
      <c r="A542" s="146"/>
      <c r="B542" s="156"/>
      <c r="C542" s="146"/>
      <c r="D542" s="146"/>
      <c r="E542" s="149"/>
      <c r="L542" s="146"/>
    </row>
    <row r="543">
      <c r="A543" s="146"/>
      <c r="B543" s="156"/>
      <c r="C543" s="146"/>
      <c r="D543" s="146"/>
      <c r="E543" s="149"/>
      <c r="L543" s="146"/>
    </row>
    <row r="544">
      <c r="A544" s="146"/>
      <c r="B544" s="156"/>
      <c r="C544" s="146"/>
      <c r="D544" s="146"/>
      <c r="E544" s="149"/>
      <c r="L544" s="146"/>
    </row>
    <row r="545">
      <c r="A545" s="146"/>
      <c r="B545" s="156"/>
      <c r="C545" s="146"/>
      <c r="D545" s="146"/>
      <c r="E545" s="149"/>
      <c r="L545" s="146"/>
    </row>
    <row r="546">
      <c r="A546" s="146"/>
      <c r="B546" s="156"/>
      <c r="C546" s="146"/>
      <c r="D546" s="146"/>
      <c r="E546" s="149"/>
      <c r="L546" s="146"/>
    </row>
    <row r="547">
      <c r="A547" s="146"/>
      <c r="B547" s="156"/>
      <c r="C547" s="146"/>
      <c r="D547" s="146"/>
      <c r="E547" s="149"/>
      <c r="L547" s="146"/>
    </row>
    <row r="548">
      <c r="A548" s="146"/>
      <c r="B548" s="156"/>
      <c r="C548" s="146"/>
      <c r="D548" s="146"/>
      <c r="E548" s="149"/>
      <c r="L548" s="146"/>
    </row>
    <row r="549">
      <c r="A549" s="146"/>
      <c r="B549" s="156"/>
      <c r="C549" s="146"/>
      <c r="D549" s="146"/>
      <c r="E549" s="149"/>
      <c r="L549" s="146"/>
    </row>
    <row r="550">
      <c r="A550" s="146"/>
      <c r="B550" s="156"/>
      <c r="C550" s="146"/>
      <c r="D550" s="146"/>
      <c r="E550" s="149"/>
      <c r="L550" s="146"/>
    </row>
    <row r="551">
      <c r="A551" s="146"/>
      <c r="B551" s="156"/>
      <c r="C551" s="146"/>
      <c r="D551" s="146"/>
      <c r="E551" s="149"/>
      <c r="L551" s="146"/>
    </row>
    <row r="552">
      <c r="A552" s="146"/>
      <c r="B552" s="156"/>
      <c r="C552" s="146"/>
      <c r="D552" s="146"/>
      <c r="E552" s="149"/>
      <c r="L552" s="146"/>
    </row>
    <row r="553">
      <c r="A553" s="146"/>
      <c r="B553" s="156"/>
      <c r="C553" s="146"/>
      <c r="D553" s="146"/>
      <c r="E553" s="149"/>
      <c r="L553" s="146"/>
    </row>
    <row r="554">
      <c r="A554" s="146"/>
      <c r="B554" s="156"/>
      <c r="C554" s="146"/>
      <c r="D554" s="146"/>
      <c r="E554" s="149"/>
      <c r="L554" s="146"/>
    </row>
    <row r="555">
      <c r="A555" s="146"/>
      <c r="B555" s="156"/>
      <c r="C555" s="146"/>
      <c r="D555" s="146"/>
      <c r="E555" s="149"/>
      <c r="L555" s="146"/>
    </row>
    <row r="556">
      <c r="A556" s="146"/>
      <c r="B556" s="156"/>
      <c r="C556" s="146"/>
      <c r="D556" s="146"/>
      <c r="E556" s="149"/>
      <c r="L556" s="146"/>
    </row>
    <row r="557">
      <c r="A557" s="146"/>
      <c r="B557" s="156"/>
      <c r="C557" s="146"/>
      <c r="D557" s="146"/>
      <c r="E557" s="149"/>
      <c r="L557" s="146"/>
    </row>
    <row r="558">
      <c r="A558" s="146"/>
      <c r="B558" s="156"/>
      <c r="C558" s="146"/>
      <c r="D558" s="146"/>
      <c r="E558" s="149"/>
      <c r="L558" s="146"/>
    </row>
    <row r="559">
      <c r="A559" s="146"/>
      <c r="B559" s="156"/>
      <c r="C559" s="146"/>
      <c r="D559" s="146"/>
      <c r="E559" s="149"/>
      <c r="L559" s="146"/>
    </row>
    <row r="560">
      <c r="A560" s="146"/>
      <c r="B560" s="156"/>
      <c r="C560" s="146"/>
      <c r="D560" s="146"/>
      <c r="E560" s="149"/>
      <c r="L560" s="146"/>
    </row>
    <row r="561">
      <c r="A561" s="146"/>
      <c r="B561" s="156"/>
      <c r="C561" s="146"/>
      <c r="D561" s="146"/>
      <c r="E561" s="149"/>
      <c r="L561" s="146"/>
    </row>
    <row r="562">
      <c r="A562" s="146"/>
      <c r="B562" s="156"/>
      <c r="C562" s="146"/>
      <c r="D562" s="146"/>
      <c r="E562" s="149"/>
      <c r="L562" s="146"/>
    </row>
    <row r="563">
      <c r="A563" s="146"/>
      <c r="B563" s="156"/>
      <c r="C563" s="146"/>
      <c r="D563" s="146"/>
      <c r="E563" s="149"/>
      <c r="L563" s="146"/>
    </row>
    <row r="564">
      <c r="A564" s="146"/>
      <c r="B564" s="156"/>
      <c r="C564" s="146"/>
      <c r="D564" s="146"/>
      <c r="E564" s="149"/>
      <c r="L564" s="146"/>
    </row>
    <row r="565">
      <c r="A565" s="146"/>
      <c r="B565" s="156"/>
      <c r="C565" s="146"/>
      <c r="D565" s="146"/>
      <c r="E565" s="149"/>
      <c r="L565" s="146"/>
    </row>
    <row r="566">
      <c r="A566" s="146"/>
      <c r="B566" s="156"/>
      <c r="C566" s="146"/>
      <c r="D566" s="146"/>
      <c r="E566" s="149"/>
      <c r="L566" s="146"/>
    </row>
    <row r="567">
      <c r="A567" s="146"/>
      <c r="B567" s="156"/>
      <c r="C567" s="146"/>
      <c r="D567" s="146"/>
      <c r="E567" s="149"/>
      <c r="L567" s="146"/>
    </row>
    <row r="568">
      <c r="A568" s="146"/>
      <c r="B568" s="156"/>
      <c r="C568" s="146"/>
      <c r="D568" s="146"/>
      <c r="E568" s="149"/>
      <c r="L568" s="146"/>
    </row>
    <row r="569">
      <c r="A569" s="146"/>
      <c r="B569" s="156"/>
      <c r="C569" s="146"/>
      <c r="D569" s="146"/>
      <c r="E569" s="149"/>
      <c r="L569" s="146"/>
    </row>
    <row r="570">
      <c r="A570" s="146"/>
      <c r="B570" s="156"/>
      <c r="C570" s="146"/>
      <c r="D570" s="146"/>
      <c r="E570" s="149"/>
      <c r="L570" s="146"/>
    </row>
    <row r="571">
      <c r="A571" s="146"/>
      <c r="B571" s="156"/>
      <c r="C571" s="146"/>
      <c r="D571" s="146"/>
      <c r="E571" s="149"/>
      <c r="L571" s="146"/>
    </row>
    <row r="572">
      <c r="A572" s="146"/>
      <c r="B572" s="156"/>
      <c r="C572" s="146"/>
      <c r="D572" s="146"/>
      <c r="E572" s="149"/>
      <c r="L572" s="146"/>
    </row>
    <row r="573">
      <c r="A573" s="146"/>
      <c r="B573" s="156"/>
      <c r="C573" s="146"/>
      <c r="D573" s="146"/>
      <c r="E573" s="149"/>
      <c r="L573" s="146"/>
    </row>
    <row r="574">
      <c r="A574" s="146"/>
      <c r="B574" s="156"/>
      <c r="C574" s="146"/>
      <c r="D574" s="146"/>
      <c r="E574" s="149"/>
      <c r="L574" s="146"/>
    </row>
    <row r="575">
      <c r="A575" s="146"/>
      <c r="B575" s="156"/>
      <c r="C575" s="146"/>
      <c r="D575" s="146"/>
      <c r="E575" s="149"/>
      <c r="L575" s="146"/>
    </row>
    <row r="576">
      <c r="A576" s="146"/>
      <c r="B576" s="156"/>
      <c r="C576" s="146"/>
      <c r="D576" s="146"/>
      <c r="E576" s="149"/>
      <c r="L576" s="146"/>
    </row>
    <row r="577">
      <c r="A577" s="146"/>
      <c r="B577" s="156"/>
      <c r="C577" s="146"/>
      <c r="D577" s="146"/>
      <c r="E577" s="149"/>
      <c r="L577" s="146"/>
    </row>
    <row r="578">
      <c r="A578" s="146"/>
      <c r="B578" s="156"/>
      <c r="C578" s="146"/>
      <c r="D578" s="146"/>
      <c r="E578" s="149"/>
      <c r="L578" s="146"/>
    </row>
    <row r="579">
      <c r="A579" s="146"/>
      <c r="B579" s="156"/>
      <c r="C579" s="146"/>
      <c r="D579" s="146"/>
      <c r="E579" s="149"/>
      <c r="L579" s="146"/>
    </row>
    <row r="580">
      <c r="A580" s="146"/>
      <c r="B580" s="156"/>
      <c r="C580" s="146"/>
      <c r="D580" s="146"/>
      <c r="E580" s="149"/>
      <c r="L580" s="146"/>
    </row>
    <row r="581">
      <c r="A581" s="146"/>
      <c r="B581" s="156"/>
      <c r="C581" s="146"/>
      <c r="D581" s="146"/>
      <c r="E581" s="149"/>
      <c r="L581" s="146"/>
    </row>
    <row r="582">
      <c r="A582" s="146"/>
      <c r="B582" s="156"/>
      <c r="C582" s="146"/>
      <c r="D582" s="146"/>
      <c r="E582" s="149"/>
      <c r="L582" s="146"/>
    </row>
    <row r="583">
      <c r="A583" s="146"/>
      <c r="B583" s="156"/>
      <c r="C583" s="146"/>
      <c r="D583" s="146"/>
      <c r="E583" s="149"/>
      <c r="L583" s="146"/>
    </row>
    <row r="584">
      <c r="A584" s="146"/>
      <c r="B584" s="156"/>
      <c r="C584" s="146"/>
      <c r="D584" s="146"/>
      <c r="E584" s="149"/>
      <c r="L584" s="146"/>
    </row>
    <row r="585">
      <c r="A585" s="146"/>
      <c r="B585" s="156"/>
      <c r="C585" s="146"/>
      <c r="D585" s="146"/>
      <c r="E585" s="149"/>
      <c r="L585" s="146"/>
    </row>
    <row r="586">
      <c r="A586" s="146"/>
      <c r="B586" s="156"/>
      <c r="C586" s="146"/>
      <c r="D586" s="146"/>
      <c r="E586" s="149"/>
      <c r="L586" s="146"/>
    </row>
    <row r="587">
      <c r="A587" s="146"/>
      <c r="B587" s="156"/>
      <c r="C587" s="146"/>
      <c r="D587" s="146"/>
      <c r="E587" s="149"/>
      <c r="L587" s="146"/>
    </row>
    <row r="588">
      <c r="A588" s="146"/>
      <c r="B588" s="156"/>
      <c r="C588" s="146"/>
      <c r="D588" s="146"/>
      <c r="E588" s="149"/>
      <c r="L588" s="146"/>
    </row>
    <row r="589">
      <c r="A589" s="146"/>
      <c r="B589" s="156"/>
      <c r="C589" s="146"/>
      <c r="D589" s="146"/>
      <c r="E589" s="149"/>
      <c r="L589" s="146"/>
    </row>
    <row r="590">
      <c r="A590" s="146"/>
      <c r="B590" s="156"/>
      <c r="C590" s="146"/>
      <c r="D590" s="146"/>
      <c r="E590" s="149"/>
      <c r="L590" s="146"/>
    </row>
    <row r="591">
      <c r="A591" s="146"/>
      <c r="B591" s="156"/>
      <c r="C591" s="146"/>
      <c r="D591" s="146"/>
      <c r="E591" s="149"/>
      <c r="L591" s="146"/>
    </row>
    <row r="592">
      <c r="A592" s="146"/>
      <c r="B592" s="156"/>
      <c r="C592" s="146"/>
      <c r="D592" s="146"/>
      <c r="E592" s="149"/>
      <c r="L592" s="146"/>
    </row>
    <row r="593">
      <c r="A593" s="146"/>
      <c r="B593" s="156"/>
      <c r="C593" s="146"/>
      <c r="D593" s="146"/>
      <c r="E593" s="149"/>
      <c r="L593" s="146"/>
    </row>
    <row r="594">
      <c r="A594" s="146"/>
      <c r="B594" s="156"/>
      <c r="C594" s="146"/>
      <c r="D594" s="146"/>
      <c r="E594" s="149"/>
      <c r="L594" s="146"/>
    </row>
    <row r="595">
      <c r="A595" s="146"/>
      <c r="B595" s="156"/>
      <c r="C595" s="146"/>
      <c r="D595" s="146"/>
      <c r="E595" s="149"/>
      <c r="L595" s="146"/>
    </row>
    <row r="596">
      <c r="A596" s="146"/>
      <c r="B596" s="156"/>
      <c r="C596" s="146"/>
      <c r="D596" s="146"/>
      <c r="E596" s="149"/>
      <c r="L596" s="146"/>
    </row>
    <row r="597">
      <c r="A597" s="146"/>
      <c r="B597" s="156"/>
      <c r="C597" s="146"/>
      <c r="D597" s="146"/>
      <c r="E597" s="149"/>
      <c r="L597" s="146"/>
    </row>
    <row r="598">
      <c r="A598" s="146"/>
      <c r="B598" s="156"/>
      <c r="C598" s="146"/>
      <c r="D598" s="146"/>
      <c r="E598" s="149"/>
      <c r="L598" s="146"/>
    </row>
    <row r="599">
      <c r="A599" s="146"/>
      <c r="B599" s="156"/>
      <c r="C599" s="146"/>
      <c r="D599" s="146"/>
      <c r="E599" s="149"/>
      <c r="L599" s="146"/>
    </row>
    <row r="600">
      <c r="A600" s="146"/>
      <c r="B600" s="156"/>
      <c r="C600" s="146"/>
      <c r="D600" s="146"/>
      <c r="E600" s="149"/>
      <c r="L600" s="146"/>
    </row>
    <row r="601">
      <c r="A601" s="146"/>
      <c r="B601" s="156"/>
      <c r="C601" s="146"/>
      <c r="D601" s="146"/>
      <c r="E601" s="149"/>
      <c r="L601" s="146"/>
    </row>
    <row r="602">
      <c r="A602" s="146"/>
      <c r="B602" s="156"/>
      <c r="C602" s="146"/>
      <c r="D602" s="146"/>
      <c r="E602" s="149"/>
      <c r="L602" s="146"/>
    </row>
    <row r="603">
      <c r="A603" s="146"/>
      <c r="B603" s="156"/>
      <c r="C603" s="146"/>
      <c r="D603" s="146"/>
      <c r="E603" s="149"/>
      <c r="L603" s="146"/>
    </row>
    <row r="604">
      <c r="A604" s="146"/>
      <c r="B604" s="156"/>
      <c r="C604" s="146"/>
      <c r="D604" s="146"/>
      <c r="E604" s="149"/>
      <c r="L604" s="146"/>
    </row>
    <row r="605">
      <c r="A605" s="146"/>
      <c r="B605" s="156"/>
      <c r="C605" s="146"/>
      <c r="D605" s="146"/>
      <c r="E605" s="149"/>
      <c r="L605" s="146"/>
    </row>
    <row r="606">
      <c r="A606" s="146"/>
      <c r="B606" s="156"/>
      <c r="C606" s="146"/>
      <c r="D606" s="146"/>
      <c r="E606" s="149"/>
      <c r="L606" s="146"/>
    </row>
    <row r="607">
      <c r="A607" s="146"/>
      <c r="B607" s="156"/>
      <c r="C607" s="146"/>
      <c r="D607" s="146"/>
      <c r="E607" s="149"/>
      <c r="L607" s="146"/>
    </row>
    <row r="608">
      <c r="A608" s="146"/>
      <c r="B608" s="156"/>
      <c r="C608" s="146"/>
      <c r="D608" s="146"/>
      <c r="E608" s="149"/>
      <c r="L608" s="146"/>
    </row>
    <row r="609">
      <c r="A609" s="146"/>
      <c r="B609" s="156"/>
      <c r="C609" s="146"/>
      <c r="D609" s="146"/>
      <c r="E609" s="149"/>
      <c r="L609" s="146"/>
    </row>
    <row r="610">
      <c r="A610" s="146"/>
      <c r="B610" s="156"/>
      <c r="C610" s="146"/>
      <c r="D610" s="146"/>
      <c r="E610" s="149"/>
      <c r="L610" s="146"/>
    </row>
    <row r="611">
      <c r="A611" s="146"/>
      <c r="B611" s="156"/>
      <c r="C611" s="146"/>
      <c r="D611" s="146"/>
      <c r="E611" s="149"/>
      <c r="L611" s="146"/>
    </row>
    <row r="612">
      <c r="A612" s="146"/>
      <c r="B612" s="156"/>
      <c r="C612" s="146"/>
      <c r="D612" s="146"/>
      <c r="E612" s="149"/>
      <c r="L612" s="146"/>
    </row>
    <row r="613">
      <c r="A613" s="146"/>
      <c r="B613" s="156"/>
      <c r="C613" s="146"/>
      <c r="D613" s="146"/>
      <c r="E613" s="149"/>
      <c r="L613" s="146"/>
    </row>
    <row r="614">
      <c r="A614" s="146"/>
      <c r="B614" s="156"/>
      <c r="C614" s="146"/>
      <c r="D614" s="146"/>
      <c r="E614" s="149"/>
      <c r="L614" s="146"/>
    </row>
    <row r="615">
      <c r="A615" s="146"/>
      <c r="B615" s="156"/>
      <c r="C615" s="146"/>
      <c r="D615" s="146"/>
      <c r="E615" s="149"/>
      <c r="L615" s="146"/>
    </row>
    <row r="616">
      <c r="A616" s="146"/>
      <c r="B616" s="156"/>
      <c r="C616" s="146"/>
      <c r="D616" s="146"/>
      <c r="E616" s="149"/>
      <c r="L616" s="146"/>
    </row>
    <row r="617">
      <c r="A617" s="146"/>
      <c r="B617" s="156"/>
      <c r="C617" s="146"/>
      <c r="D617" s="146"/>
      <c r="E617" s="149"/>
      <c r="L617" s="146"/>
    </row>
    <row r="618">
      <c r="A618" s="146"/>
      <c r="B618" s="156"/>
      <c r="C618" s="146"/>
      <c r="D618" s="146"/>
      <c r="E618" s="149"/>
      <c r="L618" s="146"/>
    </row>
    <row r="619">
      <c r="A619" s="146"/>
      <c r="B619" s="156"/>
      <c r="C619" s="146"/>
      <c r="D619" s="146"/>
      <c r="E619" s="149"/>
      <c r="L619" s="146"/>
    </row>
    <row r="620">
      <c r="A620" s="146"/>
      <c r="B620" s="156"/>
      <c r="C620" s="146"/>
      <c r="D620" s="146"/>
      <c r="E620" s="149"/>
      <c r="L620" s="146"/>
    </row>
    <row r="621">
      <c r="A621" s="146"/>
      <c r="B621" s="156"/>
      <c r="C621" s="146"/>
      <c r="D621" s="146"/>
      <c r="E621" s="149"/>
      <c r="L621" s="146"/>
    </row>
    <row r="622">
      <c r="A622" s="146"/>
      <c r="B622" s="156"/>
      <c r="C622" s="146"/>
      <c r="D622" s="146"/>
      <c r="E622" s="149"/>
      <c r="L622" s="146"/>
    </row>
    <row r="623">
      <c r="A623" s="146"/>
      <c r="B623" s="156"/>
      <c r="C623" s="146"/>
      <c r="D623" s="146"/>
      <c r="E623" s="149"/>
      <c r="L623" s="146"/>
    </row>
    <row r="624">
      <c r="A624" s="146"/>
      <c r="B624" s="156"/>
      <c r="C624" s="146"/>
      <c r="D624" s="146"/>
      <c r="E624" s="149"/>
      <c r="L624" s="146"/>
    </row>
    <row r="625">
      <c r="A625" s="146"/>
      <c r="B625" s="156"/>
      <c r="C625" s="146"/>
      <c r="D625" s="146"/>
      <c r="E625" s="149"/>
      <c r="L625" s="146"/>
    </row>
    <row r="626">
      <c r="A626" s="146"/>
      <c r="B626" s="156"/>
      <c r="C626" s="146"/>
      <c r="D626" s="146"/>
      <c r="E626" s="149"/>
      <c r="L626" s="146"/>
    </row>
    <row r="627">
      <c r="A627" s="146"/>
      <c r="B627" s="156"/>
      <c r="C627" s="146"/>
      <c r="D627" s="146"/>
      <c r="E627" s="149"/>
      <c r="L627" s="146"/>
    </row>
    <row r="628">
      <c r="A628" s="146"/>
      <c r="B628" s="156"/>
      <c r="C628" s="146"/>
      <c r="D628" s="146"/>
      <c r="E628" s="149"/>
      <c r="L628" s="146"/>
    </row>
    <row r="629">
      <c r="A629" s="146"/>
      <c r="B629" s="156"/>
      <c r="C629" s="146"/>
      <c r="D629" s="146"/>
      <c r="E629" s="149"/>
      <c r="L629" s="146"/>
    </row>
    <row r="630">
      <c r="A630" s="146"/>
      <c r="B630" s="156"/>
      <c r="C630" s="146"/>
      <c r="D630" s="146"/>
      <c r="E630" s="149"/>
      <c r="L630" s="146"/>
    </row>
    <row r="631">
      <c r="A631" s="146"/>
      <c r="B631" s="156"/>
      <c r="C631" s="146"/>
      <c r="D631" s="146"/>
      <c r="E631" s="149"/>
      <c r="L631" s="146"/>
    </row>
    <row r="632">
      <c r="A632" s="146"/>
      <c r="B632" s="156"/>
      <c r="C632" s="146"/>
      <c r="D632" s="146"/>
      <c r="E632" s="149"/>
      <c r="L632" s="146"/>
    </row>
    <row r="633">
      <c r="A633" s="146"/>
      <c r="B633" s="156"/>
      <c r="C633" s="146"/>
      <c r="D633" s="146"/>
      <c r="E633" s="149"/>
      <c r="L633" s="146"/>
    </row>
    <row r="634">
      <c r="A634" s="146"/>
      <c r="B634" s="156"/>
      <c r="C634" s="146"/>
      <c r="D634" s="146"/>
      <c r="E634" s="149"/>
      <c r="L634" s="146"/>
    </row>
    <row r="635">
      <c r="A635" s="146"/>
      <c r="B635" s="156"/>
      <c r="C635" s="146"/>
      <c r="D635" s="146"/>
      <c r="E635" s="149"/>
      <c r="L635" s="146"/>
    </row>
    <row r="636">
      <c r="A636" s="146"/>
      <c r="B636" s="156"/>
      <c r="C636" s="146"/>
      <c r="D636" s="146"/>
      <c r="E636" s="149"/>
      <c r="L636" s="146"/>
    </row>
    <row r="637">
      <c r="A637" s="146"/>
      <c r="B637" s="156"/>
      <c r="C637" s="146"/>
      <c r="D637" s="146"/>
      <c r="E637" s="149"/>
      <c r="L637" s="146"/>
    </row>
    <row r="638">
      <c r="A638" s="146"/>
      <c r="B638" s="156"/>
      <c r="C638" s="146"/>
      <c r="D638" s="146"/>
      <c r="E638" s="149"/>
      <c r="L638" s="146"/>
    </row>
    <row r="639">
      <c r="A639" s="146"/>
      <c r="B639" s="156"/>
      <c r="C639" s="146"/>
      <c r="D639" s="146"/>
      <c r="E639" s="149"/>
      <c r="L639" s="146"/>
    </row>
    <row r="640">
      <c r="A640" s="146"/>
      <c r="B640" s="156"/>
      <c r="C640" s="146"/>
      <c r="D640" s="146"/>
      <c r="E640" s="149"/>
      <c r="L640" s="146"/>
    </row>
    <row r="641">
      <c r="A641" s="146"/>
      <c r="B641" s="156"/>
      <c r="C641" s="146"/>
      <c r="D641" s="146"/>
      <c r="E641" s="149"/>
      <c r="L641" s="146"/>
    </row>
    <row r="642">
      <c r="A642" s="146"/>
      <c r="B642" s="156"/>
      <c r="C642" s="146"/>
      <c r="D642" s="146"/>
      <c r="E642" s="149"/>
      <c r="L642" s="146"/>
    </row>
    <row r="643">
      <c r="A643" s="146"/>
      <c r="B643" s="156"/>
      <c r="C643" s="146"/>
      <c r="D643" s="146"/>
      <c r="E643" s="149"/>
      <c r="L643" s="146"/>
    </row>
    <row r="644">
      <c r="A644" s="146"/>
      <c r="B644" s="156"/>
      <c r="C644" s="146"/>
      <c r="D644" s="146"/>
      <c r="E644" s="149"/>
      <c r="L644" s="146"/>
    </row>
    <row r="645">
      <c r="A645" s="146"/>
      <c r="B645" s="156"/>
      <c r="C645" s="146"/>
      <c r="D645" s="146"/>
      <c r="E645" s="149"/>
      <c r="L645" s="146"/>
    </row>
    <row r="646">
      <c r="A646" s="146"/>
      <c r="B646" s="156"/>
      <c r="C646" s="146"/>
      <c r="D646" s="146"/>
      <c r="E646" s="149"/>
      <c r="L646" s="146"/>
    </row>
    <row r="647">
      <c r="A647" s="146"/>
      <c r="B647" s="156"/>
      <c r="C647" s="146"/>
      <c r="D647" s="146"/>
      <c r="E647" s="149"/>
      <c r="L647" s="146"/>
    </row>
    <row r="648">
      <c r="A648" s="146"/>
      <c r="B648" s="156"/>
      <c r="C648" s="146"/>
      <c r="D648" s="146"/>
      <c r="E648" s="149"/>
      <c r="L648" s="146"/>
    </row>
    <row r="649">
      <c r="A649" s="146"/>
      <c r="B649" s="156"/>
      <c r="C649" s="146"/>
      <c r="D649" s="146"/>
      <c r="E649" s="149"/>
      <c r="L649" s="146"/>
    </row>
    <row r="650">
      <c r="A650" s="146"/>
      <c r="B650" s="156"/>
      <c r="C650" s="146"/>
      <c r="D650" s="146"/>
      <c r="E650" s="149"/>
      <c r="L650" s="146"/>
    </row>
    <row r="651">
      <c r="A651" s="146"/>
      <c r="B651" s="156"/>
      <c r="C651" s="146"/>
      <c r="D651" s="146"/>
      <c r="E651" s="149"/>
      <c r="L651" s="146"/>
    </row>
    <row r="652">
      <c r="A652" s="146"/>
      <c r="B652" s="156"/>
      <c r="C652" s="146"/>
      <c r="D652" s="146"/>
      <c r="E652" s="149"/>
      <c r="L652" s="146"/>
    </row>
    <row r="653">
      <c r="A653" s="146"/>
      <c r="B653" s="156"/>
      <c r="C653" s="146"/>
      <c r="D653" s="146"/>
      <c r="E653" s="149"/>
      <c r="L653" s="146"/>
    </row>
    <row r="654">
      <c r="A654" s="146"/>
      <c r="B654" s="156"/>
      <c r="C654" s="146"/>
      <c r="D654" s="146"/>
      <c r="E654" s="149"/>
      <c r="L654" s="146"/>
    </row>
    <row r="655">
      <c r="A655" s="146"/>
      <c r="B655" s="156"/>
      <c r="C655" s="146"/>
      <c r="D655" s="146"/>
      <c r="E655" s="149"/>
      <c r="L655" s="146"/>
    </row>
    <row r="656">
      <c r="A656" s="146"/>
      <c r="B656" s="156"/>
      <c r="C656" s="146"/>
      <c r="D656" s="146"/>
      <c r="E656" s="149"/>
      <c r="L656" s="146"/>
    </row>
    <row r="657">
      <c r="A657" s="146"/>
      <c r="B657" s="156"/>
      <c r="C657" s="146"/>
      <c r="D657" s="146"/>
      <c r="E657" s="149"/>
      <c r="L657" s="146"/>
    </row>
    <row r="658">
      <c r="A658" s="146"/>
      <c r="B658" s="156"/>
      <c r="C658" s="146"/>
      <c r="D658" s="146"/>
      <c r="E658" s="149"/>
      <c r="L658" s="146"/>
    </row>
    <row r="659">
      <c r="A659" s="146"/>
      <c r="B659" s="156"/>
      <c r="C659" s="146"/>
      <c r="D659" s="146"/>
      <c r="E659" s="149"/>
      <c r="L659" s="146"/>
    </row>
    <row r="660">
      <c r="A660" s="146"/>
      <c r="B660" s="156"/>
      <c r="C660" s="146"/>
      <c r="D660" s="146"/>
      <c r="E660" s="149"/>
      <c r="L660" s="146"/>
    </row>
    <row r="661">
      <c r="A661" s="146"/>
      <c r="B661" s="156"/>
      <c r="C661" s="146"/>
      <c r="D661" s="146"/>
      <c r="E661" s="149"/>
      <c r="L661" s="146"/>
    </row>
    <row r="662">
      <c r="A662" s="146"/>
      <c r="B662" s="156"/>
      <c r="C662" s="146"/>
      <c r="D662" s="146"/>
      <c r="E662" s="149"/>
      <c r="L662" s="146"/>
    </row>
    <row r="663">
      <c r="A663" s="146"/>
      <c r="B663" s="156"/>
      <c r="C663" s="146"/>
      <c r="D663" s="146"/>
      <c r="E663" s="149"/>
      <c r="L663" s="146"/>
    </row>
    <row r="664">
      <c r="A664" s="146"/>
      <c r="B664" s="156"/>
      <c r="C664" s="146"/>
      <c r="D664" s="146"/>
      <c r="E664" s="149"/>
      <c r="L664" s="146"/>
    </row>
    <row r="665">
      <c r="A665" s="146"/>
      <c r="B665" s="156"/>
      <c r="C665" s="146"/>
      <c r="D665" s="146"/>
      <c r="E665" s="149"/>
      <c r="L665" s="146"/>
    </row>
    <row r="666">
      <c r="A666" s="146"/>
      <c r="B666" s="156"/>
      <c r="C666" s="146"/>
      <c r="D666" s="146"/>
      <c r="E666" s="149"/>
      <c r="L666" s="146"/>
    </row>
    <row r="667">
      <c r="A667" s="146"/>
      <c r="B667" s="156"/>
      <c r="C667" s="146"/>
      <c r="D667" s="146"/>
      <c r="E667" s="149"/>
      <c r="L667" s="146"/>
    </row>
    <row r="668">
      <c r="A668" s="146"/>
      <c r="B668" s="156"/>
      <c r="C668" s="146"/>
      <c r="D668" s="146"/>
      <c r="E668" s="149"/>
      <c r="L668" s="146"/>
    </row>
    <row r="669">
      <c r="A669" s="146"/>
      <c r="B669" s="156"/>
      <c r="C669" s="146"/>
      <c r="D669" s="146"/>
      <c r="E669" s="149"/>
      <c r="L669" s="146"/>
    </row>
    <row r="670">
      <c r="A670" s="146"/>
      <c r="B670" s="156"/>
      <c r="C670" s="146"/>
      <c r="D670" s="146"/>
      <c r="E670" s="149"/>
      <c r="L670" s="146"/>
    </row>
    <row r="671">
      <c r="A671" s="146"/>
      <c r="B671" s="156"/>
      <c r="C671" s="146"/>
      <c r="D671" s="146"/>
      <c r="E671" s="149"/>
      <c r="L671" s="146"/>
    </row>
    <row r="672">
      <c r="A672" s="146"/>
      <c r="B672" s="156"/>
      <c r="C672" s="146"/>
      <c r="D672" s="146"/>
      <c r="E672" s="149"/>
      <c r="L672" s="146"/>
    </row>
    <row r="673">
      <c r="A673" s="146"/>
      <c r="B673" s="156"/>
      <c r="C673" s="146"/>
      <c r="D673" s="146"/>
      <c r="E673" s="149"/>
      <c r="L673" s="146"/>
    </row>
    <row r="674">
      <c r="A674" s="146"/>
      <c r="B674" s="156"/>
      <c r="C674" s="146"/>
      <c r="D674" s="146"/>
      <c r="E674" s="149"/>
      <c r="L674" s="146"/>
    </row>
    <row r="675">
      <c r="A675" s="146"/>
      <c r="B675" s="156"/>
      <c r="C675" s="146"/>
      <c r="D675" s="146"/>
      <c r="E675" s="149"/>
      <c r="L675" s="146"/>
    </row>
    <row r="676">
      <c r="A676" s="146"/>
      <c r="B676" s="156"/>
      <c r="C676" s="146"/>
      <c r="D676" s="146"/>
      <c r="E676" s="149"/>
      <c r="L676" s="146"/>
    </row>
    <row r="677">
      <c r="A677" s="146"/>
      <c r="B677" s="156"/>
      <c r="C677" s="146"/>
      <c r="D677" s="146"/>
      <c r="E677" s="149"/>
      <c r="L677" s="146"/>
    </row>
    <row r="678">
      <c r="A678" s="146"/>
      <c r="B678" s="156"/>
      <c r="C678" s="146"/>
      <c r="D678" s="146"/>
      <c r="E678" s="149"/>
      <c r="L678" s="146"/>
    </row>
    <row r="679">
      <c r="A679" s="146"/>
      <c r="B679" s="156"/>
      <c r="C679" s="146"/>
      <c r="D679" s="146"/>
      <c r="E679" s="149"/>
      <c r="L679" s="146"/>
    </row>
    <row r="680">
      <c r="A680" s="146"/>
      <c r="B680" s="156"/>
      <c r="C680" s="146"/>
      <c r="D680" s="146"/>
      <c r="E680" s="149"/>
      <c r="L680" s="146"/>
    </row>
    <row r="681">
      <c r="A681" s="146"/>
      <c r="B681" s="156"/>
      <c r="C681" s="146"/>
      <c r="D681" s="146"/>
      <c r="E681" s="149"/>
      <c r="L681" s="146"/>
    </row>
    <row r="682">
      <c r="A682" s="146"/>
      <c r="B682" s="156"/>
      <c r="C682" s="146"/>
      <c r="D682" s="146"/>
      <c r="E682" s="149"/>
      <c r="L682" s="146"/>
    </row>
    <row r="683">
      <c r="A683" s="146"/>
      <c r="B683" s="156"/>
      <c r="C683" s="146"/>
      <c r="D683" s="146"/>
      <c r="E683" s="149"/>
      <c r="L683" s="146"/>
    </row>
    <row r="684">
      <c r="A684" s="146"/>
      <c r="B684" s="156"/>
      <c r="C684" s="146"/>
      <c r="D684" s="146"/>
      <c r="E684" s="149"/>
      <c r="L684" s="146"/>
    </row>
    <row r="685">
      <c r="A685" s="146"/>
      <c r="B685" s="156"/>
      <c r="C685" s="146"/>
      <c r="D685" s="146"/>
      <c r="E685" s="149"/>
      <c r="L685" s="146"/>
    </row>
    <row r="686">
      <c r="A686" s="146"/>
      <c r="B686" s="156"/>
      <c r="C686" s="146"/>
      <c r="D686" s="146"/>
      <c r="E686" s="149"/>
      <c r="L686" s="146"/>
    </row>
    <row r="687">
      <c r="A687" s="146"/>
      <c r="B687" s="156"/>
      <c r="C687" s="146"/>
      <c r="D687" s="146"/>
      <c r="E687" s="149"/>
      <c r="L687" s="146"/>
    </row>
    <row r="688">
      <c r="A688" s="146"/>
      <c r="B688" s="156"/>
      <c r="C688" s="146"/>
      <c r="D688" s="146"/>
      <c r="E688" s="149"/>
      <c r="L688" s="146"/>
    </row>
    <row r="689">
      <c r="A689" s="146"/>
      <c r="B689" s="156"/>
      <c r="C689" s="146"/>
      <c r="D689" s="146"/>
      <c r="E689" s="149"/>
      <c r="L689" s="146"/>
    </row>
    <row r="690">
      <c r="A690" s="146"/>
      <c r="B690" s="156"/>
      <c r="C690" s="146"/>
      <c r="D690" s="146"/>
      <c r="E690" s="149"/>
      <c r="L690" s="146"/>
    </row>
    <row r="691">
      <c r="A691" s="146"/>
      <c r="B691" s="156"/>
      <c r="C691" s="146"/>
      <c r="D691" s="146"/>
      <c r="E691" s="149"/>
      <c r="L691" s="146"/>
    </row>
    <row r="692">
      <c r="A692" s="146"/>
      <c r="B692" s="156"/>
      <c r="C692" s="146"/>
      <c r="D692" s="146"/>
      <c r="E692" s="149"/>
      <c r="L692" s="146"/>
    </row>
    <row r="693">
      <c r="A693" s="146"/>
      <c r="B693" s="156"/>
      <c r="C693" s="146"/>
      <c r="D693" s="146"/>
      <c r="E693" s="149"/>
      <c r="L693" s="146"/>
    </row>
    <row r="694">
      <c r="A694" s="146"/>
      <c r="B694" s="156"/>
      <c r="C694" s="146"/>
      <c r="D694" s="146"/>
      <c r="E694" s="149"/>
      <c r="L694" s="146"/>
    </row>
    <row r="695">
      <c r="A695" s="146"/>
      <c r="B695" s="156"/>
      <c r="C695" s="146"/>
      <c r="D695" s="146"/>
      <c r="E695" s="149"/>
      <c r="L695" s="146"/>
    </row>
    <row r="696">
      <c r="A696" s="146"/>
      <c r="B696" s="156"/>
      <c r="C696" s="146"/>
      <c r="D696" s="146"/>
      <c r="E696" s="149"/>
      <c r="L696" s="146"/>
    </row>
    <row r="697">
      <c r="A697" s="146"/>
      <c r="B697" s="156"/>
      <c r="C697" s="146"/>
      <c r="D697" s="146"/>
      <c r="E697" s="149"/>
      <c r="L697" s="146"/>
    </row>
    <row r="698">
      <c r="A698" s="146"/>
      <c r="B698" s="156"/>
      <c r="C698" s="146"/>
      <c r="D698" s="146"/>
      <c r="E698" s="149"/>
      <c r="L698" s="146"/>
    </row>
    <row r="699">
      <c r="A699" s="146"/>
      <c r="B699" s="156"/>
      <c r="C699" s="146"/>
      <c r="D699" s="146"/>
      <c r="E699" s="149"/>
      <c r="L699" s="146"/>
    </row>
    <row r="700">
      <c r="A700" s="146"/>
      <c r="B700" s="156"/>
      <c r="C700" s="146"/>
      <c r="D700" s="146"/>
      <c r="E700" s="149"/>
      <c r="L700" s="146"/>
    </row>
    <row r="701">
      <c r="A701" s="146"/>
      <c r="B701" s="156"/>
      <c r="C701" s="146"/>
      <c r="D701" s="146"/>
      <c r="E701" s="149"/>
      <c r="L701" s="146"/>
    </row>
    <row r="702">
      <c r="A702" s="146"/>
      <c r="B702" s="156"/>
      <c r="C702" s="146"/>
      <c r="D702" s="146"/>
      <c r="E702" s="149"/>
      <c r="L702" s="146"/>
    </row>
    <row r="703">
      <c r="A703" s="146"/>
      <c r="B703" s="156"/>
      <c r="C703" s="146"/>
      <c r="D703" s="146"/>
      <c r="E703" s="149"/>
      <c r="L703" s="146"/>
    </row>
    <row r="704">
      <c r="A704" s="146"/>
      <c r="B704" s="156"/>
      <c r="C704" s="146"/>
      <c r="D704" s="146"/>
      <c r="E704" s="149"/>
      <c r="L704" s="146"/>
    </row>
    <row r="705">
      <c r="A705" s="146"/>
      <c r="B705" s="156"/>
      <c r="C705" s="146"/>
      <c r="D705" s="146"/>
      <c r="E705" s="149"/>
      <c r="L705" s="146"/>
    </row>
    <row r="706">
      <c r="A706" s="146"/>
      <c r="B706" s="156"/>
      <c r="C706" s="146"/>
      <c r="D706" s="146"/>
      <c r="E706" s="149"/>
      <c r="L706" s="146"/>
    </row>
    <row r="707">
      <c r="A707" s="146"/>
      <c r="B707" s="156"/>
      <c r="C707" s="146"/>
      <c r="D707" s="146"/>
      <c r="E707" s="149"/>
      <c r="L707" s="146"/>
    </row>
    <row r="708">
      <c r="A708" s="146"/>
      <c r="B708" s="156"/>
      <c r="C708" s="146"/>
      <c r="D708" s="146"/>
      <c r="E708" s="149"/>
      <c r="L708" s="146"/>
    </row>
    <row r="709">
      <c r="A709" s="146"/>
      <c r="B709" s="156"/>
      <c r="C709" s="146"/>
      <c r="D709" s="146"/>
      <c r="E709" s="149"/>
      <c r="L709" s="146"/>
    </row>
    <row r="710">
      <c r="A710" s="146"/>
      <c r="B710" s="156"/>
      <c r="C710" s="146"/>
      <c r="D710" s="146"/>
      <c r="E710" s="149"/>
      <c r="L710" s="146"/>
    </row>
    <row r="711">
      <c r="A711" s="146"/>
      <c r="B711" s="156"/>
      <c r="C711" s="146"/>
      <c r="D711" s="146"/>
      <c r="E711" s="149"/>
      <c r="L711" s="146"/>
    </row>
    <row r="712">
      <c r="A712" s="146"/>
      <c r="B712" s="156"/>
      <c r="C712" s="146"/>
      <c r="D712" s="146"/>
      <c r="E712" s="149"/>
      <c r="L712" s="146"/>
    </row>
    <row r="713">
      <c r="A713" s="146"/>
      <c r="B713" s="156"/>
      <c r="C713" s="146"/>
      <c r="D713" s="146"/>
      <c r="E713" s="149"/>
      <c r="L713" s="146"/>
    </row>
    <row r="714">
      <c r="A714" s="146"/>
      <c r="B714" s="156"/>
      <c r="C714" s="146"/>
      <c r="D714" s="146"/>
      <c r="E714" s="149"/>
      <c r="L714" s="146"/>
    </row>
    <row r="715">
      <c r="A715" s="146"/>
      <c r="B715" s="156"/>
      <c r="C715" s="146"/>
      <c r="D715" s="146"/>
      <c r="E715" s="149"/>
      <c r="L715" s="146"/>
    </row>
    <row r="716">
      <c r="A716" s="146"/>
      <c r="B716" s="156"/>
      <c r="C716" s="146"/>
      <c r="D716" s="146"/>
      <c r="E716" s="149"/>
      <c r="L716" s="146"/>
    </row>
    <row r="717">
      <c r="A717" s="146"/>
      <c r="B717" s="156"/>
      <c r="C717" s="146"/>
      <c r="D717" s="146"/>
      <c r="E717" s="149"/>
      <c r="L717" s="146"/>
    </row>
    <row r="718">
      <c r="A718" s="146"/>
      <c r="B718" s="156"/>
      <c r="C718" s="146"/>
      <c r="D718" s="146"/>
      <c r="E718" s="149"/>
      <c r="L718" s="146"/>
    </row>
    <row r="719">
      <c r="A719" s="146"/>
      <c r="B719" s="156"/>
      <c r="C719" s="146"/>
      <c r="D719" s="146"/>
      <c r="E719" s="149"/>
      <c r="L719" s="146"/>
    </row>
    <row r="720">
      <c r="A720" s="146"/>
      <c r="B720" s="156"/>
      <c r="C720" s="146"/>
      <c r="D720" s="146"/>
      <c r="E720" s="149"/>
      <c r="L720" s="146"/>
    </row>
    <row r="721">
      <c r="A721" s="146"/>
      <c r="B721" s="156"/>
      <c r="C721" s="146"/>
      <c r="D721" s="146"/>
      <c r="E721" s="149"/>
      <c r="L721" s="146"/>
    </row>
    <row r="722">
      <c r="A722" s="146"/>
      <c r="B722" s="156"/>
      <c r="C722" s="146"/>
      <c r="D722" s="146"/>
      <c r="E722" s="149"/>
      <c r="L722" s="146"/>
    </row>
    <row r="723">
      <c r="A723" s="146"/>
      <c r="B723" s="156"/>
      <c r="C723" s="146"/>
      <c r="D723" s="146"/>
      <c r="E723" s="149"/>
      <c r="L723" s="146"/>
    </row>
    <row r="724">
      <c r="A724" s="146"/>
      <c r="B724" s="156"/>
      <c r="C724" s="146"/>
      <c r="D724" s="146"/>
      <c r="E724" s="149"/>
      <c r="L724" s="146"/>
    </row>
    <row r="725">
      <c r="A725" s="146"/>
      <c r="B725" s="156"/>
      <c r="C725" s="146"/>
      <c r="D725" s="146"/>
      <c r="E725" s="149"/>
      <c r="L725" s="146"/>
    </row>
    <row r="726">
      <c r="A726" s="146"/>
      <c r="B726" s="156"/>
      <c r="C726" s="146"/>
      <c r="D726" s="146"/>
      <c r="E726" s="149"/>
      <c r="L726" s="146"/>
    </row>
    <row r="727">
      <c r="A727" s="146"/>
      <c r="B727" s="156"/>
      <c r="C727" s="146"/>
      <c r="D727" s="146"/>
      <c r="E727" s="149"/>
      <c r="L727" s="146"/>
    </row>
    <row r="728">
      <c r="A728" s="146"/>
      <c r="B728" s="156"/>
      <c r="C728" s="146"/>
      <c r="D728" s="146"/>
      <c r="E728" s="149"/>
      <c r="L728" s="146"/>
    </row>
    <row r="729">
      <c r="A729" s="146"/>
      <c r="B729" s="156"/>
      <c r="C729" s="146"/>
      <c r="D729" s="146"/>
      <c r="E729" s="149"/>
      <c r="L729" s="146"/>
    </row>
    <row r="730">
      <c r="A730" s="146"/>
      <c r="B730" s="156"/>
      <c r="C730" s="146"/>
      <c r="D730" s="146"/>
      <c r="E730" s="149"/>
      <c r="L730" s="146"/>
    </row>
    <row r="731">
      <c r="A731" s="146"/>
      <c r="B731" s="156"/>
      <c r="C731" s="146"/>
      <c r="D731" s="146"/>
      <c r="E731" s="149"/>
      <c r="L731" s="146"/>
    </row>
    <row r="732">
      <c r="A732" s="146"/>
      <c r="B732" s="156"/>
      <c r="C732" s="146"/>
      <c r="D732" s="146"/>
      <c r="E732" s="149"/>
      <c r="L732" s="146"/>
    </row>
    <row r="733">
      <c r="A733" s="146"/>
      <c r="B733" s="156"/>
      <c r="C733" s="146"/>
      <c r="D733" s="146"/>
      <c r="E733" s="149"/>
      <c r="L733" s="146"/>
    </row>
    <row r="734">
      <c r="A734" s="146"/>
      <c r="B734" s="156"/>
      <c r="C734" s="146"/>
      <c r="D734" s="146"/>
      <c r="E734" s="149"/>
      <c r="L734" s="146"/>
    </row>
    <row r="735">
      <c r="A735" s="146"/>
      <c r="B735" s="156"/>
      <c r="C735" s="146"/>
      <c r="D735" s="146"/>
      <c r="E735" s="149"/>
      <c r="L735" s="146"/>
    </row>
    <row r="736">
      <c r="A736" s="146"/>
      <c r="B736" s="156"/>
      <c r="C736" s="146"/>
      <c r="D736" s="146"/>
      <c r="E736" s="149"/>
      <c r="L736" s="146"/>
    </row>
    <row r="737">
      <c r="A737" s="146"/>
      <c r="B737" s="156"/>
      <c r="C737" s="146"/>
      <c r="D737" s="146"/>
      <c r="E737" s="149"/>
      <c r="L737" s="146"/>
    </row>
    <row r="738">
      <c r="A738" s="146"/>
      <c r="B738" s="156"/>
      <c r="C738" s="146"/>
      <c r="D738" s="146"/>
      <c r="E738" s="149"/>
      <c r="L738" s="146"/>
    </row>
    <row r="739">
      <c r="A739" s="146"/>
      <c r="B739" s="156"/>
      <c r="C739" s="146"/>
      <c r="D739" s="146"/>
      <c r="E739" s="149"/>
      <c r="L739" s="146"/>
    </row>
    <row r="740">
      <c r="A740" s="146"/>
      <c r="B740" s="156"/>
      <c r="C740" s="146"/>
      <c r="D740" s="146"/>
      <c r="E740" s="149"/>
      <c r="L740" s="146"/>
    </row>
    <row r="741">
      <c r="A741" s="146"/>
      <c r="B741" s="156"/>
      <c r="C741" s="146"/>
      <c r="D741" s="146"/>
      <c r="E741" s="149"/>
      <c r="L741" s="146"/>
    </row>
    <row r="742">
      <c r="A742" s="146"/>
      <c r="B742" s="156"/>
      <c r="C742" s="146"/>
      <c r="D742" s="146"/>
      <c r="E742" s="149"/>
      <c r="L742" s="146"/>
    </row>
    <row r="743">
      <c r="A743" s="146"/>
      <c r="B743" s="156"/>
      <c r="C743" s="146"/>
      <c r="D743" s="146"/>
      <c r="E743" s="149"/>
      <c r="L743" s="146"/>
    </row>
    <row r="744">
      <c r="A744" s="146"/>
      <c r="B744" s="156"/>
      <c r="C744" s="146"/>
      <c r="D744" s="146"/>
      <c r="E744" s="149"/>
      <c r="L744" s="146"/>
    </row>
    <row r="745">
      <c r="A745" s="146"/>
      <c r="B745" s="156"/>
      <c r="C745" s="146"/>
      <c r="D745" s="146"/>
      <c r="E745" s="149"/>
      <c r="L745" s="146"/>
    </row>
    <row r="746">
      <c r="A746" s="146"/>
      <c r="B746" s="156"/>
      <c r="C746" s="146"/>
      <c r="D746" s="146"/>
      <c r="E746" s="149"/>
      <c r="L746" s="146"/>
    </row>
    <row r="747">
      <c r="A747" s="146"/>
      <c r="B747" s="156"/>
      <c r="C747" s="146"/>
      <c r="D747" s="146"/>
      <c r="E747" s="149"/>
      <c r="L747" s="146"/>
    </row>
    <row r="748">
      <c r="A748" s="146"/>
      <c r="B748" s="156"/>
      <c r="C748" s="146"/>
      <c r="D748" s="146"/>
      <c r="E748" s="149"/>
      <c r="L748" s="146"/>
    </row>
    <row r="749">
      <c r="A749" s="146"/>
      <c r="B749" s="156"/>
      <c r="C749" s="146"/>
      <c r="D749" s="146"/>
      <c r="E749" s="149"/>
      <c r="L749" s="146"/>
    </row>
    <row r="750">
      <c r="A750" s="146"/>
      <c r="B750" s="156"/>
      <c r="C750" s="146"/>
      <c r="D750" s="146"/>
      <c r="E750" s="149"/>
      <c r="L750" s="146"/>
    </row>
    <row r="751">
      <c r="A751" s="146"/>
      <c r="B751" s="156"/>
      <c r="C751" s="146"/>
      <c r="D751" s="146"/>
      <c r="E751" s="149"/>
      <c r="L751" s="146"/>
    </row>
    <row r="752">
      <c r="A752" s="146"/>
      <c r="B752" s="156"/>
      <c r="C752" s="146"/>
      <c r="D752" s="146"/>
      <c r="E752" s="149"/>
      <c r="L752" s="146"/>
    </row>
    <row r="753">
      <c r="A753" s="146"/>
      <c r="B753" s="156"/>
      <c r="C753" s="146"/>
      <c r="D753" s="146"/>
      <c r="E753" s="149"/>
      <c r="L753" s="146"/>
    </row>
    <row r="754">
      <c r="A754" s="146"/>
      <c r="B754" s="156"/>
      <c r="C754" s="146"/>
      <c r="D754" s="146"/>
      <c r="E754" s="149"/>
      <c r="L754" s="146"/>
    </row>
    <row r="755">
      <c r="A755" s="146"/>
      <c r="B755" s="156"/>
      <c r="C755" s="146"/>
      <c r="D755" s="146"/>
      <c r="E755" s="149"/>
      <c r="L755" s="146"/>
    </row>
    <row r="756">
      <c r="A756" s="146"/>
      <c r="B756" s="156"/>
      <c r="C756" s="146"/>
      <c r="D756" s="146"/>
      <c r="E756" s="149"/>
      <c r="L756" s="146"/>
    </row>
    <row r="757">
      <c r="A757" s="146"/>
      <c r="B757" s="156"/>
      <c r="C757" s="146"/>
      <c r="D757" s="146"/>
      <c r="E757" s="149"/>
      <c r="L757" s="146"/>
    </row>
    <row r="758">
      <c r="A758" s="146"/>
      <c r="B758" s="156"/>
      <c r="C758" s="146"/>
      <c r="D758" s="146"/>
      <c r="E758" s="149"/>
      <c r="L758" s="146"/>
    </row>
    <row r="759">
      <c r="A759" s="146"/>
      <c r="B759" s="156"/>
      <c r="C759" s="146"/>
      <c r="D759" s="146"/>
      <c r="E759" s="149"/>
      <c r="L759" s="146"/>
    </row>
    <row r="760">
      <c r="A760" s="146"/>
      <c r="B760" s="156"/>
      <c r="C760" s="146"/>
      <c r="D760" s="146"/>
      <c r="E760" s="149"/>
      <c r="L760" s="146"/>
    </row>
    <row r="761">
      <c r="A761" s="146"/>
      <c r="B761" s="156"/>
      <c r="C761" s="146"/>
      <c r="D761" s="146"/>
      <c r="E761" s="149"/>
      <c r="L761" s="146"/>
    </row>
    <row r="762">
      <c r="A762" s="146"/>
      <c r="B762" s="156"/>
      <c r="C762" s="146"/>
      <c r="D762" s="146"/>
      <c r="E762" s="149"/>
      <c r="L762" s="146"/>
    </row>
    <row r="763">
      <c r="A763" s="146"/>
      <c r="B763" s="156"/>
      <c r="C763" s="146"/>
      <c r="D763" s="146"/>
      <c r="E763" s="149"/>
      <c r="L763" s="146"/>
    </row>
    <row r="764">
      <c r="A764" s="146"/>
      <c r="B764" s="156"/>
      <c r="C764" s="146"/>
      <c r="D764" s="146"/>
      <c r="E764" s="149"/>
      <c r="L764" s="146"/>
    </row>
    <row r="765">
      <c r="A765" s="146"/>
      <c r="B765" s="156"/>
      <c r="C765" s="146"/>
      <c r="D765" s="146"/>
      <c r="E765" s="149"/>
      <c r="L765" s="146"/>
    </row>
    <row r="766">
      <c r="A766" s="146"/>
      <c r="B766" s="156"/>
      <c r="C766" s="146"/>
      <c r="D766" s="146"/>
      <c r="E766" s="149"/>
      <c r="L766" s="146"/>
    </row>
    <row r="767">
      <c r="A767" s="146"/>
      <c r="B767" s="156"/>
      <c r="C767" s="146"/>
      <c r="D767" s="146"/>
      <c r="E767" s="149"/>
      <c r="L767" s="146"/>
    </row>
    <row r="768">
      <c r="A768" s="146"/>
      <c r="B768" s="156"/>
      <c r="C768" s="146"/>
      <c r="D768" s="146"/>
      <c r="E768" s="149"/>
      <c r="L768" s="146"/>
    </row>
    <row r="769">
      <c r="A769" s="146"/>
      <c r="B769" s="156"/>
      <c r="C769" s="146"/>
      <c r="D769" s="146"/>
      <c r="E769" s="149"/>
      <c r="L769" s="146"/>
    </row>
    <row r="770">
      <c r="A770" s="146"/>
      <c r="B770" s="156"/>
      <c r="C770" s="146"/>
      <c r="D770" s="146"/>
      <c r="E770" s="149"/>
      <c r="L770" s="146"/>
    </row>
    <row r="771">
      <c r="A771" s="146"/>
      <c r="B771" s="156"/>
      <c r="C771" s="146"/>
      <c r="D771" s="146"/>
      <c r="E771" s="149"/>
      <c r="L771" s="146"/>
    </row>
    <row r="772">
      <c r="A772" s="146"/>
      <c r="B772" s="156"/>
      <c r="C772" s="146"/>
      <c r="D772" s="146"/>
      <c r="E772" s="149"/>
      <c r="L772" s="146"/>
    </row>
    <row r="773">
      <c r="A773" s="146"/>
      <c r="B773" s="156"/>
      <c r="C773" s="146"/>
      <c r="D773" s="146"/>
      <c r="E773" s="149"/>
      <c r="L773" s="146"/>
    </row>
    <row r="774">
      <c r="A774" s="146"/>
      <c r="B774" s="156"/>
      <c r="C774" s="146"/>
      <c r="D774" s="146"/>
      <c r="E774" s="149"/>
      <c r="L774" s="146"/>
    </row>
    <row r="775">
      <c r="A775" s="146"/>
      <c r="B775" s="156"/>
      <c r="C775" s="146"/>
      <c r="D775" s="146"/>
      <c r="E775" s="149"/>
      <c r="L775" s="146"/>
    </row>
    <row r="776">
      <c r="A776" s="146"/>
      <c r="B776" s="156"/>
      <c r="C776" s="146"/>
      <c r="D776" s="146"/>
      <c r="E776" s="149"/>
      <c r="L776" s="146"/>
    </row>
    <row r="777">
      <c r="A777" s="146"/>
      <c r="B777" s="156"/>
      <c r="C777" s="146"/>
      <c r="D777" s="146"/>
      <c r="E777" s="149"/>
      <c r="L777" s="146"/>
    </row>
    <row r="778">
      <c r="A778" s="146"/>
      <c r="B778" s="156"/>
      <c r="C778" s="146"/>
      <c r="D778" s="146"/>
      <c r="E778" s="149"/>
      <c r="L778" s="146"/>
    </row>
    <row r="779">
      <c r="A779" s="146"/>
      <c r="B779" s="156"/>
      <c r="C779" s="146"/>
      <c r="D779" s="146"/>
      <c r="E779" s="149"/>
      <c r="L779" s="146"/>
    </row>
    <row r="780">
      <c r="A780" s="146"/>
      <c r="B780" s="156"/>
      <c r="C780" s="146"/>
      <c r="D780" s="146"/>
      <c r="E780" s="149"/>
      <c r="L780" s="146"/>
    </row>
    <row r="781">
      <c r="A781" s="146"/>
      <c r="B781" s="156"/>
      <c r="C781" s="146"/>
      <c r="D781" s="146"/>
      <c r="E781" s="149"/>
      <c r="L781" s="146"/>
    </row>
    <row r="782">
      <c r="A782" s="146"/>
      <c r="B782" s="156"/>
      <c r="C782" s="146"/>
      <c r="D782" s="146"/>
      <c r="E782" s="149"/>
      <c r="L782" s="146"/>
    </row>
    <row r="783">
      <c r="A783" s="146"/>
      <c r="B783" s="156"/>
      <c r="C783" s="146"/>
      <c r="D783" s="146"/>
      <c r="E783" s="149"/>
      <c r="L783" s="146"/>
    </row>
    <row r="784">
      <c r="A784" s="146"/>
      <c r="B784" s="156"/>
      <c r="C784" s="146"/>
      <c r="D784" s="146"/>
      <c r="E784" s="149"/>
      <c r="L784" s="146"/>
    </row>
    <row r="785">
      <c r="A785" s="146"/>
      <c r="B785" s="156"/>
      <c r="C785" s="146"/>
      <c r="D785" s="146"/>
      <c r="E785" s="149"/>
      <c r="L785" s="146"/>
    </row>
    <row r="786">
      <c r="A786" s="146"/>
      <c r="B786" s="156"/>
      <c r="C786" s="146"/>
      <c r="D786" s="146"/>
      <c r="E786" s="149"/>
      <c r="L786" s="146"/>
    </row>
    <row r="787">
      <c r="A787" s="146"/>
      <c r="B787" s="156"/>
      <c r="C787" s="146"/>
      <c r="D787" s="146"/>
      <c r="E787" s="149"/>
      <c r="L787" s="146"/>
    </row>
    <row r="788">
      <c r="A788" s="146"/>
      <c r="B788" s="156"/>
      <c r="C788" s="146"/>
      <c r="D788" s="146"/>
      <c r="E788" s="149"/>
      <c r="L788" s="146"/>
    </row>
    <row r="789">
      <c r="A789" s="146"/>
      <c r="B789" s="156"/>
      <c r="C789" s="146"/>
      <c r="D789" s="146"/>
      <c r="E789" s="149"/>
      <c r="L789" s="146"/>
    </row>
    <row r="790">
      <c r="A790" s="146"/>
      <c r="B790" s="156"/>
      <c r="C790" s="146"/>
      <c r="D790" s="146"/>
      <c r="E790" s="149"/>
      <c r="L790" s="146"/>
    </row>
    <row r="791">
      <c r="A791" s="146"/>
      <c r="B791" s="156"/>
      <c r="C791" s="146"/>
      <c r="D791" s="146"/>
      <c r="E791" s="149"/>
      <c r="L791" s="146"/>
    </row>
    <row r="792">
      <c r="A792" s="146"/>
      <c r="B792" s="156"/>
      <c r="C792" s="146"/>
      <c r="D792" s="146"/>
      <c r="E792" s="149"/>
      <c r="L792" s="146"/>
    </row>
    <row r="793">
      <c r="A793" s="146"/>
      <c r="B793" s="156"/>
      <c r="C793" s="146"/>
      <c r="D793" s="146"/>
      <c r="E793" s="149"/>
      <c r="L793" s="146"/>
    </row>
    <row r="794">
      <c r="A794" s="146"/>
      <c r="B794" s="156"/>
      <c r="C794" s="146"/>
      <c r="D794" s="146"/>
      <c r="E794" s="149"/>
      <c r="L794" s="146"/>
    </row>
    <row r="795">
      <c r="A795" s="146"/>
      <c r="B795" s="156"/>
      <c r="C795" s="146"/>
      <c r="D795" s="146"/>
      <c r="E795" s="149"/>
      <c r="L795" s="146"/>
    </row>
    <row r="796">
      <c r="A796" s="146"/>
      <c r="B796" s="156"/>
      <c r="C796" s="146"/>
      <c r="D796" s="146"/>
      <c r="E796" s="149"/>
      <c r="L796" s="146"/>
    </row>
    <row r="797">
      <c r="A797" s="146"/>
      <c r="B797" s="156"/>
      <c r="C797" s="146"/>
      <c r="D797" s="146"/>
      <c r="E797" s="149"/>
      <c r="L797" s="146"/>
    </row>
    <row r="798">
      <c r="A798" s="146"/>
      <c r="B798" s="156"/>
      <c r="C798" s="146"/>
      <c r="D798" s="146"/>
      <c r="E798" s="149"/>
      <c r="L798" s="146"/>
    </row>
    <row r="799">
      <c r="A799" s="146"/>
      <c r="B799" s="156"/>
      <c r="C799" s="146"/>
      <c r="D799" s="146"/>
      <c r="E799" s="149"/>
      <c r="L799" s="146"/>
    </row>
    <row r="800">
      <c r="A800" s="146"/>
      <c r="B800" s="156"/>
      <c r="C800" s="146"/>
      <c r="D800" s="146"/>
      <c r="E800" s="149"/>
      <c r="L800" s="146"/>
    </row>
    <row r="801">
      <c r="A801" s="146"/>
      <c r="B801" s="156"/>
      <c r="C801" s="146"/>
      <c r="D801" s="146"/>
      <c r="E801" s="149"/>
      <c r="L801" s="146"/>
    </row>
    <row r="802">
      <c r="A802" s="146"/>
      <c r="B802" s="156"/>
      <c r="C802" s="146"/>
      <c r="D802" s="146"/>
      <c r="E802" s="149"/>
      <c r="L802" s="146"/>
    </row>
    <row r="803">
      <c r="A803" s="146"/>
      <c r="B803" s="156"/>
      <c r="C803" s="146"/>
      <c r="D803" s="146"/>
      <c r="E803" s="149"/>
      <c r="L803" s="146"/>
    </row>
    <row r="804">
      <c r="A804" s="146"/>
      <c r="B804" s="156"/>
      <c r="C804" s="146"/>
      <c r="D804" s="146"/>
      <c r="E804" s="149"/>
      <c r="L804" s="146"/>
    </row>
    <row r="805">
      <c r="A805" s="146"/>
      <c r="B805" s="156"/>
      <c r="C805" s="146"/>
      <c r="D805" s="146"/>
      <c r="E805" s="149"/>
      <c r="L805" s="146"/>
    </row>
    <row r="806">
      <c r="A806" s="146"/>
      <c r="B806" s="156"/>
      <c r="C806" s="146"/>
      <c r="D806" s="146"/>
      <c r="E806" s="149"/>
      <c r="L806" s="146"/>
    </row>
    <row r="807">
      <c r="A807" s="146"/>
      <c r="B807" s="156"/>
      <c r="C807" s="146"/>
      <c r="D807" s="146"/>
      <c r="E807" s="149"/>
      <c r="L807" s="146"/>
    </row>
    <row r="808">
      <c r="A808" s="146"/>
      <c r="B808" s="156"/>
      <c r="C808" s="146"/>
      <c r="D808" s="146"/>
      <c r="E808" s="149"/>
      <c r="L808" s="146"/>
    </row>
    <row r="809">
      <c r="A809" s="146"/>
      <c r="B809" s="156"/>
      <c r="C809" s="146"/>
      <c r="D809" s="146"/>
      <c r="E809" s="149"/>
      <c r="L809" s="146"/>
    </row>
    <row r="810">
      <c r="A810" s="146"/>
      <c r="B810" s="156"/>
      <c r="C810" s="146"/>
      <c r="D810" s="146"/>
      <c r="E810" s="149"/>
      <c r="L810" s="146"/>
    </row>
    <row r="811">
      <c r="A811" s="146"/>
      <c r="B811" s="156"/>
      <c r="C811" s="146"/>
      <c r="D811" s="146"/>
      <c r="E811" s="149"/>
      <c r="L811" s="146"/>
    </row>
    <row r="812">
      <c r="A812" s="146"/>
      <c r="B812" s="156"/>
      <c r="C812" s="146"/>
      <c r="D812" s="146"/>
      <c r="E812" s="149"/>
      <c r="L812" s="146"/>
    </row>
    <row r="813">
      <c r="A813" s="146"/>
      <c r="B813" s="156"/>
      <c r="C813" s="146"/>
      <c r="D813" s="146"/>
      <c r="E813" s="149"/>
      <c r="L813" s="146"/>
    </row>
    <row r="814">
      <c r="A814" s="146"/>
      <c r="B814" s="156"/>
      <c r="C814" s="146"/>
      <c r="D814" s="146"/>
      <c r="E814" s="149"/>
      <c r="L814" s="146"/>
    </row>
    <row r="815">
      <c r="A815" s="146"/>
      <c r="B815" s="156"/>
      <c r="C815" s="146"/>
      <c r="D815" s="146"/>
      <c r="E815" s="149"/>
      <c r="L815" s="146"/>
    </row>
    <row r="816">
      <c r="A816" s="146"/>
      <c r="B816" s="156"/>
      <c r="C816" s="146"/>
      <c r="D816" s="146"/>
      <c r="E816" s="149"/>
      <c r="L816" s="146"/>
    </row>
    <row r="817">
      <c r="A817" s="146"/>
      <c r="B817" s="156"/>
      <c r="C817" s="146"/>
      <c r="D817" s="146"/>
      <c r="E817" s="149"/>
      <c r="L817" s="146"/>
    </row>
    <row r="818">
      <c r="A818" s="146"/>
      <c r="B818" s="156"/>
      <c r="C818" s="146"/>
      <c r="D818" s="146"/>
      <c r="E818" s="149"/>
      <c r="L818" s="146"/>
    </row>
    <row r="819">
      <c r="A819" s="146"/>
      <c r="B819" s="156"/>
      <c r="C819" s="146"/>
      <c r="D819" s="146"/>
      <c r="E819" s="149"/>
      <c r="L819" s="146"/>
    </row>
    <row r="820">
      <c r="A820" s="146"/>
      <c r="B820" s="156"/>
      <c r="C820" s="146"/>
      <c r="D820" s="146"/>
      <c r="E820" s="149"/>
      <c r="L820" s="146"/>
    </row>
    <row r="821">
      <c r="A821" s="146"/>
      <c r="B821" s="156"/>
      <c r="C821" s="146"/>
      <c r="D821" s="146"/>
      <c r="E821" s="149"/>
      <c r="L821" s="146"/>
    </row>
    <row r="822">
      <c r="A822" s="146"/>
      <c r="B822" s="156"/>
      <c r="C822" s="146"/>
      <c r="D822" s="146"/>
      <c r="E822" s="149"/>
      <c r="L822" s="146"/>
    </row>
    <row r="823">
      <c r="A823" s="146"/>
      <c r="B823" s="156"/>
      <c r="C823" s="146"/>
      <c r="D823" s="146"/>
      <c r="E823" s="149"/>
      <c r="L823" s="146"/>
    </row>
    <row r="824">
      <c r="A824" s="146"/>
      <c r="B824" s="156"/>
      <c r="C824" s="146"/>
      <c r="D824" s="146"/>
      <c r="E824" s="149"/>
      <c r="L824" s="146"/>
    </row>
    <row r="825">
      <c r="A825" s="146"/>
      <c r="B825" s="156"/>
      <c r="C825" s="146"/>
      <c r="D825" s="146"/>
      <c r="E825" s="149"/>
      <c r="L825" s="146"/>
    </row>
    <row r="826">
      <c r="A826" s="146"/>
      <c r="B826" s="156"/>
      <c r="C826" s="146"/>
      <c r="D826" s="146"/>
      <c r="E826" s="149"/>
      <c r="L826" s="146"/>
    </row>
    <row r="827">
      <c r="A827" s="146"/>
      <c r="B827" s="156"/>
      <c r="C827" s="146"/>
      <c r="D827" s="146"/>
      <c r="E827" s="149"/>
      <c r="L827" s="146"/>
    </row>
    <row r="828">
      <c r="A828" s="146"/>
      <c r="B828" s="156"/>
      <c r="C828" s="146"/>
      <c r="D828" s="146"/>
      <c r="E828" s="149"/>
      <c r="L828" s="146"/>
    </row>
    <row r="829">
      <c r="A829" s="146"/>
      <c r="B829" s="156"/>
      <c r="C829" s="146"/>
      <c r="D829" s="146"/>
      <c r="E829" s="149"/>
      <c r="L829" s="146"/>
    </row>
    <row r="830">
      <c r="A830" s="146"/>
      <c r="B830" s="156"/>
      <c r="C830" s="146"/>
      <c r="D830" s="146"/>
      <c r="E830" s="149"/>
      <c r="L830" s="146"/>
    </row>
    <row r="831">
      <c r="A831" s="146"/>
      <c r="B831" s="156"/>
      <c r="C831" s="146"/>
      <c r="D831" s="146"/>
      <c r="E831" s="149"/>
      <c r="L831" s="146"/>
    </row>
    <row r="832">
      <c r="A832" s="146"/>
      <c r="B832" s="156"/>
      <c r="C832" s="146"/>
      <c r="D832" s="146"/>
      <c r="E832" s="149"/>
      <c r="L832" s="146"/>
    </row>
    <row r="833">
      <c r="A833" s="146"/>
      <c r="B833" s="156"/>
      <c r="C833" s="146"/>
      <c r="D833" s="146"/>
      <c r="E833" s="149"/>
      <c r="L833" s="146"/>
    </row>
    <row r="834">
      <c r="A834" s="146"/>
      <c r="B834" s="156"/>
      <c r="C834" s="146"/>
      <c r="D834" s="146"/>
      <c r="E834" s="149"/>
      <c r="L834" s="146"/>
    </row>
    <row r="835">
      <c r="A835" s="146"/>
      <c r="B835" s="156"/>
      <c r="C835" s="146"/>
      <c r="D835" s="146"/>
      <c r="E835" s="149"/>
      <c r="L835" s="146"/>
    </row>
    <row r="836">
      <c r="A836" s="146"/>
      <c r="B836" s="156"/>
      <c r="C836" s="146"/>
      <c r="D836" s="146"/>
      <c r="E836" s="149"/>
      <c r="L836" s="146"/>
    </row>
    <row r="837">
      <c r="A837" s="146"/>
      <c r="B837" s="156"/>
      <c r="C837" s="146"/>
      <c r="D837" s="146"/>
      <c r="E837" s="149"/>
      <c r="L837" s="146"/>
    </row>
    <row r="838">
      <c r="A838" s="146"/>
      <c r="B838" s="156"/>
      <c r="C838" s="146"/>
      <c r="D838" s="146"/>
      <c r="E838" s="149"/>
      <c r="L838" s="146"/>
    </row>
    <row r="839">
      <c r="A839" s="146"/>
      <c r="B839" s="156"/>
      <c r="C839" s="146"/>
      <c r="D839" s="146"/>
      <c r="E839" s="149"/>
      <c r="L839" s="146"/>
    </row>
    <row r="840">
      <c r="A840" s="146"/>
      <c r="B840" s="156"/>
      <c r="C840" s="146"/>
      <c r="D840" s="146"/>
      <c r="E840" s="149"/>
      <c r="L840" s="146"/>
    </row>
    <row r="841">
      <c r="A841" s="146"/>
      <c r="B841" s="156"/>
      <c r="C841" s="146"/>
      <c r="D841" s="146"/>
      <c r="E841" s="149"/>
      <c r="L841" s="146"/>
    </row>
    <row r="842">
      <c r="A842" s="146"/>
      <c r="B842" s="156"/>
      <c r="C842" s="146"/>
      <c r="D842" s="146"/>
      <c r="E842" s="149"/>
      <c r="L842" s="146"/>
    </row>
    <row r="843">
      <c r="A843" s="146"/>
      <c r="B843" s="156"/>
      <c r="C843" s="146"/>
      <c r="D843" s="146"/>
      <c r="E843" s="149"/>
      <c r="L843" s="146"/>
    </row>
    <row r="844">
      <c r="A844" s="146"/>
      <c r="B844" s="156"/>
      <c r="C844" s="146"/>
      <c r="D844" s="146"/>
      <c r="E844" s="149"/>
      <c r="L844" s="146"/>
    </row>
    <row r="845">
      <c r="A845" s="146"/>
      <c r="B845" s="156"/>
      <c r="C845" s="146"/>
      <c r="D845" s="146"/>
      <c r="E845" s="149"/>
      <c r="L845" s="146"/>
    </row>
    <row r="846">
      <c r="A846" s="146"/>
      <c r="B846" s="156"/>
      <c r="C846" s="146"/>
      <c r="D846" s="146"/>
      <c r="E846" s="149"/>
      <c r="L846" s="146"/>
    </row>
    <row r="847">
      <c r="A847" s="146"/>
      <c r="B847" s="156"/>
      <c r="C847" s="146"/>
      <c r="D847" s="146"/>
      <c r="E847" s="149"/>
      <c r="L847" s="146"/>
    </row>
    <row r="848">
      <c r="A848" s="146"/>
      <c r="B848" s="156"/>
      <c r="C848" s="146"/>
      <c r="D848" s="146"/>
      <c r="E848" s="149"/>
      <c r="L848" s="146"/>
    </row>
    <row r="849">
      <c r="A849" s="146"/>
      <c r="B849" s="156"/>
      <c r="C849" s="146"/>
      <c r="D849" s="146"/>
      <c r="E849" s="149"/>
      <c r="L849" s="146"/>
    </row>
    <row r="850">
      <c r="A850" s="146"/>
      <c r="B850" s="156"/>
      <c r="C850" s="146"/>
      <c r="D850" s="146"/>
      <c r="E850" s="149"/>
      <c r="L850" s="146"/>
    </row>
    <row r="851">
      <c r="A851" s="146"/>
      <c r="B851" s="156"/>
      <c r="C851" s="146"/>
      <c r="D851" s="146"/>
      <c r="E851" s="149"/>
      <c r="L851" s="146"/>
    </row>
    <row r="852">
      <c r="A852" s="146"/>
      <c r="B852" s="156"/>
      <c r="C852" s="146"/>
      <c r="D852" s="146"/>
      <c r="E852" s="149"/>
      <c r="L852" s="146"/>
    </row>
    <row r="853">
      <c r="A853" s="146"/>
      <c r="B853" s="156"/>
      <c r="C853" s="146"/>
      <c r="D853" s="146"/>
      <c r="E853" s="149"/>
      <c r="L853" s="146"/>
    </row>
    <row r="854">
      <c r="A854" s="146"/>
      <c r="B854" s="156"/>
      <c r="C854" s="146"/>
      <c r="D854" s="146"/>
      <c r="E854" s="149"/>
      <c r="L854" s="146"/>
    </row>
    <row r="855">
      <c r="A855" s="146"/>
      <c r="B855" s="156"/>
      <c r="C855" s="146"/>
      <c r="D855" s="146"/>
      <c r="E855" s="149"/>
      <c r="L855" s="146"/>
    </row>
    <row r="856">
      <c r="A856" s="146"/>
      <c r="B856" s="156"/>
      <c r="C856" s="146"/>
      <c r="D856" s="146"/>
      <c r="E856" s="149"/>
      <c r="L856" s="146"/>
    </row>
    <row r="857">
      <c r="A857" s="146"/>
      <c r="B857" s="156"/>
      <c r="C857" s="146"/>
      <c r="D857" s="146"/>
      <c r="E857" s="149"/>
      <c r="L857" s="146"/>
    </row>
    <row r="858">
      <c r="A858" s="146"/>
      <c r="B858" s="156"/>
      <c r="C858" s="146"/>
      <c r="D858" s="146"/>
      <c r="E858" s="149"/>
      <c r="L858" s="146"/>
    </row>
    <row r="859">
      <c r="A859" s="146"/>
      <c r="B859" s="156"/>
      <c r="C859" s="146"/>
      <c r="D859" s="146"/>
      <c r="E859" s="149"/>
      <c r="L859" s="146"/>
    </row>
    <row r="860">
      <c r="A860" s="146"/>
      <c r="B860" s="156"/>
      <c r="C860" s="146"/>
      <c r="D860" s="146"/>
      <c r="E860" s="149"/>
      <c r="L860" s="146"/>
    </row>
    <row r="861">
      <c r="A861" s="146"/>
      <c r="B861" s="156"/>
      <c r="C861" s="146"/>
      <c r="D861" s="146"/>
      <c r="E861" s="149"/>
      <c r="L861" s="146"/>
    </row>
    <row r="862">
      <c r="A862" s="146"/>
      <c r="B862" s="156"/>
      <c r="C862" s="146"/>
      <c r="D862" s="146"/>
      <c r="E862" s="149"/>
      <c r="L862" s="146"/>
    </row>
    <row r="863">
      <c r="A863" s="146"/>
      <c r="B863" s="156"/>
      <c r="C863" s="146"/>
      <c r="D863" s="146"/>
      <c r="E863" s="149"/>
      <c r="L863" s="146"/>
    </row>
    <row r="864">
      <c r="A864" s="146"/>
      <c r="B864" s="156"/>
      <c r="C864" s="146"/>
      <c r="D864" s="146"/>
      <c r="E864" s="149"/>
      <c r="L864" s="146"/>
    </row>
    <row r="865">
      <c r="A865" s="146"/>
      <c r="B865" s="156"/>
      <c r="C865" s="146"/>
      <c r="D865" s="146"/>
      <c r="E865" s="149"/>
      <c r="L865" s="146"/>
    </row>
    <row r="866">
      <c r="A866" s="146"/>
      <c r="B866" s="156"/>
      <c r="C866" s="146"/>
      <c r="D866" s="146"/>
      <c r="E866" s="149"/>
      <c r="L866" s="146"/>
    </row>
    <row r="867">
      <c r="A867" s="146"/>
      <c r="B867" s="156"/>
      <c r="C867" s="146"/>
      <c r="D867" s="146"/>
      <c r="E867" s="149"/>
      <c r="L867" s="146"/>
    </row>
    <row r="868">
      <c r="A868" s="146"/>
      <c r="B868" s="156"/>
      <c r="C868" s="146"/>
      <c r="D868" s="146"/>
      <c r="E868" s="149"/>
      <c r="L868" s="146"/>
    </row>
    <row r="869">
      <c r="A869" s="146"/>
      <c r="B869" s="156"/>
      <c r="C869" s="146"/>
      <c r="D869" s="146"/>
      <c r="E869" s="149"/>
      <c r="L869" s="146"/>
    </row>
    <row r="870">
      <c r="A870" s="146"/>
      <c r="B870" s="156"/>
      <c r="C870" s="146"/>
      <c r="D870" s="146"/>
      <c r="E870" s="149"/>
      <c r="L870" s="146"/>
    </row>
    <row r="871">
      <c r="A871" s="146"/>
      <c r="B871" s="156"/>
      <c r="C871" s="146"/>
      <c r="D871" s="146"/>
      <c r="E871" s="149"/>
      <c r="L871" s="146"/>
    </row>
    <row r="872">
      <c r="A872" s="146"/>
      <c r="B872" s="156"/>
      <c r="C872" s="146"/>
      <c r="D872" s="146"/>
      <c r="E872" s="149"/>
      <c r="L872" s="146"/>
    </row>
    <row r="873">
      <c r="A873" s="146"/>
      <c r="B873" s="156"/>
      <c r="C873" s="146"/>
      <c r="D873" s="146"/>
      <c r="E873" s="149"/>
      <c r="L873" s="146"/>
    </row>
    <row r="874">
      <c r="A874" s="146"/>
      <c r="B874" s="156"/>
      <c r="C874" s="146"/>
      <c r="D874" s="146"/>
      <c r="E874" s="149"/>
      <c r="L874" s="146"/>
    </row>
    <row r="875">
      <c r="A875" s="146"/>
      <c r="B875" s="156"/>
      <c r="C875" s="146"/>
      <c r="D875" s="146"/>
      <c r="E875" s="149"/>
      <c r="L875" s="146"/>
    </row>
    <row r="876">
      <c r="A876" s="146"/>
      <c r="B876" s="156"/>
      <c r="C876" s="146"/>
      <c r="D876" s="146"/>
      <c r="E876" s="149"/>
      <c r="L876" s="146"/>
    </row>
    <row r="877">
      <c r="A877" s="146"/>
      <c r="B877" s="156"/>
      <c r="C877" s="146"/>
      <c r="D877" s="146"/>
      <c r="E877" s="149"/>
      <c r="L877" s="146"/>
    </row>
    <row r="878">
      <c r="A878" s="146"/>
      <c r="B878" s="156"/>
      <c r="C878" s="146"/>
      <c r="D878" s="146"/>
      <c r="E878" s="149"/>
      <c r="L878" s="146"/>
    </row>
    <row r="879">
      <c r="A879" s="146"/>
      <c r="B879" s="156"/>
      <c r="C879" s="146"/>
      <c r="D879" s="146"/>
      <c r="E879" s="149"/>
      <c r="L879" s="146"/>
    </row>
    <row r="880">
      <c r="A880" s="146"/>
      <c r="B880" s="156"/>
      <c r="C880" s="146"/>
      <c r="D880" s="146"/>
      <c r="E880" s="149"/>
      <c r="L880" s="146"/>
    </row>
    <row r="881">
      <c r="A881" s="146"/>
      <c r="B881" s="156"/>
      <c r="C881" s="146"/>
      <c r="D881" s="146"/>
      <c r="E881" s="149"/>
      <c r="L881" s="146"/>
    </row>
    <row r="882">
      <c r="A882" s="146"/>
      <c r="B882" s="156"/>
      <c r="C882" s="146"/>
      <c r="D882" s="146"/>
      <c r="E882" s="149"/>
      <c r="L882" s="146"/>
    </row>
    <row r="883">
      <c r="A883" s="146"/>
      <c r="B883" s="156"/>
      <c r="C883" s="146"/>
      <c r="D883" s="146"/>
      <c r="E883" s="149"/>
      <c r="L883" s="146"/>
    </row>
    <row r="884">
      <c r="A884" s="146"/>
      <c r="B884" s="156"/>
      <c r="C884" s="146"/>
      <c r="D884" s="146"/>
      <c r="E884" s="149"/>
      <c r="L884" s="146"/>
    </row>
    <row r="885">
      <c r="A885" s="146"/>
      <c r="B885" s="156"/>
      <c r="C885" s="146"/>
      <c r="D885" s="146"/>
      <c r="E885" s="149"/>
      <c r="L885" s="146"/>
    </row>
    <row r="886">
      <c r="A886" s="146"/>
      <c r="B886" s="156"/>
      <c r="C886" s="146"/>
      <c r="D886" s="146"/>
      <c r="E886" s="149"/>
      <c r="L886" s="146"/>
    </row>
    <row r="887">
      <c r="A887" s="146"/>
      <c r="B887" s="156"/>
      <c r="C887" s="146"/>
      <c r="D887" s="146"/>
      <c r="E887" s="149"/>
      <c r="L887" s="146"/>
    </row>
    <row r="888">
      <c r="A888" s="146"/>
      <c r="B888" s="156"/>
      <c r="C888" s="146"/>
      <c r="D888" s="146"/>
      <c r="E888" s="149"/>
      <c r="L888" s="146"/>
    </row>
    <row r="889">
      <c r="A889" s="146"/>
      <c r="B889" s="156"/>
      <c r="C889" s="146"/>
      <c r="D889" s="146"/>
      <c r="E889" s="149"/>
      <c r="L889" s="146"/>
    </row>
    <row r="890">
      <c r="A890" s="146"/>
      <c r="B890" s="156"/>
      <c r="C890" s="146"/>
      <c r="D890" s="146"/>
      <c r="E890" s="149"/>
      <c r="L890" s="146"/>
    </row>
    <row r="891">
      <c r="A891" s="146"/>
      <c r="B891" s="156"/>
      <c r="C891" s="146"/>
      <c r="D891" s="146"/>
      <c r="E891" s="149"/>
      <c r="L891" s="146"/>
    </row>
    <row r="892">
      <c r="A892" s="146"/>
      <c r="B892" s="156"/>
      <c r="C892" s="146"/>
      <c r="D892" s="146"/>
      <c r="E892" s="149"/>
      <c r="L892" s="146"/>
    </row>
    <row r="893">
      <c r="A893" s="146"/>
      <c r="B893" s="156"/>
      <c r="C893" s="146"/>
      <c r="D893" s="146"/>
      <c r="E893" s="149"/>
      <c r="L893" s="146"/>
    </row>
    <row r="894">
      <c r="A894" s="146"/>
      <c r="B894" s="156"/>
      <c r="C894" s="146"/>
      <c r="D894" s="146"/>
      <c r="E894" s="149"/>
      <c r="L894" s="146"/>
    </row>
    <row r="895">
      <c r="A895" s="146"/>
      <c r="B895" s="156"/>
      <c r="C895" s="146"/>
      <c r="D895" s="146"/>
      <c r="E895" s="149"/>
      <c r="L895" s="146"/>
    </row>
    <row r="896">
      <c r="A896" s="146"/>
      <c r="B896" s="156"/>
      <c r="C896" s="146"/>
      <c r="D896" s="146"/>
      <c r="E896" s="149"/>
      <c r="L896" s="146"/>
    </row>
    <row r="897">
      <c r="A897" s="146"/>
      <c r="B897" s="156"/>
      <c r="C897" s="146"/>
      <c r="D897" s="146"/>
      <c r="E897" s="149"/>
      <c r="L897" s="146"/>
    </row>
    <row r="898">
      <c r="A898" s="146"/>
      <c r="B898" s="156"/>
      <c r="C898" s="146"/>
      <c r="D898" s="146"/>
      <c r="E898" s="149"/>
      <c r="L898" s="146"/>
    </row>
    <row r="899">
      <c r="A899" s="146"/>
      <c r="B899" s="156"/>
      <c r="C899" s="146"/>
      <c r="D899" s="146"/>
      <c r="E899" s="149"/>
      <c r="L899" s="146"/>
    </row>
    <row r="900">
      <c r="A900" s="146"/>
      <c r="B900" s="156"/>
      <c r="C900" s="146"/>
      <c r="D900" s="146"/>
      <c r="E900" s="149"/>
      <c r="L900" s="146"/>
    </row>
    <row r="901">
      <c r="A901" s="146"/>
      <c r="B901" s="156"/>
      <c r="C901" s="146"/>
      <c r="D901" s="146"/>
      <c r="E901" s="149"/>
      <c r="L901" s="146"/>
    </row>
    <row r="902">
      <c r="A902" s="146"/>
      <c r="B902" s="156"/>
      <c r="C902" s="146"/>
      <c r="D902" s="146"/>
      <c r="E902" s="149"/>
      <c r="L902" s="146"/>
    </row>
    <row r="903">
      <c r="A903" s="146"/>
      <c r="B903" s="156"/>
      <c r="C903" s="146"/>
      <c r="D903" s="146"/>
      <c r="E903" s="149"/>
      <c r="L903" s="146"/>
    </row>
    <row r="904">
      <c r="A904" s="146"/>
      <c r="B904" s="156"/>
      <c r="C904" s="146"/>
      <c r="D904" s="146"/>
      <c r="E904" s="149"/>
      <c r="L904" s="146"/>
    </row>
    <row r="905">
      <c r="A905" s="146"/>
      <c r="B905" s="156"/>
      <c r="C905" s="146"/>
      <c r="D905" s="146"/>
      <c r="E905" s="149"/>
      <c r="L905" s="146"/>
    </row>
    <row r="906">
      <c r="A906" s="146"/>
      <c r="B906" s="156"/>
      <c r="C906" s="146"/>
      <c r="D906" s="146"/>
      <c r="E906" s="149"/>
      <c r="L906" s="146"/>
    </row>
    <row r="907">
      <c r="A907" s="146"/>
      <c r="B907" s="156"/>
      <c r="C907" s="146"/>
      <c r="D907" s="146"/>
      <c r="E907" s="149"/>
      <c r="L907" s="146"/>
    </row>
    <row r="908">
      <c r="A908" s="146"/>
      <c r="B908" s="156"/>
      <c r="C908" s="146"/>
      <c r="D908" s="146"/>
      <c r="E908" s="149"/>
      <c r="L908" s="146"/>
    </row>
    <row r="909">
      <c r="A909" s="146"/>
      <c r="B909" s="156"/>
      <c r="C909" s="146"/>
      <c r="D909" s="146"/>
      <c r="E909" s="149"/>
      <c r="L909" s="146"/>
    </row>
    <row r="910">
      <c r="A910" s="146"/>
      <c r="B910" s="156"/>
      <c r="C910" s="146"/>
      <c r="D910" s="146"/>
      <c r="E910" s="149"/>
      <c r="L910" s="146"/>
    </row>
    <row r="911">
      <c r="A911" s="146"/>
      <c r="B911" s="156"/>
      <c r="C911" s="146"/>
      <c r="D911" s="146"/>
      <c r="E911" s="149"/>
      <c r="L911" s="146"/>
    </row>
    <row r="912">
      <c r="A912" s="146"/>
      <c r="B912" s="156"/>
      <c r="C912" s="146"/>
      <c r="D912" s="146"/>
      <c r="E912" s="149"/>
      <c r="L912" s="146"/>
    </row>
    <row r="913">
      <c r="A913" s="146"/>
      <c r="B913" s="156"/>
      <c r="C913" s="146"/>
      <c r="D913" s="146"/>
      <c r="E913" s="149"/>
      <c r="L913" s="146"/>
    </row>
    <row r="914">
      <c r="A914" s="146"/>
      <c r="B914" s="156"/>
      <c r="C914" s="146"/>
      <c r="D914" s="146"/>
      <c r="E914" s="149"/>
      <c r="L914" s="146"/>
    </row>
    <row r="915">
      <c r="A915" s="146"/>
      <c r="B915" s="156"/>
      <c r="C915" s="146"/>
      <c r="D915" s="146"/>
      <c r="E915" s="149"/>
      <c r="L915" s="146"/>
    </row>
    <row r="916">
      <c r="A916" s="146"/>
      <c r="B916" s="156"/>
      <c r="C916" s="146"/>
      <c r="D916" s="146"/>
      <c r="E916" s="149"/>
      <c r="L916" s="146"/>
    </row>
    <row r="917">
      <c r="A917" s="146"/>
      <c r="B917" s="156"/>
      <c r="C917" s="146"/>
      <c r="D917" s="146"/>
      <c r="E917" s="149"/>
      <c r="L917" s="146"/>
    </row>
    <row r="918">
      <c r="A918" s="146"/>
      <c r="B918" s="156"/>
      <c r="C918" s="146"/>
      <c r="D918" s="146"/>
      <c r="E918" s="149"/>
      <c r="L918" s="146"/>
    </row>
    <row r="919">
      <c r="A919" s="146"/>
      <c r="B919" s="156"/>
      <c r="C919" s="146"/>
      <c r="D919" s="146"/>
      <c r="E919" s="149"/>
      <c r="L919" s="146"/>
    </row>
    <row r="920">
      <c r="A920" s="146"/>
      <c r="B920" s="156"/>
      <c r="C920" s="146"/>
      <c r="D920" s="146"/>
      <c r="E920" s="149"/>
      <c r="L920" s="146"/>
    </row>
    <row r="921">
      <c r="A921" s="146"/>
      <c r="B921" s="156"/>
      <c r="C921" s="146"/>
      <c r="D921" s="146"/>
      <c r="E921" s="149"/>
      <c r="L921" s="146"/>
    </row>
    <row r="922">
      <c r="A922" s="146"/>
      <c r="B922" s="156"/>
      <c r="C922" s="146"/>
      <c r="D922" s="146"/>
      <c r="E922" s="149"/>
      <c r="L922" s="146"/>
    </row>
    <row r="923">
      <c r="A923" s="146"/>
      <c r="B923" s="156"/>
      <c r="C923" s="146"/>
      <c r="D923" s="146"/>
      <c r="E923" s="149"/>
      <c r="L923" s="146"/>
    </row>
    <row r="924">
      <c r="A924" s="146"/>
      <c r="B924" s="156"/>
      <c r="C924" s="146"/>
      <c r="D924" s="146"/>
      <c r="E924" s="149"/>
      <c r="L924" s="146"/>
    </row>
    <row r="925">
      <c r="A925" s="146"/>
      <c r="B925" s="156"/>
      <c r="C925" s="146"/>
      <c r="D925" s="146"/>
      <c r="E925" s="149"/>
      <c r="L925" s="146"/>
    </row>
    <row r="926">
      <c r="A926" s="146"/>
      <c r="B926" s="156"/>
      <c r="C926" s="146"/>
      <c r="D926" s="146"/>
      <c r="E926" s="149"/>
      <c r="L926" s="146"/>
    </row>
    <row r="927">
      <c r="A927" s="146"/>
      <c r="B927" s="156"/>
      <c r="C927" s="146"/>
      <c r="D927" s="146"/>
      <c r="E927" s="149"/>
      <c r="L927" s="146"/>
    </row>
    <row r="928">
      <c r="A928" s="146"/>
      <c r="B928" s="156"/>
      <c r="C928" s="146"/>
      <c r="D928" s="146"/>
      <c r="E928" s="149"/>
      <c r="L928" s="146"/>
    </row>
    <row r="929">
      <c r="A929" s="146"/>
      <c r="B929" s="156"/>
      <c r="C929" s="146"/>
      <c r="D929" s="146"/>
      <c r="E929" s="149"/>
      <c r="L929" s="146"/>
    </row>
    <row r="930">
      <c r="A930" s="146"/>
      <c r="B930" s="156"/>
      <c r="C930" s="146"/>
      <c r="D930" s="146"/>
      <c r="E930" s="149"/>
      <c r="L930" s="146"/>
    </row>
    <row r="931">
      <c r="A931" s="146"/>
      <c r="B931" s="156"/>
      <c r="C931" s="146"/>
      <c r="D931" s="146"/>
      <c r="E931" s="149"/>
      <c r="L931" s="146"/>
    </row>
    <row r="932">
      <c r="A932" s="146"/>
      <c r="B932" s="156"/>
      <c r="C932" s="146"/>
      <c r="D932" s="146"/>
      <c r="E932" s="149"/>
      <c r="L932" s="146"/>
    </row>
    <row r="933">
      <c r="A933" s="146"/>
      <c r="B933" s="156"/>
      <c r="C933" s="146"/>
      <c r="D933" s="146"/>
      <c r="E933" s="149"/>
      <c r="L933" s="146"/>
    </row>
    <row r="934">
      <c r="A934" s="146"/>
      <c r="B934" s="156"/>
      <c r="C934" s="146"/>
      <c r="D934" s="146"/>
      <c r="E934" s="149"/>
      <c r="L934" s="146"/>
    </row>
    <row r="935">
      <c r="A935" s="146"/>
      <c r="B935" s="156"/>
      <c r="C935" s="146"/>
      <c r="D935" s="146"/>
      <c r="E935" s="149"/>
      <c r="L935" s="146"/>
    </row>
    <row r="936">
      <c r="A936" s="146"/>
      <c r="B936" s="156"/>
      <c r="C936" s="146"/>
      <c r="D936" s="146"/>
      <c r="E936" s="149"/>
      <c r="L936" s="146"/>
    </row>
    <row r="937">
      <c r="A937" s="146"/>
      <c r="B937" s="156"/>
      <c r="C937" s="146"/>
      <c r="D937" s="146"/>
      <c r="E937" s="149"/>
      <c r="L937" s="146"/>
    </row>
    <row r="938">
      <c r="A938" s="146"/>
      <c r="B938" s="156"/>
      <c r="C938" s="146"/>
      <c r="D938" s="146"/>
      <c r="E938" s="149"/>
      <c r="L938" s="146"/>
    </row>
    <row r="939">
      <c r="A939" s="146"/>
      <c r="B939" s="156"/>
      <c r="C939" s="146"/>
      <c r="D939" s="146"/>
      <c r="E939" s="149"/>
      <c r="L939" s="146"/>
    </row>
    <row r="940">
      <c r="A940" s="146"/>
      <c r="B940" s="156"/>
      <c r="C940" s="146"/>
      <c r="D940" s="146"/>
      <c r="E940" s="149"/>
      <c r="L940" s="146"/>
    </row>
    <row r="941">
      <c r="A941" s="146"/>
      <c r="B941" s="156"/>
      <c r="C941" s="146"/>
      <c r="D941" s="146"/>
      <c r="E941" s="149"/>
      <c r="L941" s="146"/>
    </row>
    <row r="942">
      <c r="A942" s="146"/>
      <c r="B942" s="156"/>
      <c r="C942" s="146"/>
      <c r="D942" s="146"/>
      <c r="E942" s="149"/>
      <c r="L942" s="146"/>
    </row>
    <row r="943">
      <c r="A943" s="146"/>
      <c r="B943" s="156"/>
      <c r="C943" s="146"/>
      <c r="D943" s="146"/>
      <c r="E943" s="149"/>
      <c r="L943" s="146"/>
    </row>
    <row r="944">
      <c r="A944" s="146"/>
      <c r="B944" s="156"/>
      <c r="C944" s="146"/>
      <c r="D944" s="146"/>
      <c r="E944" s="149"/>
      <c r="L944" s="146"/>
    </row>
    <row r="945">
      <c r="A945" s="146"/>
      <c r="B945" s="156"/>
      <c r="C945" s="146"/>
      <c r="D945" s="146"/>
      <c r="E945" s="149"/>
      <c r="L945" s="146"/>
    </row>
    <row r="946">
      <c r="A946" s="146"/>
      <c r="B946" s="156"/>
      <c r="C946" s="146"/>
      <c r="D946" s="146"/>
      <c r="E946" s="149"/>
      <c r="L946" s="146"/>
    </row>
    <row r="947">
      <c r="A947" s="146"/>
      <c r="B947" s="156"/>
      <c r="C947" s="146"/>
      <c r="D947" s="146"/>
      <c r="E947" s="149"/>
      <c r="L947" s="146"/>
    </row>
    <row r="948">
      <c r="A948" s="146"/>
      <c r="B948" s="156"/>
      <c r="C948" s="146"/>
      <c r="D948" s="146"/>
      <c r="E948" s="149"/>
      <c r="L948" s="146"/>
    </row>
    <row r="949">
      <c r="A949" s="146"/>
      <c r="B949" s="156"/>
      <c r="C949" s="146"/>
      <c r="D949" s="146"/>
      <c r="E949" s="149"/>
      <c r="L949" s="146"/>
    </row>
    <row r="950">
      <c r="A950" s="146"/>
      <c r="B950" s="156"/>
      <c r="C950" s="146"/>
      <c r="D950" s="146"/>
      <c r="E950" s="149"/>
      <c r="L950" s="146"/>
    </row>
    <row r="951">
      <c r="A951" s="146"/>
      <c r="B951" s="156"/>
      <c r="C951" s="146"/>
      <c r="D951" s="146"/>
      <c r="E951" s="149"/>
      <c r="L951" s="146"/>
    </row>
    <row r="952">
      <c r="A952" s="146"/>
      <c r="B952" s="156"/>
      <c r="C952" s="146"/>
      <c r="D952" s="146"/>
      <c r="E952" s="149"/>
      <c r="L952" s="146"/>
    </row>
    <row r="953">
      <c r="A953" s="146"/>
      <c r="B953" s="156"/>
      <c r="C953" s="146"/>
      <c r="D953" s="146"/>
      <c r="E953" s="149"/>
      <c r="L953" s="146"/>
    </row>
    <row r="954">
      <c r="A954" s="146"/>
      <c r="B954" s="156"/>
      <c r="C954" s="146"/>
      <c r="D954" s="146"/>
      <c r="E954" s="149"/>
      <c r="L954" s="146"/>
    </row>
    <row r="955">
      <c r="A955" s="146"/>
      <c r="B955" s="156"/>
      <c r="C955" s="146"/>
      <c r="D955" s="146"/>
      <c r="E955" s="149"/>
      <c r="L955" s="146"/>
    </row>
    <row r="956">
      <c r="A956" s="146"/>
      <c r="B956" s="156"/>
      <c r="C956" s="146"/>
      <c r="D956" s="146"/>
      <c r="E956" s="149"/>
      <c r="L956" s="146"/>
    </row>
    <row r="957">
      <c r="A957" s="146"/>
      <c r="B957" s="156"/>
      <c r="C957" s="146"/>
      <c r="D957" s="146"/>
      <c r="E957" s="149"/>
      <c r="L957" s="146"/>
    </row>
    <row r="958">
      <c r="A958" s="146"/>
      <c r="B958" s="156"/>
      <c r="C958" s="146"/>
      <c r="D958" s="146"/>
      <c r="E958" s="149"/>
      <c r="L958" s="146"/>
    </row>
    <row r="959">
      <c r="A959" s="146"/>
      <c r="B959" s="156"/>
      <c r="C959" s="146"/>
      <c r="D959" s="146"/>
      <c r="E959" s="149"/>
      <c r="L959" s="146"/>
    </row>
    <row r="960">
      <c r="A960" s="146"/>
      <c r="B960" s="156"/>
      <c r="C960" s="146"/>
      <c r="D960" s="146"/>
      <c r="E960" s="149"/>
      <c r="L960" s="146"/>
    </row>
    <row r="961">
      <c r="A961" s="146"/>
      <c r="B961" s="156"/>
      <c r="C961" s="146"/>
      <c r="D961" s="146"/>
      <c r="E961" s="149"/>
      <c r="L961" s="146"/>
    </row>
    <row r="962">
      <c r="A962" s="146"/>
      <c r="B962" s="156"/>
      <c r="C962" s="146"/>
      <c r="D962" s="146"/>
      <c r="E962" s="149"/>
      <c r="L962" s="146"/>
    </row>
    <row r="963">
      <c r="A963" s="146"/>
      <c r="B963" s="156"/>
      <c r="C963" s="146"/>
      <c r="D963" s="146"/>
      <c r="E963" s="149"/>
      <c r="L963" s="146"/>
    </row>
    <row r="964">
      <c r="A964" s="146"/>
      <c r="B964" s="156"/>
      <c r="C964" s="146"/>
      <c r="D964" s="146"/>
      <c r="E964" s="149"/>
      <c r="L964" s="146"/>
    </row>
    <row r="965">
      <c r="A965" s="146"/>
      <c r="B965" s="156"/>
      <c r="C965" s="146"/>
      <c r="D965" s="146"/>
      <c r="E965" s="149"/>
      <c r="L965" s="146"/>
    </row>
    <row r="966">
      <c r="A966" s="146"/>
      <c r="B966" s="156"/>
      <c r="C966" s="146"/>
      <c r="D966" s="146"/>
      <c r="E966" s="149"/>
      <c r="L966" s="146"/>
    </row>
    <row r="967">
      <c r="A967" s="146"/>
      <c r="B967" s="156"/>
      <c r="C967" s="146"/>
      <c r="D967" s="146"/>
      <c r="E967" s="149"/>
      <c r="L967" s="146"/>
    </row>
    <row r="968">
      <c r="A968" s="146"/>
      <c r="B968" s="156"/>
      <c r="C968" s="146"/>
      <c r="D968" s="146"/>
      <c r="E968" s="149"/>
      <c r="L968" s="146"/>
    </row>
    <row r="969">
      <c r="A969" s="146"/>
      <c r="B969" s="156"/>
      <c r="C969" s="146"/>
      <c r="D969" s="146"/>
      <c r="E969" s="149"/>
      <c r="L969" s="146"/>
    </row>
    <row r="970">
      <c r="A970" s="146"/>
      <c r="B970" s="156"/>
      <c r="C970" s="146"/>
      <c r="D970" s="146"/>
      <c r="E970" s="149"/>
      <c r="L970" s="146"/>
    </row>
    <row r="971">
      <c r="A971" s="146"/>
      <c r="B971" s="156"/>
      <c r="C971" s="146"/>
      <c r="D971" s="146"/>
      <c r="E971" s="149"/>
      <c r="L971" s="146"/>
    </row>
    <row r="972">
      <c r="A972" s="146"/>
      <c r="B972" s="156"/>
      <c r="C972" s="146"/>
      <c r="D972" s="146"/>
      <c r="E972" s="149"/>
      <c r="L972" s="146"/>
    </row>
    <row r="973">
      <c r="A973" s="146"/>
      <c r="B973" s="156"/>
      <c r="C973" s="146"/>
      <c r="D973" s="146"/>
      <c r="E973" s="149"/>
      <c r="L973" s="146"/>
    </row>
    <row r="974">
      <c r="A974" s="146"/>
      <c r="B974" s="156"/>
      <c r="C974" s="146"/>
      <c r="D974" s="146"/>
      <c r="E974" s="149"/>
      <c r="L974" s="146"/>
    </row>
    <row r="975">
      <c r="A975" s="146"/>
      <c r="B975" s="156"/>
      <c r="C975" s="146"/>
      <c r="D975" s="146"/>
      <c r="E975" s="149"/>
      <c r="L975" s="146"/>
    </row>
    <row r="976">
      <c r="A976" s="146"/>
      <c r="B976" s="156"/>
      <c r="C976" s="146"/>
      <c r="D976" s="146"/>
      <c r="E976" s="149"/>
      <c r="L976" s="146"/>
    </row>
    <row r="977">
      <c r="A977" s="146"/>
      <c r="B977" s="156"/>
      <c r="C977" s="146"/>
      <c r="D977" s="146"/>
      <c r="E977" s="149"/>
      <c r="L977" s="146"/>
    </row>
    <row r="978">
      <c r="A978" s="146"/>
      <c r="B978" s="156"/>
      <c r="C978" s="146"/>
      <c r="D978" s="146"/>
      <c r="E978" s="149"/>
      <c r="L978" s="146"/>
    </row>
    <row r="979">
      <c r="A979" s="146"/>
      <c r="B979" s="156"/>
      <c r="C979" s="146"/>
      <c r="D979" s="146"/>
      <c r="E979" s="149"/>
      <c r="L979" s="146"/>
    </row>
    <row r="980">
      <c r="A980" s="146"/>
      <c r="B980" s="156"/>
      <c r="C980" s="146"/>
      <c r="D980" s="146"/>
      <c r="E980" s="149"/>
      <c r="L980" s="146"/>
    </row>
    <row r="981">
      <c r="A981" s="146"/>
      <c r="B981" s="156"/>
      <c r="C981" s="146"/>
      <c r="D981" s="146"/>
      <c r="E981" s="149"/>
      <c r="L981" s="146"/>
    </row>
    <row r="982">
      <c r="A982" s="146"/>
      <c r="B982" s="156"/>
      <c r="C982" s="146"/>
      <c r="D982" s="146"/>
      <c r="E982" s="149"/>
      <c r="L982" s="146"/>
    </row>
    <row r="983">
      <c r="A983" s="146"/>
      <c r="B983" s="156"/>
      <c r="C983" s="146"/>
      <c r="D983" s="146"/>
      <c r="E983" s="149"/>
      <c r="L983" s="146"/>
    </row>
    <row r="984">
      <c r="A984" s="146"/>
      <c r="B984" s="156"/>
      <c r="C984" s="146"/>
      <c r="D984" s="146"/>
      <c r="E984" s="149"/>
      <c r="L984" s="146"/>
    </row>
    <row r="985">
      <c r="A985" s="146"/>
      <c r="B985" s="156"/>
      <c r="C985" s="146"/>
      <c r="D985" s="146"/>
      <c r="E985" s="149"/>
      <c r="L985" s="146"/>
    </row>
    <row r="986">
      <c r="A986" s="146"/>
      <c r="B986" s="156"/>
      <c r="C986" s="146"/>
      <c r="D986" s="146"/>
      <c r="E986" s="149"/>
      <c r="L986" s="146"/>
    </row>
    <row r="987">
      <c r="A987" s="146"/>
      <c r="B987" s="156"/>
      <c r="C987" s="146"/>
      <c r="D987" s="146"/>
      <c r="E987" s="149"/>
      <c r="L987" s="146"/>
    </row>
    <row r="988">
      <c r="A988" s="146"/>
      <c r="B988" s="156"/>
      <c r="C988" s="146"/>
      <c r="D988" s="146"/>
      <c r="E988" s="149"/>
      <c r="L988" s="146"/>
    </row>
    <row r="989">
      <c r="A989" s="146"/>
      <c r="B989" s="156"/>
      <c r="C989" s="146"/>
      <c r="D989" s="146"/>
      <c r="E989" s="149"/>
      <c r="L989" s="146"/>
    </row>
    <row r="990">
      <c r="A990" s="146"/>
      <c r="B990" s="156"/>
      <c r="C990" s="146"/>
      <c r="D990" s="146"/>
      <c r="E990" s="149"/>
      <c r="L990" s="146"/>
    </row>
    <row r="991">
      <c r="A991" s="146"/>
      <c r="B991" s="156"/>
      <c r="C991" s="146"/>
      <c r="D991" s="146"/>
      <c r="E991" s="149"/>
      <c r="L991" s="146"/>
    </row>
    <row r="992">
      <c r="A992" s="146"/>
      <c r="B992" s="156"/>
      <c r="C992" s="146"/>
      <c r="D992" s="146"/>
      <c r="E992" s="149"/>
      <c r="L992" s="146"/>
    </row>
    <row r="993">
      <c r="A993" s="146"/>
      <c r="B993" s="156"/>
      <c r="C993" s="146"/>
      <c r="D993" s="146"/>
      <c r="E993" s="149"/>
      <c r="L993" s="146"/>
    </row>
    <row r="994">
      <c r="A994" s="146"/>
      <c r="B994" s="156"/>
      <c r="C994" s="146"/>
      <c r="D994" s="146"/>
      <c r="E994" s="149"/>
      <c r="L994" s="146"/>
    </row>
    <row r="995">
      <c r="A995" s="146"/>
      <c r="B995" s="156"/>
      <c r="C995" s="146"/>
      <c r="D995" s="146"/>
      <c r="E995" s="149"/>
      <c r="L995" s="146"/>
    </row>
    <row r="996">
      <c r="A996" s="146"/>
      <c r="B996" s="156"/>
      <c r="C996" s="146"/>
      <c r="D996" s="146"/>
      <c r="E996" s="149"/>
      <c r="L996" s="146"/>
    </row>
    <row r="997">
      <c r="A997" s="146"/>
      <c r="B997" s="156"/>
      <c r="C997" s="146"/>
      <c r="D997" s="146"/>
      <c r="E997" s="149"/>
      <c r="L997" s="146"/>
    </row>
    <row r="998">
      <c r="A998" s="146"/>
      <c r="B998" s="156"/>
      <c r="C998" s="146"/>
      <c r="D998" s="146"/>
      <c r="E998" s="149"/>
      <c r="L998" s="146"/>
    </row>
    <row r="999">
      <c r="A999" s="146"/>
      <c r="B999" s="156"/>
      <c r="C999" s="146"/>
      <c r="D999" s="146"/>
      <c r="E999" s="149"/>
      <c r="L999" s="146"/>
    </row>
    <row r="1000">
      <c r="A1000" s="146"/>
      <c r="B1000" s="156"/>
      <c r="C1000" s="146"/>
      <c r="D1000" s="146"/>
      <c r="E1000" s="149"/>
      <c r="L1000" s="146"/>
    </row>
    <row r="1001">
      <c r="A1001" s="146"/>
      <c r="B1001" s="156"/>
      <c r="C1001" s="146"/>
      <c r="D1001" s="146"/>
      <c r="E1001" s="149"/>
      <c r="L1001" s="146"/>
    </row>
    <row r="1002">
      <c r="A1002" s="146"/>
      <c r="B1002" s="156"/>
      <c r="C1002" s="146"/>
      <c r="D1002" s="146"/>
      <c r="E1002" s="149"/>
      <c r="L1002" s="146"/>
    </row>
    <row r="1003">
      <c r="A1003" s="146"/>
      <c r="B1003" s="156"/>
      <c r="C1003" s="146"/>
      <c r="D1003" s="146"/>
      <c r="E1003" s="149"/>
      <c r="L1003" s="146"/>
    </row>
    <row r="1004">
      <c r="A1004" s="146"/>
      <c r="B1004" s="156"/>
      <c r="C1004" s="146"/>
      <c r="D1004" s="146"/>
      <c r="E1004" s="149"/>
      <c r="L1004" s="146"/>
    </row>
    <row r="1005">
      <c r="A1005" s="146"/>
      <c r="B1005" s="156"/>
      <c r="C1005" s="146"/>
      <c r="D1005" s="146"/>
      <c r="E1005" s="149"/>
      <c r="L1005" s="146"/>
    </row>
    <row r="1006">
      <c r="A1006" s="146"/>
      <c r="B1006" s="156"/>
      <c r="C1006" s="146"/>
      <c r="D1006" s="146"/>
      <c r="E1006" s="149"/>
      <c r="L1006" s="146"/>
    </row>
    <row r="1007">
      <c r="A1007" s="146"/>
      <c r="B1007" s="156"/>
      <c r="C1007" s="146"/>
      <c r="D1007" s="146"/>
      <c r="E1007" s="149"/>
      <c r="L1007" s="146"/>
    </row>
    <row r="1008">
      <c r="A1008" s="146"/>
      <c r="B1008" s="156"/>
      <c r="C1008" s="146"/>
      <c r="D1008" s="146"/>
      <c r="E1008" s="149"/>
      <c r="L1008" s="146"/>
    </row>
    <row r="1009">
      <c r="A1009" s="146"/>
      <c r="B1009" s="156"/>
      <c r="C1009" s="146"/>
      <c r="D1009" s="146"/>
      <c r="E1009" s="149"/>
      <c r="L1009" s="146"/>
    </row>
  </sheetData>
  <hyperlinks>
    <hyperlink r:id="rId1" ref="E3"/>
    <hyperlink r:id="rId2" ref="E4"/>
    <hyperlink r:id="rId3" ref="H4"/>
    <hyperlink r:id="rId4" ref="E5"/>
    <hyperlink r:id="rId5" ref="H5"/>
    <hyperlink r:id="rId6" ref="E6"/>
    <hyperlink r:id="rId7" ref="H6"/>
    <hyperlink r:id="rId8" ref="E7"/>
    <hyperlink r:id="rId9" ref="H7"/>
    <hyperlink r:id="rId10" ref="E8"/>
    <hyperlink r:id="rId11" ref="H8"/>
    <hyperlink r:id="rId12" ref="E9"/>
    <hyperlink r:id="rId13" ref="H9"/>
    <hyperlink r:id="rId14" ref="E10"/>
    <hyperlink r:id="rId15" ref="H10"/>
    <hyperlink r:id="rId16" ref="E11"/>
    <hyperlink r:id="rId17" ref="H11"/>
    <hyperlink r:id="rId18" ref="E12"/>
    <hyperlink r:id="rId19" ref="H12"/>
    <hyperlink r:id="rId20" ref="E13"/>
    <hyperlink r:id="rId21" ref="H13"/>
    <hyperlink r:id="rId22" ref="B16"/>
    <hyperlink r:id="rId23" ref="B17"/>
    <hyperlink r:id="rId24" ref="B18"/>
    <hyperlink r:id="rId25" ref="B19"/>
    <hyperlink r:id="rId26" ref="G19"/>
    <hyperlink r:id="rId27" ref="B20"/>
    <hyperlink r:id="rId28" ref="G20"/>
    <hyperlink r:id="rId29" ref="B21"/>
    <hyperlink r:id="rId30" ref="B22"/>
    <hyperlink r:id="rId31" ref="B23"/>
    <hyperlink r:id="rId32" ref="A26"/>
  </hyperlinks>
  <drawing r:id="rId3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5"/>
    <col customWidth="1" min="2" max="2" width="13.88"/>
    <col customWidth="1" min="3" max="3" width="16.25"/>
    <col customWidth="1" min="4" max="4" width="15.13"/>
    <col customWidth="1" min="5" max="5" width="36.38"/>
    <col customWidth="1" min="6" max="6" width="60.13"/>
  </cols>
  <sheetData>
    <row r="1" ht="22.5" customHeight="1">
      <c r="A1" s="159" t="s">
        <v>341</v>
      </c>
      <c r="B1" s="159" t="s">
        <v>342</v>
      </c>
      <c r="C1" s="159" t="s">
        <v>343</v>
      </c>
      <c r="D1" s="159" t="s">
        <v>344</v>
      </c>
      <c r="E1" s="159" t="s">
        <v>345</v>
      </c>
      <c r="F1" s="159" t="s">
        <v>346</v>
      </c>
    </row>
    <row r="2" ht="33.0" customHeight="1">
      <c r="A2" s="160" t="s">
        <v>347</v>
      </c>
      <c r="B2" s="161" t="s">
        <v>348</v>
      </c>
      <c r="C2" s="162" t="s">
        <v>349</v>
      </c>
      <c r="D2" s="162" t="s">
        <v>350</v>
      </c>
      <c r="E2" s="160" t="s">
        <v>351</v>
      </c>
      <c r="F2" s="160" t="s">
        <v>352</v>
      </c>
    </row>
    <row r="3" ht="33.0" customHeight="1">
      <c r="A3" s="160" t="s">
        <v>353</v>
      </c>
      <c r="B3" s="161" t="s">
        <v>348</v>
      </c>
      <c r="C3" s="162" t="s">
        <v>354</v>
      </c>
      <c r="D3" s="162" t="s">
        <v>355</v>
      </c>
      <c r="E3" s="160" t="s">
        <v>356</v>
      </c>
      <c r="F3" s="160" t="s">
        <v>357</v>
      </c>
    </row>
    <row r="4" ht="33.0" customHeight="1">
      <c r="A4" s="160" t="s">
        <v>358</v>
      </c>
      <c r="B4" s="161" t="s">
        <v>348</v>
      </c>
      <c r="C4" s="162" t="s">
        <v>359</v>
      </c>
      <c r="D4" s="162" t="s">
        <v>360</v>
      </c>
      <c r="E4" s="160" t="s">
        <v>361</v>
      </c>
      <c r="F4" s="160" t="s">
        <v>362</v>
      </c>
    </row>
    <row r="5" ht="33.0" customHeight="1">
      <c r="A5" s="160" t="s">
        <v>363</v>
      </c>
      <c r="B5" s="161" t="s">
        <v>348</v>
      </c>
      <c r="C5" s="162" t="s">
        <v>364</v>
      </c>
      <c r="D5" s="162" t="s">
        <v>365</v>
      </c>
      <c r="E5" s="160" t="s">
        <v>366</v>
      </c>
      <c r="F5" s="160" t="s">
        <v>367</v>
      </c>
    </row>
    <row r="6" ht="33.0" customHeight="1">
      <c r="A6" s="160" t="s">
        <v>368</v>
      </c>
      <c r="B6" s="161" t="s">
        <v>348</v>
      </c>
      <c r="C6" s="162" t="s">
        <v>369</v>
      </c>
      <c r="D6" s="162" t="s">
        <v>370</v>
      </c>
      <c r="E6" s="160" t="s">
        <v>371</v>
      </c>
      <c r="F6" s="160" t="s">
        <v>372</v>
      </c>
    </row>
    <row r="7" ht="33.0" customHeight="1">
      <c r="A7" s="160" t="s">
        <v>373</v>
      </c>
      <c r="B7" s="163" t="s">
        <v>374</v>
      </c>
      <c r="C7" s="164"/>
      <c r="D7" s="160"/>
      <c r="E7" s="160" t="s">
        <v>375</v>
      </c>
      <c r="F7" s="160" t="s">
        <v>376</v>
      </c>
    </row>
    <row r="8" ht="33.0" customHeight="1">
      <c r="A8" s="160" t="s">
        <v>377</v>
      </c>
      <c r="B8" s="163" t="s">
        <v>374</v>
      </c>
      <c r="C8" s="164"/>
      <c r="D8" s="160"/>
      <c r="E8" s="160" t="s">
        <v>378</v>
      </c>
      <c r="F8" s="160" t="s">
        <v>379</v>
      </c>
    </row>
    <row r="9" ht="33.0" customHeight="1">
      <c r="A9" s="160" t="s">
        <v>380</v>
      </c>
      <c r="B9" s="161" t="s">
        <v>348</v>
      </c>
      <c r="C9" s="162" t="s">
        <v>381</v>
      </c>
      <c r="D9" s="162" t="s">
        <v>382</v>
      </c>
      <c r="E9" s="160" t="s">
        <v>383</v>
      </c>
      <c r="F9" s="160" t="s">
        <v>384</v>
      </c>
    </row>
    <row r="10" ht="33.0" customHeight="1">
      <c r="A10" s="160" t="s">
        <v>385</v>
      </c>
      <c r="B10" s="161" t="s">
        <v>348</v>
      </c>
      <c r="C10" s="162" t="s">
        <v>386</v>
      </c>
      <c r="D10" s="162" t="s">
        <v>387</v>
      </c>
      <c r="E10" s="160" t="s">
        <v>366</v>
      </c>
      <c r="F10" s="160" t="s">
        <v>388</v>
      </c>
    </row>
    <row r="11" ht="33.0" customHeight="1">
      <c r="A11" s="160" t="s">
        <v>389</v>
      </c>
      <c r="B11" s="161" t="s">
        <v>348</v>
      </c>
      <c r="C11" s="162" t="s">
        <v>390</v>
      </c>
      <c r="D11" s="162" t="s">
        <v>391</v>
      </c>
      <c r="E11" s="160" t="s">
        <v>392</v>
      </c>
      <c r="F11" s="160" t="s">
        <v>393</v>
      </c>
    </row>
    <row r="12" ht="33.0" customHeight="1">
      <c r="A12" s="160" t="s">
        <v>394</v>
      </c>
      <c r="B12" s="161" t="s">
        <v>348</v>
      </c>
      <c r="C12" s="162" t="s">
        <v>395</v>
      </c>
      <c r="D12" s="162" t="s">
        <v>396</v>
      </c>
      <c r="E12" s="160" t="s">
        <v>397</v>
      </c>
      <c r="F12" s="160" t="s">
        <v>398</v>
      </c>
    </row>
    <row r="13" ht="33.0" customHeight="1">
      <c r="A13" s="160" t="s">
        <v>399</v>
      </c>
      <c r="B13" s="163" t="s">
        <v>374</v>
      </c>
      <c r="C13" s="164"/>
      <c r="D13" s="160"/>
      <c r="E13" s="160" t="s">
        <v>400</v>
      </c>
      <c r="F13" s="160" t="s">
        <v>401</v>
      </c>
    </row>
  </sheetData>
  <dataValidations>
    <dataValidation type="list" allowBlank="1" sqref="B2:B13">
      <formula1>"Sin cargar,Cargado,Descartado"</formula1>
    </dataValidation>
  </dataValidations>
  <hyperlinks>
    <hyperlink r:id="rId1" ref="C2"/>
    <hyperlink r:id="rId2" ref="D2"/>
    <hyperlink r:id="rId3" ref="C3"/>
    <hyperlink r:id="rId4" ref="D3"/>
    <hyperlink r:id="rId5" ref="C4"/>
    <hyperlink r:id="rId6" ref="D4"/>
    <hyperlink r:id="rId7" ref="C5"/>
    <hyperlink r:id="rId8" ref="D5"/>
    <hyperlink r:id="rId9" ref="C6"/>
    <hyperlink r:id="rId10" ref="D6"/>
    <hyperlink r:id="rId11" ref="C9"/>
    <hyperlink r:id="rId12" ref="D9"/>
    <hyperlink r:id="rId13" ref="C10"/>
    <hyperlink r:id="rId14" ref="D10"/>
    <hyperlink r:id="rId15" ref="C11"/>
    <hyperlink r:id="rId16" ref="D11"/>
    <hyperlink r:id="rId17" ref="C12"/>
    <hyperlink r:id="rId18" ref="D12"/>
  </hyperlinks>
  <drawing r:id="rId19"/>
  <tableParts count="1">
    <tablePart r:id="rId21"/>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13"/>
    <col customWidth="1" min="2" max="2" width="13.88"/>
    <col customWidth="1" min="3" max="3" width="16.13"/>
    <col customWidth="1" min="4" max="4" width="15.25"/>
    <col customWidth="1" min="5" max="5" width="17.13"/>
    <col customWidth="1" min="6" max="6" width="79.75"/>
  </cols>
  <sheetData>
    <row r="1" ht="22.5" customHeight="1">
      <c r="A1" s="159" t="s">
        <v>341</v>
      </c>
      <c r="B1" s="159" t="s">
        <v>342</v>
      </c>
      <c r="C1" s="159" t="s">
        <v>343</v>
      </c>
      <c r="D1" s="159" t="s">
        <v>344</v>
      </c>
      <c r="E1" s="159" t="s">
        <v>345</v>
      </c>
      <c r="F1" s="159" t="s">
        <v>346</v>
      </c>
    </row>
    <row r="2" ht="38.25" customHeight="1">
      <c r="A2" s="160" t="s">
        <v>402</v>
      </c>
      <c r="B2" s="161" t="s">
        <v>374</v>
      </c>
      <c r="C2" s="162" t="s">
        <v>403</v>
      </c>
      <c r="D2" s="162" t="s">
        <v>404</v>
      </c>
      <c r="E2" s="160" t="s">
        <v>405</v>
      </c>
      <c r="F2" s="160" t="s">
        <v>406</v>
      </c>
    </row>
    <row r="3" ht="38.25" customHeight="1">
      <c r="A3" s="160" t="s">
        <v>407</v>
      </c>
      <c r="B3" s="161" t="s">
        <v>374</v>
      </c>
      <c r="C3" s="162" t="s">
        <v>408</v>
      </c>
      <c r="D3" s="162" t="s">
        <v>409</v>
      </c>
      <c r="E3" s="160" t="s">
        <v>405</v>
      </c>
      <c r="F3" s="160" t="s">
        <v>410</v>
      </c>
    </row>
    <row r="4" ht="38.25" customHeight="1">
      <c r="A4" s="160" t="s">
        <v>411</v>
      </c>
      <c r="B4" s="161" t="s">
        <v>374</v>
      </c>
      <c r="C4" s="162" t="s">
        <v>412</v>
      </c>
      <c r="D4" s="162" t="s">
        <v>413</v>
      </c>
      <c r="E4" s="160" t="s">
        <v>405</v>
      </c>
      <c r="F4" s="160" t="s">
        <v>414</v>
      </c>
    </row>
    <row r="5" ht="38.25" customHeight="1">
      <c r="A5" s="160" t="s">
        <v>415</v>
      </c>
      <c r="B5" s="161" t="s">
        <v>374</v>
      </c>
      <c r="C5" s="162" t="s">
        <v>416</v>
      </c>
      <c r="D5" s="162" t="s">
        <v>417</v>
      </c>
      <c r="E5" s="160" t="s">
        <v>405</v>
      </c>
      <c r="F5" s="160" t="s">
        <v>418</v>
      </c>
    </row>
    <row r="6" ht="38.25" customHeight="1">
      <c r="A6" s="160" t="s">
        <v>419</v>
      </c>
      <c r="B6" s="161" t="s">
        <v>374</v>
      </c>
      <c r="C6" s="162" t="s">
        <v>420</v>
      </c>
      <c r="D6" s="162" t="s">
        <v>421</v>
      </c>
      <c r="E6" s="160" t="s">
        <v>405</v>
      </c>
      <c r="F6" s="160" t="s">
        <v>422</v>
      </c>
    </row>
  </sheetData>
  <dataValidations>
    <dataValidation type="list" allowBlank="1" sqref="B2:B6">
      <formula1>"Sin cargar,Cargado,Descartado"</formula1>
    </dataValidation>
  </dataValidations>
  <hyperlinks>
    <hyperlink r:id="rId1" ref="C2"/>
    <hyperlink r:id="rId2" ref="D2"/>
    <hyperlink r:id="rId3" ref="C3"/>
    <hyperlink r:id="rId4" ref="D3"/>
    <hyperlink r:id="rId5" ref="C4"/>
    <hyperlink r:id="rId6" ref="D4"/>
    <hyperlink r:id="rId7" ref="C5"/>
    <hyperlink r:id="rId8" ref="D5"/>
    <hyperlink r:id="rId9" ref="C6"/>
    <hyperlink r:id="rId10" ref="D6"/>
  </hyperlinks>
  <drawing r:id="rId11"/>
  <tableParts count="1">
    <tablePart r:id="rId1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65" t="s">
        <v>423</v>
      </c>
      <c r="B1" s="166"/>
      <c r="C1" s="166"/>
      <c r="D1" s="166"/>
      <c r="E1" s="166"/>
      <c r="F1" s="166"/>
      <c r="G1" s="166"/>
      <c r="H1" s="166"/>
      <c r="I1" s="166"/>
      <c r="J1" s="166"/>
      <c r="K1" s="166"/>
      <c r="L1" s="166"/>
      <c r="M1" s="166"/>
      <c r="N1" s="167"/>
      <c r="O1" s="3"/>
      <c r="P1" s="3"/>
      <c r="Q1" s="3"/>
      <c r="R1" s="3"/>
      <c r="S1" s="3"/>
      <c r="T1" s="3"/>
      <c r="U1" s="3"/>
      <c r="V1" s="3"/>
      <c r="W1" s="3"/>
      <c r="X1" s="3"/>
      <c r="Y1" s="3"/>
      <c r="Z1" s="3"/>
      <c r="AA1" s="3"/>
      <c r="AB1" s="3"/>
      <c r="AC1" s="3"/>
      <c r="AD1" s="3"/>
      <c r="AE1" s="3"/>
    </row>
    <row r="2">
      <c r="A2" s="168" t="s">
        <v>424</v>
      </c>
      <c r="B2" s="169" t="s">
        <v>425</v>
      </c>
      <c r="C2" s="170" t="s">
        <v>426</v>
      </c>
      <c r="D2" s="169" t="s">
        <v>427</v>
      </c>
      <c r="E2" s="170" t="s">
        <v>428</v>
      </c>
      <c r="F2" s="171" t="s">
        <v>429</v>
      </c>
      <c r="G2" s="171" t="s">
        <v>430</v>
      </c>
      <c r="H2" s="172" t="s">
        <v>431</v>
      </c>
      <c r="I2" s="169" t="s">
        <v>432</v>
      </c>
      <c r="J2" s="173" t="s">
        <v>433</v>
      </c>
      <c r="K2" s="174" t="s">
        <v>434</v>
      </c>
      <c r="L2" s="175" t="s">
        <v>435</v>
      </c>
      <c r="M2" s="176" t="s">
        <v>436</v>
      </c>
      <c r="N2" s="170" t="s">
        <v>437</v>
      </c>
      <c r="O2" s="3"/>
      <c r="P2" s="3"/>
      <c r="Q2" s="3"/>
      <c r="R2" s="3"/>
      <c r="S2" s="3"/>
      <c r="T2" s="3"/>
      <c r="U2" s="3"/>
      <c r="V2" s="3"/>
      <c r="W2" s="3"/>
      <c r="X2" s="3"/>
      <c r="Y2" s="3"/>
      <c r="Z2" s="3"/>
      <c r="AA2" s="3"/>
      <c r="AB2" s="3"/>
      <c r="AC2" s="3"/>
      <c r="AD2" s="3"/>
      <c r="AE2" s="3"/>
    </row>
    <row r="3">
      <c r="A3" s="168" t="s">
        <v>438</v>
      </c>
      <c r="B3" s="177">
        <f>B23</f>
        <v>0</v>
      </c>
      <c r="C3" s="178">
        <f t="shared" ref="C3:C4" si="3">IF(B3&gt;0,(N3*1000)/B3,0)</f>
        <v>0</v>
      </c>
      <c r="D3" s="177">
        <f t="shared" ref="D3:E3" si="1">D23</f>
        <v>0</v>
      </c>
      <c r="E3" s="178">
        <f t="shared" si="1"/>
        <v>0</v>
      </c>
      <c r="F3" s="179" t="str">
        <f t="shared" ref="F3:F4" si="4">G3/D3</f>
        <v>#DIV/0!</v>
      </c>
      <c r="G3" s="177">
        <f t="shared" ref="G3:N3" si="2">G23</f>
        <v>0</v>
      </c>
      <c r="H3" s="180" t="str">
        <f t="shared" si="2"/>
        <v>#DIV/0!</v>
      </c>
      <c r="I3" s="179" t="str">
        <f t="shared" si="2"/>
        <v>#DIV/0!</v>
      </c>
      <c r="J3" s="177">
        <f t="shared" si="2"/>
        <v>0</v>
      </c>
      <c r="K3" s="180" t="str">
        <f t="shared" si="2"/>
        <v>#DIV/0!</v>
      </c>
      <c r="L3" s="179">
        <f t="shared" si="2"/>
        <v>0</v>
      </c>
      <c r="M3" s="181" t="str">
        <f t="shared" si="2"/>
        <v>#DIV/0!</v>
      </c>
      <c r="N3" s="178">
        <f t="shared" si="2"/>
        <v>0</v>
      </c>
      <c r="O3" s="3"/>
      <c r="P3" s="3"/>
      <c r="Q3" s="3"/>
      <c r="R3" s="3"/>
      <c r="S3" s="3"/>
      <c r="T3" s="3"/>
      <c r="U3" s="3"/>
      <c r="V3" s="3"/>
      <c r="W3" s="3"/>
      <c r="X3" s="3"/>
      <c r="Y3" s="3"/>
      <c r="Z3" s="3"/>
      <c r="AA3" s="3"/>
      <c r="AB3" s="3"/>
      <c r="AC3" s="3"/>
      <c r="AD3" s="3"/>
      <c r="AE3" s="3"/>
    </row>
    <row r="4">
      <c r="A4" s="182" t="s">
        <v>439</v>
      </c>
      <c r="B4" s="183">
        <f>SUM(B3)</f>
        <v>0</v>
      </c>
      <c r="C4" s="184">
        <f t="shared" si="3"/>
        <v>0</v>
      </c>
      <c r="D4" s="183">
        <f>SUM(D3)</f>
        <v>0</v>
      </c>
      <c r="E4" s="184">
        <f>IF(D4&gt;0,N4/D4,0)</f>
        <v>0</v>
      </c>
      <c r="F4" s="185" t="str">
        <f t="shared" si="4"/>
        <v>#DIV/0!</v>
      </c>
      <c r="G4" s="183">
        <f>SUM(G3)</f>
        <v>0</v>
      </c>
      <c r="H4" s="186" t="str">
        <f>N4/G4</f>
        <v>#DIV/0!</v>
      </c>
      <c r="I4" s="185" t="str">
        <f>J4/G4</f>
        <v>#DIV/0!</v>
      </c>
      <c r="J4" s="183">
        <f>SUM(J3)</f>
        <v>0</v>
      </c>
      <c r="K4" s="187" t="str">
        <f>N4/J4</f>
        <v>#DIV/0!</v>
      </c>
      <c r="L4" s="185">
        <f>IF(D4&gt;0,D4/B4,0)</f>
        <v>0</v>
      </c>
      <c r="M4" s="188" t="str">
        <f>AVERAGE(M3)</f>
        <v>#DIV/0!</v>
      </c>
      <c r="N4" s="189">
        <f>SUM(N3)</f>
        <v>0</v>
      </c>
      <c r="O4" s="3"/>
      <c r="P4" s="3"/>
      <c r="Q4" s="3"/>
      <c r="R4" s="3"/>
      <c r="S4" s="3"/>
      <c r="T4" s="3"/>
      <c r="U4" s="3"/>
      <c r="V4" s="3"/>
      <c r="W4" s="3"/>
      <c r="X4" s="3"/>
      <c r="Y4" s="3"/>
      <c r="Z4" s="3"/>
      <c r="AA4" s="3"/>
      <c r="AB4" s="3"/>
      <c r="AC4" s="3"/>
      <c r="AD4" s="3"/>
      <c r="AE4" s="3"/>
    </row>
    <row r="5">
      <c r="A5" s="190"/>
      <c r="B5" s="191"/>
      <c r="C5" s="192"/>
      <c r="D5" s="191"/>
      <c r="E5" s="192"/>
      <c r="F5" s="193"/>
      <c r="G5" s="193"/>
      <c r="H5" s="194"/>
      <c r="I5" s="3"/>
      <c r="J5" s="193"/>
      <c r="K5" s="194"/>
      <c r="L5" s="195"/>
      <c r="M5" s="196"/>
      <c r="N5" s="197"/>
      <c r="O5" s="3"/>
      <c r="P5" s="3"/>
      <c r="Q5" s="3"/>
      <c r="R5" s="3"/>
      <c r="S5" s="3"/>
      <c r="T5" s="3"/>
      <c r="U5" s="3"/>
      <c r="V5" s="3"/>
      <c r="W5" s="3"/>
      <c r="X5" s="3"/>
      <c r="Y5" s="3"/>
      <c r="Z5" s="3"/>
      <c r="AA5" s="3"/>
      <c r="AB5" s="3"/>
      <c r="AC5" s="3"/>
      <c r="AD5" s="3"/>
      <c r="AE5" s="3"/>
    </row>
    <row r="6">
      <c r="A6" s="198" t="s">
        <v>440</v>
      </c>
      <c r="B6" s="199"/>
      <c r="C6" s="199"/>
      <c r="D6" s="199"/>
      <c r="E6" s="199"/>
      <c r="F6" s="199"/>
      <c r="G6" s="199"/>
      <c r="H6" s="199"/>
      <c r="I6" s="199"/>
      <c r="J6" s="199"/>
      <c r="K6" s="199"/>
      <c r="L6" s="199"/>
      <c r="M6" s="199"/>
      <c r="N6" s="199"/>
      <c r="O6" s="200"/>
      <c r="P6" s="3"/>
      <c r="Q6" s="3"/>
      <c r="R6" s="3"/>
      <c r="S6" s="3"/>
      <c r="T6" s="3"/>
      <c r="U6" s="3"/>
      <c r="V6" s="3"/>
      <c r="W6" s="3"/>
      <c r="X6" s="3"/>
      <c r="Y6" s="3"/>
      <c r="Z6" s="3"/>
      <c r="AA6" s="3"/>
      <c r="AB6" s="3"/>
      <c r="AC6" s="3"/>
      <c r="AD6" s="3"/>
      <c r="AE6" s="3"/>
    </row>
    <row r="7">
      <c r="A7" s="201"/>
      <c r="B7" s="202"/>
      <c r="C7" s="202"/>
      <c r="D7" s="202"/>
      <c r="E7" s="202"/>
      <c r="F7" s="202"/>
      <c r="G7" s="202"/>
      <c r="H7" s="202"/>
      <c r="I7" s="202"/>
      <c r="J7" s="202"/>
      <c r="K7" s="202"/>
      <c r="L7" s="202"/>
      <c r="M7" s="202"/>
      <c r="N7" s="202"/>
      <c r="O7" s="203"/>
      <c r="P7" s="3"/>
      <c r="Q7" s="3"/>
      <c r="R7" s="3"/>
      <c r="S7" s="3"/>
      <c r="T7" s="3"/>
      <c r="U7" s="3"/>
      <c r="V7" s="3"/>
      <c r="W7" s="3"/>
      <c r="X7" s="3"/>
      <c r="Y7" s="3"/>
      <c r="Z7" s="3"/>
      <c r="AA7" s="3"/>
      <c r="AB7" s="3"/>
      <c r="AC7" s="3"/>
      <c r="AD7" s="3"/>
      <c r="AE7" s="3"/>
    </row>
    <row r="8">
      <c r="A8" s="204" t="s">
        <v>441</v>
      </c>
      <c r="B8" s="169" t="s">
        <v>425</v>
      </c>
      <c r="C8" s="170" t="s">
        <v>426</v>
      </c>
      <c r="D8" s="169" t="s">
        <v>427</v>
      </c>
      <c r="E8" s="170" t="s">
        <v>428</v>
      </c>
      <c r="F8" s="171" t="s">
        <v>429</v>
      </c>
      <c r="G8" s="171" t="s">
        <v>430</v>
      </c>
      <c r="H8" s="172" t="s">
        <v>431</v>
      </c>
      <c r="I8" s="169" t="s">
        <v>432</v>
      </c>
      <c r="J8" s="205" t="s">
        <v>433</v>
      </c>
      <c r="K8" s="172" t="s">
        <v>442</v>
      </c>
      <c r="L8" s="175" t="s">
        <v>435</v>
      </c>
      <c r="M8" s="206" t="s">
        <v>436</v>
      </c>
      <c r="N8" s="207" t="s">
        <v>437</v>
      </c>
      <c r="O8" s="208" t="s">
        <v>443</v>
      </c>
      <c r="P8" s="3"/>
      <c r="Q8" s="3"/>
      <c r="R8" s="3"/>
      <c r="S8" s="3"/>
      <c r="T8" s="3"/>
      <c r="U8" s="3"/>
      <c r="V8" s="3"/>
      <c r="W8" s="3"/>
      <c r="X8" s="3"/>
      <c r="Y8" s="3"/>
      <c r="Z8" s="3"/>
      <c r="AA8" s="3"/>
      <c r="AB8" s="3"/>
      <c r="AC8" s="3"/>
      <c r="AD8" s="3"/>
      <c r="AE8" s="3"/>
    </row>
    <row r="9">
      <c r="A9" s="209">
        <v>45971.0</v>
      </c>
      <c r="B9" s="210"/>
      <c r="C9" s="178">
        <f t="shared" ref="C9:C23" si="5">IF(B9&gt;0,(N9*1000)/B9,0)</f>
        <v>0</v>
      </c>
      <c r="D9" s="210"/>
      <c r="E9" s="178">
        <f t="shared" ref="E9:E12" si="6">IF(D9&gt;0,N9/D9,0)</f>
        <v>0</v>
      </c>
      <c r="F9" s="179" t="str">
        <f t="shared" ref="F9:F23" si="7">G9/D9</f>
        <v>#DIV/0!</v>
      </c>
      <c r="G9" s="210"/>
      <c r="H9" s="180" t="str">
        <f t="shared" ref="H9:H11" si="8">N9/G9</f>
        <v>#DIV/0!</v>
      </c>
      <c r="I9" s="179" t="str">
        <f t="shared" ref="I9:I11" si="9">J9/G9</f>
        <v>#DIV/0!</v>
      </c>
      <c r="J9" s="210"/>
      <c r="K9" s="180" t="str">
        <f t="shared" ref="K9:K13" si="10">N9/J9</f>
        <v>#DIV/0!</v>
      </c>
      <c r="L9" s="179">
        <f t="shared" ref="L9:L23" si="11">IF(D9&gt;0,D9/B9,0)</f>
        <v>0</v>
      </c>
      <c r="M9" s="211"/>
      <c r="N9" s="212"/>
      <c r="O9" s="213"/>
      <c r="P9" s="3"/>
      <c r="Q9" s="3"/>
      <c r="R9" s="3"/>
      <c r="S9" s="3"/>
      <c r="T9" s="3"/>
      <c r="U9" s="3"/>
      <c r="V9" s="3"/>
      <c r="W9" s="3"/>
      <c r="X9" s="3"/>
      <c r="Y9" s="3"/>
      <c r="Z9" s="3"/>
      <c r="AA9" s="3"/>
      <c r="AB9" s="3"/>
      <c r="AC9" s="3"/>
      <c r="AD9" s="3"/>
      <c r="AE9" s="3"/>
    </row>
    <row r="10">
      <c r="A10" s="209">
        <v>45972.0</v>
      </c>
      <c r="B10" s="210"/>
      <c r="C10" s="178">
        <f t="shared" si="5"/>
        <v>0</v>
      </c>
      <c r="D10" s="210"/>
      <c r="E10" s="178">
        <f t="shared" si="6"/>
        <v>0</v>
      </c>
      <c r="F10" s="179" t="str">
        <f t="shared" si="7"/>
        <v>#DIV/0!</v>
      </c>
      <c r="G10" s="210"/>
      <c r="H10" s="180" t="str">
        <f t="shared" si="8"/>
        <v>#DIV/0!</v>
      </c>
      <c r="I10" s="179" t="str">
        <f t="shared" si="9"/>
        <v>#DIV/0!</v>
      </c>
      <c r="J10" s="210"/>
      <c r="K10" s="180" t="str">
        <f t="shared" si="10"/>
        <v>#DIV/0!</v>
      </c>
      <c r="L10" s="179">
        <f t="shared" si="11"/>
        <v>0</v>
      </c>
      <c r="M10" s="211"/>
      <c r="N10" s="212"/>
      <c r="O10" s="213"/>
      <c r="P10" s="3"/>
      <c r="Q10" s="3"/>
      <c r="R10" s="3"/>
      <c r="S10" s="3"/>
      <c r="T10" s="3"/>
      <c r="U10" s="3"/>
      <c r="V10" s="3"/>
      <c r="W10" s="3"/>
      <c r="X10" s="3"/>
      <c r="Y10" s="3"/>
      <c r="Z10" s="3"/>
      <c r="AA10" s="3"/>
      <c r="AB10" s="3"/>
      <c r="AC10" s="3"/>
      <c r="AD10" s="3"/>
      <c r="AE10" s="3"/>
    </row>
    <row r="11">
      <c r="A11" s="209">
        <v>45973.0</v>
      </c>
      <c r="B11" s="210"/>
      <c r="C11" s="214">
        <f t="shared" si="5"/>
        <v>0</v>
      </c>
      <c r="D11" s="210"/>
      <c r="E11" s="214">
        <f t="shared" si="6"/>
        <v>0</v>
      </c>
      <c r="F11" s="215" t="str">
        <f t="shared" si="7"/>
        <v>#DIV/0!</v>
      </c>
      <c r="G11" s="210"/>
      <c r="H11" s="216" t="str">
        <f t="shared" si="8"/>
        <v>#DIV/0!</v>
      </c>
      <c r="I11" s="215" t="str">
        <f t="shared" si="9"/>
        <v>#DIV/0!</v>
      </c>
      <c r="J11" s="210"/>
      <c r="K11" s="216" t="str">
        <f t="shared" si="10"/>
        <v>#DIV/0!</v>
      </c>
      <c r="L11" s="215">
        <f t="shared" si="11"/>
        <v>0</v>
      </c>
      <c r="M11" s="217"/>
      <c r="N11" s="218"/>
      <c r="O11" s="213"/>
      <c r="P11" s="3"/>
      <c r="Q11" s="3"/>
      <c r="R11" s="3"/>
      <c r="S11" s="3"/>
      <c r="T11" s="3"/>
      <c r="U11" s="3"/>
      <c r="V11" s="3"/>
      <c r="W11" s="3"/>
      <c r="X11" s="3"/>
      <c r="Y11" s="3"/>
      <c r="Z11" s="3"/>
      <c r="AA11" s="3"/>
      <c r="AB11" s="3"/>
      <c r="AC11" s="3"/>
      <c r="AD11" s="3"/>
      <c r="AE11" s="3"/>
    </row>
    <row r="12">
      <c r="A12" s="209">
        <v>45974.0</v>
      </c>
      <c r="B12" s="177"/>
      <c r="C12" s="178">
        <f t="shared" si="5"/>
        <v>0</v>
      </c>
      <c r="D12" s="210"/>
      <c r="E12" s="178">
        <f t="shared" si="6"/>
        <v>0</v>
      </c>
      <c r="F12" s="179" t="str">
        <f t="shared" si="7"/>
        <v>#DIV/0!</v>
      </c>
      <c r="G12" s="210"/>
      <c r="H12" s="180" t="str">
        <f t="shared" ref="H12:H17" si="12">N12/$G$12</f>
        <v>#DIV/0!</v>
      </c>
      <c r="I12" s="179" t="str">
        <f>J12/$G$12</f>
        <v>#DIV/0!</v>
      </c>
      <c r="J12" s="210"/>
      <c r="K12" s="216" t="str">
        <f t="shared" si="10"/>
        <v>#DIV/0!</v>
      </c>
      <c r="L12" s="215">
        <f t="shared" si="11"/>
        <v>0</v>
      </c>
      <c r="M12" s="211"/>
      <c r="N12" s="219"/>
      <c r="O12" s="213"/>
      <c r="P12" s="3"/>
      <c r="Q12" s="3"/>
      <c r="R12" s="3"/>
      <c r="S12" s="3"/>
      <c r="T12" s="3"/>
      <c r="U12" s="3"/>
      <c r="V12" s="3"/>
      <c r="W12" s="3"/>
      <c r="X12" s="3"/>
      <c r="Y12" s="3"/>
      <c r="Z12" s="3"/>
      <c r="AA12" s="3"/>
      <c r="AB12" s="3"/>
      <c r="AC12" s="3"/>
      <c r="AD12" s="3"/>
      <c r="AE12" s="3"/>
    </row>
    <row r="13">
      <c r="A13" s="209">
        <v>45975.0</v>
      </c>
      <c r="B13" s="210"/>
      <c r="C13" s="178">
        <f t="shared" si="5"/>
        <v>0</v>
      </c>
      <c r="D13" s="210"/>
      <c r="E13" s="178">
        <f t="shared" ref="E13:E14" si="13">IF(D14&gt;0,N13/D14,0)</f>
        <v>0</v>
      </c>
      <c r="F13" s="179" t="str">
        <f t="shared" si="7"/>
        <v>#DIV/0!</v>
      </c>
      <c r="G13" s="210"/>
      <c r="H13" s="180" t="str">
        <f t="shared" si="12"/>
        <v>#DIV/0!</v>
      </c>
      <c r="I13" s="179" t="str">
        <f>J13/$G$13</f>
        <v>#DIV/0!</v>
      </c>
      <c r="J13" s="210"/>
      <c r="K13" s="216" t="str">
        <f t="shared" si="10"/>
        <v>#DIV/0!</v>
      </c>
      <c r="L13" s="179">
        <f t="shared" si="11"/>
        <v>0</v>
      </c>
      <c r="M13" s="211"/>
      <c r="N13" s="219"/>
      <c r="O13" s="213"/>
      <c r="P13" s="3"/>
      <c r="Q13" s="3"/>
      <c r="R13" s="3"/>
      <c r="S13" s="3"/>
      <c r="T13" s="3"/>
      <c r="U13" s="3"/>
      <c r="V13" s="3"/>
      <c r="W13" s="3"/>
      <c r="X13" s="3"/>
      <c r="Y13" s="3"/>
      <c r="Z13" s="3"/>
      <c r="AA13" s="3"/>
      <c r="AB13" s="3"/>
      <c r="AC13" s="3"/>
      <c r="AD13" s="3"/>
      <c r="AE13" s="3"/>
    </row>
    <row r="14">
      <c r="A14" s="209">
        <v>45976.0</v>
      </c>
      <c r="B14" s="210"/>
      <c r="C14" s="178">
        <f t="shared" si="5"/>
        <v>0</v>
      </c>
      <c r="D14" s="210"/>
      <c r="E14" s="178">
        <f t="shared" si="13"/>
        <v>0</v>
      </c>
      <c r="F14" s="179" t="str">
        <f t="shared" si="7"/>
        <v>#DIV/0!</v>
      </c>
      <c r="G14" s="210"/>
      <c r="H14" s="180" t="str">
        <f t="shared" si="12"/>
        <v>#DIV/0!</v>
      </c>
      <c r="I14" s="179" t="str">
        <f>J14/$G$14</f>
        <v>#DIV/0!</v>
      </c>
      <c r="J14" s="210"/>
      <c r="K14" s="180" t="str">
        <f>N14/$J$14</f>
        <v>#DIV/0!</v>
      </c>
      <c r="L14" s="179">
        <f t="shared" si="11"/>
        <v>0</v>
      </c>
      <c r="M14" s="211"/>
      <c r="N14" s="219"/>
      <c r="O14" s="213"/>
      <c r="P14" s="3"/>
      <c r="Q14" s="3"/>
      <c r="R14" s="3"/>
      <c r="S14" s="3"/>
      <c r="T14" s="3"/>
      <c r="U14" s="3"/>
      <c r="V14" s="3"/>
      <c r="W14" s="3"/>
      <c r="X14" s="3"/>
      <c r="Y14" s="3"/>
      <c r="Z14" s="3"/>
      <c r="AA14" s="3"/>
      <c r="AB14" s="3"/>
      <c r="AC14" s="3"/>
      <c r="AD14" s="3"/>
      <c r="AE14" s="3"/>
    </row>
    <row r="15">
      <c r="A15" s="209">
        <v>45977.0</v>
      </c>
      <c r="B15" s="210"/>
      <c r="C15" s="178">
        <f t="shared" si="5"/>
        <v>0</v>
      </c>
      <c r="D15" s="210"/>
      <c r="E15" s="178">
        <f t="shared" ref="E15:E23" si="14">IF(D15&gt;0,N15/D15,0)</f>
        <v>0</v>
      </c>
      <c r="F15" s="179" t="str">
        <f t="shared" si="7"/>
        <v>#DIV/0!</v>
      </c>
      <c r="G15" s="210"/>
      <c r="H15" s="180" t="str">
        <f t="shared" si="12"/>
        <v>#DIV/0!</v>
      </c>
      <c r="I15" s="179" t="str">
        <f>J15/$G$15</f>
        <v>#DIV/0!</v>
      </c>
      <c r="J15" s="177"/>
      <c r="K15" s="180" t="str">
        <f>N15/$J$15</f>
        <v>#DIV/0!</v>
      </c>
      <c r="L15" s="179">
        <f t="shared" si="11"/>
        <v>0</v>
      </c>
      <c r="M15" s="211"/>
      <c r="N15" s="219"/>
      <c r="O15" s="213"/>
      <c r="P15" s="3"/>
      <c r="Q15" s="3"/>
      <c r="R15" s="3"/>
      <c r="S15" s="3"/>
      <c r="T15" s="3"/>
      <c r="U15" s="3"/>
      <c r="V15" s="3"/>
      <c r="W15" s="3"/>
      <c r="X15" s="3"/>
      <c r="Y15" s="3"/>
      <c r="Z15" s="3"/>
      <c r="AA15" s="3"/>
      <c r="AB15" s="3"/>
      <c r="AC15" s="3"/>
      <c r="AD15" s="3"/>
      <c r="AE15" s="3"/>
    </row>
    <row r="16">
      <c r="A16" s="209">
        <v>45978.0</v>
      </c>
      <c r="B16" s="210"/>
      <c r="C16" s="178">
        <f t="shared" si="5"/>
        <v>0</v>
      </c>
      <c r="D16" s="210"/>
      <c r="E16" s="178">
        <f t="shared" si="14"/>
        <v>0</v>
      </c>
      <c r="F16" s="179" t="str">
        <f t="shared" si="7"/>
        <v>#DIV/0!</v>
      </c>
      <c r="G16" s="210"/>
      <c r="H16" s="180" t="str">
        <f t="shared" si="12"/>
        <v>#DIV/0!</v>
      </c>
      <c r="I16" s="179" t="str">
        <f>J16/$G$16</f>
        <v>#DIV/0!</v>
      </c>
      <c r="J16" s="210"/>
      <c r="K16" s="180" t="str">
        <f>N16/$J$16</f>
        <v>#DIV/0!</v>
      </c>
      <c r="L16" s="179">
        <f t="shared" si="11"/>
        <v>0</v>
      </c>
      <c r="M16" s="211"/>
      <c r="N16" s="219"/>
      <c r="O16" s="213"/>
      <c r="P16" s="3"/>
      <c r="Q16" s="3"/>
      <c r="R16" s="3"/>
      <c r="S16" s="3"/>
      <c r="T16" s="3"/>
      <c r="U16" s="3"/>
      <c r="V16" s="3"/>
      <c r="W16" s="3"/>
      <c r="X16" s="3"/>
      <c r="Y16" s="3"/>
      <c r="Z16" s="3"/>
      <c r="AA16" s="3"/>
      <c r="AB16" s="3"/>
      <c r="AC16" s="3"/>
      <c r="AD16" s="3"/>
      <c r="AE16" s="3"/>
    </row>
    <row r="17">
      <c r="A17" s="209">
        <v>45979.0</v>
      </c>
      <c r="B17" s="210"/>
      <c r="C17" s="178">
        <f t="shared" si="5"/>
        <v>0</v>
      </c>
      <c r="D17" s="210"/>
      <c r="E17" s="178">
        <f t="shared" si="14"/>
        <v>0</v>
      </c>
      <c r="F17" s="179" t="str">
        <f t="shared" si="7"/>
        <v>#DIV/0!</v>
      </c>
      <c r="G17" s="210"/>
      <c r="H17" s="180" t="str">
        <f t="shared" si="12"/>
        <v>#DIV/0!</v>
      </c>
      <c r="I17" s="179" t="str">
        <f>J17/$G$17</f>
        <v>#DIV/0!</v>
      </c>
      <c r="J17" s="210"/>
      <c r="K17" s="180" t="str">
        <f>N17/$J$17</f>
        <v>#DIV/0!</v>
      </c>
      <c r="L17" s="179">
        <f t="shared" si="11"/>
        <v>0</v>
      </c>
      <c r="M17" s="211"/>
      <c r="N17" s="219"/>
      <c r="O17" s="213"/>
      <c r="P17" s="3"/>
      <c r="Q17" s="3"/>
      <c r="R17" s="3"/>
      <c r="S17" s="3"/>
      <c r="T17" s="3"/>
      <c r="U17" s="3"/>
      <c r="V17" s="3"/>
      <c r="W17" s="3"/>
      <c r="X17" s="3"/>
      <c r="Y17" s="3"/>
      <c r="Z17" s="3"/>
      <c r="AA17" s="3"/>
      <c r="AB17" s="3"/>
      <c r="AC17" s="3"/>
      <c r="AD17" s="3"/>
      <c r="AE17" s="3"/>
    </row>
    <row r="18">
      <c r="A18" s="209">
        <v>45980.0</v>
      </c>
      <c r="B18" s="210"/>
      <c r="C18" s="178">
        <f t="shared" si="5"/>
        <v>0</v>
      </c>
      <c r="D18" s="210"/>
      <c r="E18" s="178">
        <f t="shared" si="14"/>
        <v>0</v>
      </c>
      <c r="F18" s="179" t="str">
        <f t="shared" si="7"/>
        <v>#DIV/0!</v>
      </c>
      <c r="G18" s="210"/>
      <c r="H18" s="180" t="str">
        <f t="shared" ref="H18:H23" si="15">N18/G18</f>
        <v>#DIV/0!</v>
      </c>
      <c r="I18" s="179" t="str">
        <f>J18/$G$18</f>
        <v>#DIV/0!</v>
      </c>
      <c r="J18" s="210"/>
      <c r="K18" s="180" t="str">
        <f t="shared" ref="K18:K23" si="16">N18/J18</f>
        <v>#DIV/0!</v>
      </c>
      <c r="L18" s="179">
        <f t="shared" si="11"/>
        <v>0</v>
      </c>
      <c r="M18" s="211"/>
      <c r="N18" s="219"/>
      <c r="O18" s="213"/>
      <c r="P18" s="3"/>
      <c r="Q18" s="3"/>
      <c r="R18" s="3"/>
      <c r="S18" s="3"/>
      <c r="T18" s="3"/>
      <c r="U18" s="3"/>
      <c r="V18" s="3"/>
      <c r="W18" s="3"/>
      <c r="X18" s="3"/>
      <c r="Y18" s="3"/>
      <c r="Z18" s="3"/>
      <c r="AA18" s="3"/>
      <c r="AB18" s="3"/>
      <c r="AC18" s="3"/>
      <c r="AD18" s="3"/>
      <c r="AE18" s="3"/>
    </row>
    <row r="19">
      <c r="A19" s="209">
        <v>45981.0</v>
      </c>
      <c r="B19" s="210"/>
      <c r="C19" s="178">
        <f t="shared" si="5"/>
        <v>0</v>
      </c>
      <c r="D19" s="210"/>
      <c r="E19" s="178">
        <f t="shared" si="14"/>
        <v>0</v>
      </c>
      <c r="F19" s="179" t="str">
        <f t="shared" si="7"/>
        <v>#DIV/0!</v>
      </c>
      <c r="G19" s="210"/>
      <c r="H19" s="180" t="str">
        <f t="shared" si="15"/>
        <v>#DIV/0!</v>
      </c>
      <c r="I19" s="179" t="str">
        <f t="shared" ref="I19:I23" si="17">J19/G19</f>
        <v>#DIV/0!</v>
      </c>
      <c r="J19" s="210"/>
      <c r="K19" s="180" t="str">
        <f t="shared" si="16"/>
        <v>#DIV/0!</v>
      </c>
      <c r="L19" s="179">
        <f t="shared" si="11"/>
        <v>0</v>
      </c>
      <c r="M19" s="211"/>
      <c r="N19" s="219"/>
      <c r="O19" s="213"/>
      <c r="P19" s="3"/>
      <c r="Q19" s="3"/>
      <c r="R19" s="3"/>
      <c r="S19" s="3"/>
      <c r="T19" s="3"/>
      <c r="U19" s="3"/>
      <c r="V19" s="3"/>
      <c r="W19" s="3"/>
      <c r="X19" s="3"/>
      <c r="Y19" s="3"/>
      <c r="Z19" s="3"/>
      <c r="AA19" s="3"/>
      <c r="AB19" s="3"/>
      <c r="AC19" s="3"/>
      <c r="AD19" s="3"/>
      <c r="AE19" s="3"/>
    </row>
    <row r="20">
      <c r="A20" s="209">
        <v>45982.0</v>
      </c>
      <c r="B20" s="210"/>
      <c r="C20" s="178">
        <f t="shared" si="5"/>
        <v>0</v>
      </c>
      <c r="D20" s="210"/>
      <c r="E20" s="178">
        <f t="shared" si="14"/>
        <v>0</v>
      </c>
      <c r="F20" s="179" t="str">
        <f t="shared" si="7"/>
        <v>#DIV/0!</v>
      </c>
      <c r="G20" s="210"/>
      <c r="H20" s="180" t="str">
        <f t="shared" si="15"/>
        <v>#DIV/0!</v>
      </c>
      <c r="I20" s="179" t="str">
        <f t="shared" si="17"/>
        <v>#DIV/0!</v>
      </c>
      <c r="J20" s="210"/>
      <c r="K20" s="180" t="str">
        <f t="shared" si="16"/>
        <v>#DIV/0!</v>
      </c>
      <c r="L20" s="179">
        <f t="shared" si="11"/>
        <v>0</v>
      </c>
      <c r="M20" s="211"/>
      <c r="N20" s="219"/>
      <c r="O20" s="213"/>
      <c r="P20" s="3"/>
      <c r="Q20" s="3"/>
      <c r="R20" s="3"/>
      <c r="S20" s="3"/>
      <c r="T20" s="3"/>
      <c r="U20" s="3"/>
      <c r="V20" s="3"/>
      <c r="W20" s="3"/>
      <c r="X20" s="3"/>
      <c r="Y20" s="3"/>
      <c r="Z20" s="3"/>
      <c r="AA20" s="3"/>
      <c r="AB20" s="3"/>
      <c r="AC20" s="3"/>
      <c r="AD20" s="3"/>
      <c r="AE20" s="3"/>
    </row>
    <row r="21">
      <c r="A21" s="209">
        <v>45983.0</v>
      </c>
      <c r="B21" s="210"/>
      <c r="C21" s="178">
        <f t="shared" si="5"/>
        <v>0</v>
      </c>
      <c r="D21" s="210"/>
      <c r="E21" s="178">
        <f t="shared" si="14"/>
        <v>0</v>
      </c>
      <c r="F21" s="179" t="str">
        <f t="shared" si="7"/>
        <v>#DIV/0!</v>
      </c>
      <c r="G21" s="210"/>
      <c r="H21" s="180" t="str">
        <f t="shared" si="15"/>
        <v>#DIV/0!</v>
      </c>
      <c r="I21" s="179" t="str">
        <f t="shared" si="17"/>
        <v>#DIV/0!</v>
      </c>
      <c r="J21" s="210"/>
      <c r="K21" s="180" t="str">
        <f t="shared" si="16"/>
        <v>#DIV/0!</v>
      </c>
      <c r="L21" s="179">
        <f t="shared" si="11"/>
        <v>0</v>
      </c>
      <c r="M21" s="211"/>
      <c r="N21" s="219"/>
      <c r="O21" s="213"/>
      <c r="P21" s="3"/>
      <c r="Q21" s="3"/>
      <c r="R21" s="3"/>
      <c r="S21" s="3"/>
      <c r="T21" s="3"/>
      <c r="U21" s="3"/>
      <c r="V21" s="3"/>
      <c r="W21" s="3"/>
      <c r="X21" s="3"/>
      <c r="Y21" s="3"/>
      <c r="Z21" s="3"/>
      <c r="AA21" s="3"/>
      <c r="AB21" s="3"/>
      <c r="AC21" s="3"/>
      <c r="AD21" s="3"/>
      <c r="AE21" s="3"/>
    </row>
    <row r="22">
      <c r="A22" s="209">
        <v>45984.0</v>
      </c>
      <c r="B22" s="210"/>
      <c r="C22" s="178">
        <f t="shared" si="5"/>
        <v>0</v>
      </c>
      <c r="D22" s="210"/>
      <c r="E22" s="178">
        <f t="shared" si="14"/>
        <v>0</v>
      </c>
      <c r="F22" s="179" t="str">
        <f t="shared" si="7"/>
        <v>#DIV/0!</v>
      </c>
      <c r="G22" s="210"/>
      <c r="H22" s="180" t="str">
        <f t="shared" si="15"/>
        <v>#DIV/0!</v>
      </c>
      <c r="I22" s="179" t="str">
        <f t="shared" si="17"/>
        <v>#DIV/0!</v>
      </c>
      <c r="J22" s="210"/>
      <c r="K22" s="180" t="str">
        <f t="shared" si="16"/>
        <v>#DIV/0!</v>
      </c>
      <c r="L22" s="179">
        <f t="shared" si="11"/>
        <v>0</v>
      </c>
      <c r="M22" s="211"/>
      <c r="N22" s="219"/>
      <c r="O22" s="213"/>
      <c r="P22" s="3"/>
      <c r="Q22" s="3"/>
      <c r="R22" s="3"/>
      <c r="S22" s="3"/>
      <c r="T22" s="3"/>
      <c r="U22" s="3"/>
      <c r="V22" s="3"/>
      <c r="W22" s="3"/>
      <c r="X22" s="3"/>
      <c r="Y22" s="3"/>
      <c r="Z22" s="3"/>
      <c r="AA22" s="3"/>
      <c r="AB22" s="3"/>
      <c r="AC22" s="3"/>
      <c r="AD22" s="3"/>
      <c r="AE22" s="3"/>
    </row>
    <row r="23">
      <c r="A23" s="220" t="s">
        <v>444</v>
      </c>
      <c r="B23" s="183">
        <f>SUM(B9:B22)</f>
        <v>0</v>
      </c>
      <c r="C23" s="189">
        <f t="shared" si="5"/>
        <v>0</v>
      </c>
      <c r="D23" s="183">
        <f>SUM(D9:D22)</f>
        <v>0</v>
      </c>
      <c r="E23" s="189">
        <f t="shared" si="14"/>
        <v>0</v>
      </c>
      <c r="F23" s="185" t="str">
        <f t="shared" si="7"/>
        <v>#DIV/0!</v>
      </c>
      <c r="G23" s="183">
        <f>SUM(G9:G22)</f>
        <v>0</v>
      </c>
      <c r="H23" s="187" t="str">
        <f t="shared" si="15"/>
        <v>#DIV/0!</v>
      </c>
      <c r="I23" s="185" t="str">
        <f t="shared" si="17"/>
        <v>#DIV/0!</v>
      </c>
      <c r="J23" s="183">
        <f>SUM(J9:J22)</f>
        <v>0</v>
      </c>
      <c r="K23" s="187" t="str">
        <f t="shared" si="16"/>
        <v>#DIV/0!</v>
      </c>
      <c r="L23" s="185">
        <f t="shared" si="11"/>
        <v>0</v>
      </c>
      <c r="M23" s="221" t="str">
        <f>AVERAGE(M9:M20)</f>
        <v>#DIV/0!</v>
      </c>
      <c r="N23" s="222">
        <f>SUM(N9:N22)</f>
        <v>0</v>
      </c>
      <c r="O23" s="223"/>
      <c r="P23" s="3"/>
      <c r="Q23" s="3"/>
      <c r="R23" s="3"/>
      <c r="S23" s="3"/>
      <c r="T23" s="3"/>
      <c r="U23" s="3"/>
      <c r="V23" s="3"/>
      <c r="W23" s="3"/>
      <c r="X23" s="3"/>
      <c r="Y23" s="3"/>
      <c r="Z23" s="3"/>
      <c r="AA23" s="3"/>
      <c r="AB23" s="3"/>
      <c r="AC23" s="3"/>
      <c r="AD23" s="3"/>
      <c r="AE23" s="3"/>
    </row>
    <row r="24">
      <c r="A24" s="224"/>
      <c r="B24" s="225"/>
      <c r="C24" s="192"/>
      <c r="D24" s="226"/>
      <c r="E24" s="192"/>
      <c r="F24" s="191"/>
      <c r="G24" s="191"/>
      <c r="H24" s="194"/>
      <c r="I24" s="191"/>
      <c r="J24" s="191"/>
      <c r="K24" s="194"/>
      <c r="L24" s="227"/>
      <c r="M24" s="228"/>
      <c r="N24" s="192"/>
      <c r="O24" s="3"/>
      <c r="P24" s="3"/>
      <c r="Q24" s="3"/>
      <c r="R24" s="3"/>
      <c r="S24" s="3"/>
      <c r="T24" s="3"/>
      <c r="U24" s="3"/>
      <c r="V24" s="3"/>
      <c r="W24" s="3"/>
      <c r="X24" s="3"/>
      <c r="Y24" s="3"/>
      <c r="Z24" s="3"/>
      <c r="AA24" s="3"/>
      <c r="AB24" s="3"/>
      <c r="AC24" s="3"/>
      <c r="AD24" s="3"/>
      <c r="AE24" s="3"/>
    </row>
  </sheetData>
  <mergeCells count="2">
    <mergeCell ref="A1:N1"/>
    <mergeCell ref="A6:O7"/>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63"/>
    <col customWidth="1" min="2" max="2" width="12.25"/>
    <col customWidth="1" min="3" max="3" width="12.13"/>
    <col customWidth="1" min="4" max="12" width="12.25"/>
  </cols>
  <sheetData>
    <row r="1">
      <c r="A1" s="229" t="s">
        <v>445</v>
      </c>
      <c r="B1" s="230"/>
      <c r="C1" s="230"/>
      <c r="D1" s="230"/>
      <c r="E1" s="230"/>
      <c r="F1" s="230"/>
      <c r="G1" s="230"/>
      <c r="H1" s="230"/>
      <c r="I1" s="230"/>
      <c r="J1" s="230"/>
      <c r="K1" s="230"/>
      <c r="L1" s="62"/>
    </row>
    <row r="2">
      <c r="A2" s="231" t="s">
        <v>446</v>
      </c>
      <c r="B2" s="232">
        <v>45972.0</v>
      </c>
      <c r="C2" s="232">
        <v>45973.0</v>
      </c>
      <c r="D2" s="232">
        <v>45974.0</v>
      </c>
      <c r="E2" s="232">
        <v>45975.0</v>
      </c>
      <c r="F2" s="232">
        <v>45977.0</v>
      </c>
      <c r="G2" s="232">
        <v>45978.0</v>
      </c>
      <c r="H2" s="232">
        <v>45979.0</v>
      </c>
      <c r="I2" s="232">
        <v>45980.0</v>
      </c>
      <c r="J2" s="232">
        <v>45981.0</v>
      </c>
      <c r="K2" s="232">
        <v>45982.0</v>
      </c>
      <c r="L2" s="232">
        <v>45983.0</v>
      </c>
    </row>
    <row r="3">
      <c r="A3" s="233" t="s">
        <v>447</v>
      </c>
      <c r="B3" s="233" t="s">
        <v>448</v>
      </c>
      <c r="C3" s="233" t="s">
        <v>448</v>
      </c>
      <c r="D3" s="233" t="s">
        <v>448</v>
      </c>
      <c r="E3" s="233" t="s">
        <v>448</v>
      </c>
      <c r="F3" s="233" t="s">
        <v>448</v>
      </c>
      <c r="G3" s="233" t="s">
        <v>448</v>
      </c>
      <c r="H3" s="233" t="s">
        <v>448</v>
      </c>
      <c r="I3" s="233" t="s">
        <v>448</v>
      </c>
      <c r="J3" s="233" t="s">
        <v>448</v>
      </c>
      <c r="K3" s="233" t="s">
        <v>448</v>
      </c>
      <c r="L3" s="233" t="s">
        <v>448</v>
      </c>
    </row>
    <row r="4">
      <c r="A4" s="234" t="s">
        <v>449</v>
      </c>
      <c r="B4" s="235"/>
      <c r="C4" s="235"/>
      <c r="D4" s="235"/>
      <c r="E4" s="235"/>
      <c r="F4" s="235"/>
      <c r="G4" s="235"/>
      <c r="H4" s="235"/>
      <c r="I4" s="235"/>
      <c r="J4" s="235"/>
      <c r="K4" s="235"/>
      <c r="L4" s="235"/>
    </row>
    <row r="5" hidden="1">
      <c r="A5" s="236" t="s">
        <v>450</v>
      </c>
      <c r="B5" s="237"/>
      <c r="C5" s="235"/>
      <c r="D5" s="238"/>
      <c r="E5" s="238"/>
      <c r="F5" s="235"/>
      <c r="G5" s="238"/>
      <c r="H5" s="238"/>
      <c r="I5" s="238"/>
      <c r="J5" s="235"/>
      <c r="K5" s="235"/>
      <c r="L5" s="235"/>
    </row>
    <row r="6">
      <c r="A6" s="236" t="s">
        <v>451</v>
      </c>
      <c r="B6" s="235"/>
      <c r="C6" s="235"/>
      <c r="D6" s="235"/>
      <c r="E6" s="235"/>
      <c r="F6" s="238"/>
      <c r="G6" s="238"/>
      <c r="H6" s="238"/>
      <c r="I6" s="235"/>
      <c r="J6" s="235"/>
      <c r="K6" s="235"/>
      <c r="L6" s="235"/>
    </row>
    <row r="7">
      <c r="A7" s="239" t="s">
        <v>452</v>
      </c>
      <c r="B7" s="239">
        <f t="shared" ref="B7:L7" si="1">SUM(B4:B6)</f>
        <v>0</v>
      </c>
      <c r="C7" s="239">
        <f t="shared" si="1"/>
        <v>0</v>
      </c>
      <c r="D7" s="239">
        <f t="shared" si="1"/>
        <v>0</v>
      </c>
      <c r="E7" s="239">
        <f t="shared" si="1"/>
        <v>0</v>
      </c>
      <c r="F7" s="239">
        <f t="shared" si="1"/>
        <v>0</v>
      </c>
      <c r="G7" s="239">
        <f t="shared" si="1"/>
        <v>0</v>
      </c>
      <c r="H7" s="239">
        <f t="shared" si="1"/>
        <v>0</v>
      </c>
      <c r="I7" s="239">
        <f t="shared" si="1"/>
        <v>0</v>
      </c>
      <c r="J7" s="239">
        <f t="shared" si="1"/>
        <v>0</v>
      </c>
      <c r="K7" s="239">
        <f t="shared" si="1"/>
        <v>0</v>
      </c>
      <c r="L7" s="239">
        <f t="shared" si="1"/>
        <v>0</v>
      </c>
    </row>
    <row r="8" hidden="1">
      <c r="A8" s="236" t="s">
        <v>453</v>
      </c>
      <c r="B8" s="235"/>
      <c r="C8" s="235"/>
      <c r="D8" s="235"/>
      <c r="E8" s="235"/>
      <c r="F8" s="235"/>
      <c r="G8" s="240"/>
      <c r="H8" s="235"/>
      <c r="I8" s="235"/>
      <c r="J8" s="235"/>
      <c r="K8" s="235"/>
      <c r="L8" s="235"/>
    </row>
    <row r="9">
      <c r="A9" s="236" t="s">
        <v>454</v>
      </c>
      <c r="B9" s="235"/>
      <c r="C9" s="235"/>
      <c r="D9" s="235"/>
      <c r="E9" s="235"/>
      <c r="F9" s="235"/>
      <c r="G9" s="235"/>
      <c r="H9" s="235"/>
      <c r="I9" s="235"/>
      <c r="J9" s="235"/>
      <c r="K9" s="235"/>
      <c r="L9" s="235"/>
    </row>
    <row r="10">
      <c r="A10" s="234" t="s">
        <v>455</v>
      </c>
      <c r="B10" s="234">
        <f t="shared" ref="B10:L10" si="2">SUM(B8:B9)</f>
        <v>0</v>
      </c>
      <c r="C10" s="234">
        <f t="shared" si="2"/>
        <v>0</v>
      </c>
      <c r="D10" s="234">
        <f t="shared" si="2"/>
        <v>0</v>
      </c>
      <c r="E10" s="234">
        <f t="shared" si="2"/>
        <v>0</v>
      </c>
      <c r="F10" s="234">
        <f t="shared" si="2"/>
        <v>0</v>
      </c>
      <c r="G10" s="241">
        <f t="shared" si="2"/>
        <v>0</v>
      </c>
      <c r="H10" s="234">
        <f t="shared" si="2"/>
        <v>0</v>
      </c>
      <c r="I10" s="234">
        <f t="shared" si="2"/>
        <v>0</v>
      </c>
      <c r="J10" s="234">
        <f t="shared" si="2"/>
        <v>0</v>
      </c>
      <c r="K10" s="234">
        <f t="shared" si="2"/>
        <v>0</v>
      </c>
      <c r="L10" s="234">
        <f t="shared" si="2"/>
        <v>0</v>
      </c>
    </row>
    <row r="11" hidden="1">
      <c r="A11" s="239" t="s">
        <v>456</v>
      </c>
      <c r="B11" s="242" t="str">
        <f t="shared" ref="B11:L11" si="3">B5/B8</f>
        <v>#DIV/0!</v>
      </c>
      <c r="C11" s="243" t="str">
        <f t="shared" si="3"/>
        <v>#DIV/0!</v>
      </c>
      <c r="D11" s="243" t="str">
        <f t="shared" si="3"/>
        <v>#DIV/0!</v>
      </c>
      <c r="E11" s="243" t="str">
        <f t="shared" si="3"/>
        <v>#DIV/0!</v>
      </c>
      <c r="F11" s="243" t="str">
        <f t="shared" si="3"/>
        <v>#DIV/0!</v>
      </c>
      <c r="G11" s="243" t="str">
        <f t="shared" si="3"/>
        <v>#DIV/0!</v>
      </c>
      <c r="H11" s="243" t="str">
        <f t="shared" si="3"/>
        <v>#DIV/0!</v>
      </c>
      <c r="I11" s="243" t="str">
        <f t="shared" si="3"/>
        <v>#DIV/0!</v>
      </c>
      <c r="J11" s="243" t="str">
        <f t="shared" si="3"/>
        <v>#DIV/0!</v>
      </c>
      <c r="K11" s="243" t="str">
        <f t="shared" si="3"/>
        <v>#DIV/0!</v>
      </c>
      <c r="L11" s="243" t="str">
        <f t="shared" si="3"/>
        <v>#DIV/0!</v>
      </c>
    </row>
    <row r="12">
      <c r="A12" s="239" t="s">
        <v>457</v>
      </c>
      <c r="B12" s="243" t="str">
        <f t="shared" ref="B12:L12" si="4">B6/B9</f>
        <v>#DIV/0!</v>
      </c>
      <c r="C12" s="243" t="str">
        <f t="shared" si="4"/>
        <v>#DIV/0!</v>
      </c>
      <c r="D12" s="243" t="str">
        <f t="shared" si="4"/>
        <v>#DIV/0!</v>
      </c>
      <c r="E12" s="243" t="str">
        <f t="shared" si="4"/>
        <v>#DIV/0!</v>
      </c>
      <c r="F12" s="243" t="str">
        <f t="shared" si="4"/>
        <v>#DIV/0!</v>
      </c>
      <c r="G12" s="243" t="str">
        <f t="shared" si="4"/>
        <v>#DIV/0!</v>
      </c>
      <c r="H12" s="243" t="str">
        <f t="shared" si="4"/>
        <v>#DIV/0!</v>
      </c>
      <c r="I12" s="243" t="str">
        <f t="shared" si="4"/>
        <v>#DIV/0!</v>
      </c>
      <c r="J12" s="243" t="str">
        <f t="shared" si="4"/>
        <v>#DIV/0!</v>
      </c>
      <c r="K12" s="243" t="str">
        <f t="shared" si="4"/>
        <v>#DIV/0!</v>
      </c>
      <c r="L12" s="243" t="str">
        <f t="shared" si="4"/>
        <v>#DIV/0!</v>
      </c>
    </row>
    <row r="13" hidden="1">
      <c r="A13" s="244" t="s">
        <v>458</v>
      </c>
      <c r="B13" s="245"/>
      <c r="C13" s="246"/>
      <c r="D13" s="246"/>
      <c r="E13" s="246"/>
      <c r="F13" s="246"/>
      <c r="G13" s="246"/>
      <c r="H13" s="246"/>
      <c r="I13" s="246"/>
      <c r="J13" s="246"/>
      <c r="K13" s="246"/>
      <c r="L13" s="246"/>
    </row>
    <row r="14">
      <c r="A14" s="244" t="s">
        <v>459</v>
      </c>
      <c r="B14" s="246"/>
      <c r="C14" s="246"/>
      <c r="D14" s="246"/>
      <c r="E14" s="246"/>
      <c r="F14" s="246"/>
      <c r="G14" s="246"/>
      <c r="H14" s="246"/>
      <c r="I14" s="246"/>
      <c r="J14" s="246"/>
      <c r="K14" s="246"/>
      <c r="L14" s="246"/>
    </row>
    <row r="15" hidden="1">
      <c r="A15" s="239" t="s">
        <v>460</v>
      </c>
      <c r="B15" s="247" t="str">
        <f t="shared" ref="B15:L15" si="5">B13/B8</f>
        <v>#DIV/0!</v>
      </c>
      <c r="C15" s="247" t="str">
        <f t="shared" si="5"/>
        <v>#DIV/0!</v>
      </c>
      <c r="D15" s="247" t="str">
        <f t="shared" si="5"/>
        <v>#DIV/0!</v>
      </c>
      <c r="E15" s="247" t="str">
        <f t="shared" si="5"/>
        <v>#DIV/0!</v>
      </c>
      <c r="F15" s="247" t="str">
        <f t="shared" si="5"/>
        <v>#DIV/0!</v>
      </c>
      <c r="G15" s="247" t="str">
        <f t="shared" si="5"/>
        <v>#DIV/0!</v>
      </c>
      <c r="H15" s="247" t="str">
        <f t="shared" si="5"/>
        <v>#DIV/0!</v>
      </c>
      <c r="I15" s="247" t="str">
        <f t="shared" si="5"/>
        <v>#DIV/0!</v>
      </c>
      <c r="J15" s="247" t="str">
        <f t="shared" si="5"/>
        <v>#DIV/0!</v>
      </c>
      <c r="K15" s="247" t="str">
        <f t="shared" si="5"/>
        <v>#DIV/0!</v>
      </c>
      <c r="L15" s="247" t="str">
        <f t="shared" si="5"/>
        <v>#DIV/0!</v>
      </c>
    </row>
    <row r="16">
      <c r="A16" s="239" t="s">
        <v>461</v>
      </c>
      <c r="B16" s="247" t="str">
        <f t="shared" ref="B16:L16" si="6">B14/B9</f>
        <v>#DIV/0!</v>
      </c>
      <c r="C16" s="247" t="str">
        <f t="shared" si="6"/>
        <v>#DIV/0!</v>
      </c>
      <c r="D16" s="247" t="str">
        <f t="shared" si="6"/>
        <v>#DIV/0!</v>
      </c>
      <c r="E16" s="247" t="str">
        <f t="shared" si="6"/>
        <v>#DIV/0!</v>
      </c>
      <c r="F16" s="247" t="str">
        <f t="shared" si="6"/>
        <v>#DIV/0!</v>
      </c>
      <c r="G16" s="247" t="str">
        <f t="shared" si="6"/>
        <v>#DIV/0!</v>
      </c>
      <c r="H16" s="247" t="str">
        <f t="shared" si="6"/>
        <v>#DIV/0!</v>
      </c>
      <c r="I16" s="247" t="str">
        <f t="shared" si="6"/>
        <v>#DIV/0!</v>
      </c>
      <c r="J16" s="247" t="str">
        <f t="shared" si="6"/>
        <v>#DIV/0!</v>
      </c>
      <c r="K16" s="247" t="str">
        <f t="shared" si="6"/>
        <v>#DIV/0!</v>
      </c>
      <c r="L16" s="247" t="str">
        <f t="shared" si="6"/>
        <v>#DIV/0!</v>
      </c>
    </row>
    <row r="17" hidden="1">
      <c r="A17" s="236" t="s">
        <v>462</v>
      </c>
      <c r="B17" s="248" t="str">
        <f>B13/B6</f>
        <v>#DIV/0!</v>
      </c>
      <c r="C17" s="248" t="str">
        <f t="shared" ref="C17:L17" si="7">C13/C5</f>
        <v>#DIV/0!</v>
      </c>
      <c r="D17" s="248" t="str">
        <f t="shared" si="7"/>
        <v>#DIV/0!</v>
      </c>
      <c r="E17" s="248" t="str">
        <f t="shared" si="7"/>
        <v>#DIV/0!</v>
      </c>
      <c r="F17" s="248" t="str">
        <f t="shared" si="7"/>
        <v>#DIV/0!</v>
      </c>
      <c r="G17" s="248" t="str">
        <f t="shared" si="7"/>
        <v>#DIV/0!</v>
      </c>
      <c r="H17" s="248" t="str">
        <f t="shared" si="7"/>
        <v>#DIV/0!</v>
      </c>
      <c r="I17" s="248" t="str">
        <f t="shared" si="7"/>
        <v>#DIV/0!</v>
      </c>
      <c r="J17" s="248" t="str">
        <f t="shared" si="7"/>
        <v>#DIV/0!</v>
      </c>
      <c r="K17" s="248" t="str">
        <f t="shared" si="7"/>
        <v>#DIV/0!</v>
      </c>
      <c r="L17" s="248" t="str">
        <f t="shared" si="7"/>
        <v>#DIV/0!</v>
      </c>
    </row>
    <row r="18">
      <c r="A18" s="236" t="s">
        <v>463</v>
      </c>
      <c r="B18" s="248" t="str">
        <f t="shared" ref="B18:L18" si="8">B14/B6</f>
        <v>#DIV/0!</v>
      </c>
      <c r="C18" s="248" t="str">
        <f t="shared" si="8"/>
        <v>#DIV/0!</v>
      </c>
      <c r="D18" s="248" t="str">
        <f t="shared" si="8"/>
        <v>#DIV/0!</v>
      </c>
      <c r="E18" s="248" t="str">
        <f t="shared" si="8"/>
        <v>#DIV/0!</v>
      </c>
      <c r="F18" s="248" t="str">
        <f t="shared" si="8"/>
        <v>#DIV/0!</v>
      </c>
      <c r="G18" s="248" t="str">
        <f t="shared" si="8"/>
        <v>#DIV/0!</v>
      </c>
      <c r="H18" s="248" t="str">
        <f t="shared" si="8"/>
        <v>#DIV/0!</v>
      </c>
      <c r="I18" s="248" t="str">
        <f t="shared" si="8"/>
        <v>#DIV/0!</v>
      </c>
      <c r="J18" s="248" t="str">
        <f t="shared" si="8"/>
        <v>#DIV/0!</v>
      </c>
      <c r="K18" s="248" t="str">
        <f t="shared" si="8"/>
        <v>#DIV/0!</v>
      </c>
      <c r="L18" s="248" t="str">
        <f t="shared" si="8"/>
        <v>#DIV/0!</v>
      </c>
    </row>
    <row r="19" hidden="1">
      <c r="A19" s="239" t="s">
        <v>464</v>
      </c>
      <c r="B19" s="249"/>
      <c r="C19" s="249"/>
      <c r="D19" s="249"/>
      <c r="E19" s="249"/>
      <c r="F19" s="249"/>
      <c r="G19" s="249"/>
      <c r="H19" s="249"/>
      <c r="I19" s="250"/>
      <c r="J19" s="250"/>
      <c r="K19" s="250"/>
      <c r="L19" s="250"/>
    </row>
    <row r="20">
      <c r="A20" s="239" t="s">
        <v>465</v>
      </c>
      <c r="B20" s="249"/>
      <c r="C20" s="249"/>
      <c r="D20" s="249"/>
      <c r="E20" s="249"/>
      <c r="F20" s="249"/>
      <c r="G20" s="249"/>
      <c r="H20" s="249"/>
      <c r="I20" s="249"/>
      <c r="J20" s="249"/>
      <c r="K20" s="249"/>
      <c r="L20" s="249"/>
    </row>
    <row r="21">
      <c r="A21" s="234" t="s">
        <v>466</v>
      </c>
      <c r="B21" s="235"/>
      <c r="C21" s="235"/>
      <c r="D21" s="235"/>
      <c r="E21" s="235"/>
      <c r="F21" s="235"/>
      <c r="G21" s="235"/>
      <c r="H21" s="235"/>
      <c r="I21" s="235"/>
      <c r="J21" s="235"/>
      <c r="K21" s="235"/>
      <c r="L21" s="235"/>
    </row>
    <row r="22">
      <c r="A22" s="236" t="s">
        <v>467</v>
      </c>
      <c r="B22" s="251">
        <v>1.0</v>
      </c>
      <c r="C22" s="251">
        <v>1.0</v>
      </c>
      <c r="D22" s="251">
        <v>1.0</v>
      </c>
      <c r="E22" s="251">
        <v>1.0</v>
      </c>
      <c r="F22" s="251">
        <v>1.0</v>
      </c>
      <c r="G22" s="251">
        <v>0.27</v>
      </c>
      <c r="H22" s="251">
        <v>0.28</v>
      </c>
      <c r="I22" s="251">
        <v>0.29</v>
      </c>
      <c r="J22" s="251">
        <v>0.28</v>
      </c>
      <c r="K22" s="251">
        <v>0.3</v>
      </c>
      <c r="L22" s="251">
        <v>0.3</v>
      </c>
    </row>
    <row r="23">
      <c r="A23" s="236" t="s">
        <v>468</v>
      </c>
      <c r="B23" s="251">
        <v>1.0</v>
      </c>
      <c r="C23" s="251">
        <v>1.0</v>
      </c>
      <c r="D23" s="251">
        <v>1.0</v>
      </c>
      <c r="E23" s="251">
        <v>1.0</v>
      </c>
      <c r="F23" s="251">
        <v>1.0</v>
      </c>
      <c r="G23" s="251">
        <v>1.0</v>
      </c>
      <c r="H23" s="251">
        <v>1.0</v>
      </c>
      <c r="I23" s="251">
        <v>1.0</v>
      </c>
      <c r="J23" s="251">
        <v>1.0</v>
      </c>
      <c r="K23" s="251">
        <v>1.0</v>
      </c>
      <c r="L23" s="251">
        <v>1.0</v>
      </c>
    </row>
    <row r="24" hidden="1">
      <c r="A24" s="239" t="s">
        <v>469</v>
      </c>
      <c r="B24" s="250"/>
      <c r="C24" s="250"/>
      <c r="D24" s="252"/>
      <c r="E24" s="252"/>
      <c r="F24" s="252"/>
      <c r="G24" s="252"/>
      <c r="H24" s="252"/>
      <c r="I24" s="252"/>
      <c r="J24" s="252"/>
      <c r="K24" s="252"/>
      <c r="L24" s="252"/>
    </row>
    <row r="25" hidden="1">
      <c r="A25" s="239" t="s">
        <v>467</v>
      </c>
      <c r="B25" s="253"/>
      <c r="C25" s="253"/>
      <c r="D25" s="253"/>
      <c r="E25" s="253"/>
      <c r="F25" s="253"/>
      <c r="G25" s="253"/>
      <c r="H25" s="253"/>
      <c r="I25" s="253"/>
      <c r="J25" s="253"/>
      <c r="K25" s="253"/>
      <c r="L25" s="253"/>
    </row>
    <row r="26" hidden="1">
      <c r="A26" s="239" t="s">
        <v>468</v>
      </c>
      <c r="B26" s="253"/>
      <c r="C26" s="253"/>
      <c r="D26" s="250"/>
      <c r="E26" s="253"/>
      <c r="F26" s="253"/>
      <c r="G26" s="253"/>
      <c r="H26" s="253"/>
      <c r="I26" s="253"/>
      <c r="J26" s="253"/>
      <c r="K26" s="253"/>
      <c r="L26" s="253"/>
    </row>
    <row r="27">
      <c r="A27" s="236" t="s">
        <v>470</v>
      </c>
      <c r="B27" s="235"/>
      <c r="C27" s="240"/>
      <c r="D27" s="240"/>
      <c r="E27" s="240"/>
      <c r="F27" s="240"/>
      <c r="G27" s="240"/>
      <c r="H27" s="240"/>
      <c r="I27" s="240"/>
      <c r="J27" s="240"/>
      <c r="K27" s="240"/>
      <c r="L27" s="240"/>
    </row>
    <row r="28">
      <c r="A28" s="236" t="s">
        <v>467</v>
      </c>
      <c r="B28" s="251">
        <v>0.3</v>
      </c>
      <c r="C28" s="251">
        <v>0.25</v>
      </c>
      <c r="D28" s="251">
        <v>0.25</v>
      </c>
      <c r="E28" s="251">
        <v>0.26</v>
      </c>
      <c r="F28" s="251">
        <v>0.25</v>
      </c>
      <c r="G28" s="251">
        <v>0.12</v>
      </c>
      <c r="H28" s="251">
        <v>0.1</v>
      </c>
      <c r="I28" s="251">
        <v>0.08</v>
      </c>
      <c r="J28" s="251">
        <v>0.08</v>
      </c>
      <c r="K28" s="251">
        <v>0.08</v>
      </c>
      <c r="L28" s="251">
        <v>0.08</v>
      </c>
    </row>
    <row r="29">
      <c r="A29" s="236" t="s">
        <v>468</v>
      </c>
      <c r="B29" s="251">
        <v>1.0</v>
      </c>
      <c r="C29" s="251">
        <v>1.0</v>
      </c>
      <c r="D29" s="251">
        <v>1.0</v>
      </c>
      <c r="E29" s="251">
        <v>1.0</v>
      </c>
      <c r="F29" s="251">
        <v>1.0</v>
      </c>
      <c r="G29" s="251">
        <v>1.0</v>
      </c>
      <c r="H29" s="251">
        <v>1.0</v>
      </c>
      <c r="I29" s="251">
        <v>1.0</v>
      </c>
      <c r="J29" s="251">
        <v>1.0</v>
      </c>
      <c r="K29" s="251">
        <v>1.0</v>
      </c>
      <c r="L29" s="251">
        <v>1.0</v>
      </c>
    </row>
    <row r="30" hidden="1">
      <c r="A30" s="236" t="s">
        <v>471</v>
      </c>
      <c r="B30" s="254" t="str">
        <f t="shared" ref="B30:L30" si="9">+(B21+B24+B27)/B7</f>
        <v>#DIV/0!</v>
      </c>
      <c r="C30" s="254" t="str">
        <f t="shared" si="9"/>
        <v>#DIV/0!</v>
      </c>
      <c r="D30" s="254" t="str">
        <f t="shared" si="9"/>
        <v>#DIV/0!</v>
      </c>
      <c r="E30" s="254" t="str">
        <f t="shared" si="9"/>
        <v>#DIV/0!</v>
      </c>
      <c r="F30" s="254" t="str">
        <f t="shared" si="9"/>
        <v>#DIV/0!</v>
      </c>
      <c r="G30" s="254" t="str">
        <f t="shared" si="9"/>
        <v>#DIV/0!</v>
      </c>
      <c r="H30" s="254" t="str">
        <f t="shared" si="9"/>
        <v>#DIV/0!</v>
      </c>
      <c r="I30" s="254" t="str">
        <f t="shared" si="9"/>
        <v>#DIV/0!</v>
      </c>
      <c r="J30" s="254" t="str">
        <f t="shared" si="9"/>
        <v>#DIV/0!</v>
      </c>
      <c r="K30" s="254" t="str">
        <f t="shared" si="9"/>
        <v>#DIV/0!</v>
      </c>
      <c r="L30" s="254" t="str">
        <f t="shared" si="9"/>
        <v>#DIV/0!</v>
      </c>
    </row>
    <row r="31">
      <c r="A31" s="236" t="s">
        <v>472</v>
      </c>
      <c r="B31" s="240"/>
      <c r="C31" s="240"/>
      <c r="D31" s="240"/>
      <c r="E31" s="240"/>
      <c r="F31" s="240"/>
      <c r="G31" s="240"/>
      <c r="H31" s="240"/>
      <c r="I31" s="240"/>
      <c r="J31" s="240"/>
      <c r="K31" s="240"/>
      <c r="L31" s="240"/>
    </row>
    <row r="32">
      <c r="A32" s="236" t="s">
        <v>473</v>
      </c>
      <c r="B32" s="254" t="str">
        <f t="shared" ref="B32:L32" si="10">B31/B7</f>
        <v>#DIV/0!</v>
      </c>
      <c r="C32" s="254" t="str">
        <f t="shared" si="10"/>
        <v>#DIV/0!</v>
      </c>
      <c r="D32" s="254" t="str">
        <f t="shared" si="10"/>
        <v>#DIV/0!</v>
      </c>
      <c r="E32" s="254" t="str">
        <f t="shared" si="10"/>
        <v>#DIV/0!</v>
      </c>
      <c r="F32" s="254" t="str">
        <f t="shared" si="10"/>
        <v>#DIV/0!</v>
      </c>
      <c r="G32" s="254" t="str">
        <f t="shared" si="10"/>
        <v>#DIV/0!</v>
      </c>
      <c r="H32" s="254" t="str">
        <f t="shared" si="10"/>
        <v>#DIV/0!</v>
      </c>
      <c r="I32" s="254" t="str">
        <f t="shared" si="10"/>
        <v>#DIV/0!</v>
      </c>
      <c r="J32" s="254" t="str">
        <f t="shared" si="10"/>
        <v>#DIV/0!</v>
      </c>
      <c r="K32" s="254" t="str">
        <f t="shared" si="10"/>
        <v>#DIV/0!</v>
      </c>
      <c r="L32" s="254" t="str">
        <f t="shared" si="10"/>
        <v>#DIV/0!</v>
      </c>
    </row>
  </sheetData>
  <mergeCells count="1">
    <mergeCell ref="A1:L1"/>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hidden="1" min="4" max="6" width="12.63"/>
    <col customWidth="1" hidden="1" min="7" max="7" width="14.88"/>
    <col customWidth="1" min="15" max="15" width="24.25"/>
    <col customWidth="1" min="16" max="16" width="17.88"/>
    <col customWidth="1" min="20" max="20" width="20.25"/>
  </cols>
  <sheetData>
    <row r="1">
      <c r="A1" s="53" t="s">
        <v>474</v>
      </c>
      <c r="B1" s="53" t="s">
        <v>475</v>
      </c>
      <c r="C1" s="53" t="s">
        <v>476</v>
      </c>
      <c r="D1" s="53" t="s">
        <v>477</v>
      </c>
      <c r="E1" s="53" t="s">
        <v>478</v>
      </c>
      <c r="F1" s="53" t="s">
        <v>479</v>
      </c>
      <c r="G1" s="53" t="s">
        <v>480</v>
      </c>
      <c r="H1" s="53" t="s">
        <v>481</v>
      </c>
      <c r="I1" s="255" t="s">
        <v>482</v>
      </c>
      <c r="J1" s="255" t="s">
        <v>483</v>
      </c>
      <c r="K1" s="256" t="s">
        <v>484</v>
      </c>
      <c r="L1" s="257" t="s">
        <v>485</v>
      </c>
      <c r="M1" s="255" t="s">
        <v>486</v>
      </c>
      <c r="N1" s="255" t="s">
        <v>487</v>
      </c>
      <c r="O1" s="255" t="s">
        <v>488</v>
      </c>
      <c r="P1" s="255" t="s">
        <v>489</v>
      </c>
      <c r="Q1" s="255" t="s">
        <v>490</v>
      </c>
      <c r="R1" s="255" t="s">
        <v>491</v>
      </c>
      <c r="S1" s="255" t="s">
        <v>492</v>
      </c>
      <c r="T1" s="255" t="s">
        <v>493</v>
      </c>
      <c r="U1" s="255" t="s">
        <v>494</v>
      </c>
      <c r="V1" s="255" t="s">
        <v>495</v>
      </c>
      <c r="W1" s="255" t="s">
        <v>496</v>
      </c>
    </row>
    <row r="2">
      <c r="A2" s="258" t="s">
        <v>497</v>
      </c>
      <c r="B2" s="258" t="s">
        <v>498</v>
      </c>
      <c r="C2" s="259">
        <v>1.626665026E10</v>
      </c>
      <c r="D2" s="3"/>
      <c r="E2" s="3"/>
      <c r="F2" s="3"/>
      <c r="G2" s="3"/>
      <c r="H2" s="258"/>
      <c r="I2" s="258" t="s">
        <v>233</v>
      </c>
      <c r="J2" s="258" t="s">
        <v>499</v>
      </c>
      <c r="K2" s="260" t="s">
        <v>500</v>
      </c>
      <c r="L2" s="258" t="s">
        <v>501</v>
      </c>
      <c r="M2" s="258" t="s">
        <v>502</v>
      </c>
      <c r="N2" s="258" t="s">
        <v>503</v>
      </c>
      <c r="O2" s="258" t="s">
        <v>504</v>
      </c>
      <c r="P2" s="258" t="s">
        <v>505</v>
      </c>
      <c r="Q2" s="258" t="s">
        <v>506</v>
      </c>
      <c r="R2" s="258" t="s">
        <v>507</v>
      </c>
      <c r="S2" s="258" t="s">
        <v>508</v>
      </c>
      <c r="T2" s="258" t="s">
        <v>509</v>
      </c>
      <c r="U2" s="258" t="s">
        <v>510</v>
      </c>
      <c r="V2" s="258" t="s">
        <v>511</v>
      </c>
      <c r="W2" s="258" t="s">
        <v>512</v>
      </c>
    </row>
    <row r="3">
      <c r="A3" s="258" t="s">
        <v>497</v>
      </c>
      <c r="B3" s="258" t="s">
        <v>498</v>
      </c>
      <c r="C3" s="259">
        <v>1.626665026E10</v>
      </c>
      <c r="D3" s="3"/>
      <c r="E3" s="3"/>
      <c r="F3" s="3"/>
      <c r="G3" s="3"/>
      <c r="H3" s="258" t="s">
        <v>302</v>
      </c>
      <c r="I3" s="258" t="s">
        <v>233</v>
      </c>
      <c r="J3" s="258" t="s">
        <v>499</v>
      </c>
      <c r="K3" s="260" t="s">
        <v>513</v>
      </c>
      <c r="L3" s="258" t="s">
        <v>514</v>
      </c>
      <c r="M3" s="258" t="s">
        <v>502</v>
      </c>
      <c r="N3" s="258" t="s">
        <v>515</v>
      </c>
      <c r="O3" s="258" t="s">
        <v>516</v>
      </c>
      <c r="P3" s="258" t="s">
        <v>505</v>
      </c>
      <c r="Q3" s="258" t="s">
        <v>506</v>
      </c>
      <c r="R3" s="258" t="s">
        <v>517</v>
      </c>
      <c r="S3" s="258" t="s">
        <v>508</v>
      </c>
      <c r="T3" s="258" t="s">
        <v>509</v>
      </c>
      <c r="U3" s="258" t="s">
        <v>518</v>
      </c>
      <c r="V3" s="258" t="s">
        <v>511</v>
      </c>
      <c r="W3" s="258" t="s">
        <v>512</v>
      </c>
    </row>
    <row r="4">
      <c r="A4" s="258" t="s">
        <v>519</v>
      </c>
      <c r="B4" s="258" t="s">
        <v>520</v>
      </c>
      <c r="C4" s="259">
        <v>1.5613035267E10</v>
      </c>
      <c r="D4" s="3"/>
      <c r="E4" s="3"/>
      <c r="F4" s="3"/>
      <c r="G4" s="3"/>
      <c r="H4" s="258" t="s">
        <v>316</v>
      </c>
      <c r="I4" s="258" t="s">
        <v>521</v>
      </c>
      <c r="J4" s="258" t="s">
        <v>522</v>
      </c>
      <c r="K4" s="260" t="s">
        <v>500</v>
      </c>
      <c r="L4" s="258" t="s">
        <v>514</v>
      </c>
      <c r="M4" s="258" t="s">
        <v>523</v>
      </c>
      <c r="N4" s="258" t="s">
        <v>524</v>
      </c>
      <c r="O4" s="258" t="s">
        <v>504</v>
      </c>
      <c r="P4" s="258" t="s">
        <v>505</v>
      </c>
      <c r="Q4" s="258" t="s">
        <v>525</v>
      </c>
      <c r="R4" s="258" t="s">
        <v>526</v>
      </c>
      <c r="S4" s="258" t="s">
        <v>508</v>
      </c>
      <c r="T4" s="258" t="s">
        <v>527</v>
      </c>
      <c r="U4" s="258" t="s">
        <v>528</v>
      </c>
      <c r="V4" s="258" t="s">
        <v>529</v>
      </c>
      <c r="W4" s="258" t="s">
        <v>512</v>
      </c>
    </row>
    <row r="5" ht="16.5" customHeight="1">
      <c r="A5" s="258" t="s">
        <v>530</v>
      </c>
      <c r="B5" s="258" t="s">
        <v>531</v>
      </c>
      <c r="C5" s="259">
        <v>1.5202039461E10</v>
      </c>
      <c r="D5" s="3"/>
      <c r="E5" s="3"/>
      <c r="F5" s="3"/>
      <c r="G5" s="3"/>
      <c r="H5" s="258" t="s">
        <v>532</v>
      </c>
      <c r="I5" s="258" t="s">
        <v>533</v>
      </c>
      <c r="J5" s="258" t="s">
        <v>499</v>
      </c>
      <c r="K5" s="260" t="s">
        <v>513</v>
      </c>
      <c r="L5" s="258" t="s">
        <v>514</v>
      </c>
      <c r="M5" s="258" t="s">
        <v>523</v>
      </c>
      <c r="N5" s="258" t="s">
        <v>534</v>
      </c>
      <c r="O5" s="258" t="s">
        <v>504</v>
      </c>
      <c r="P5" s="258" t="s">
        <v>505</v>
      </c>
      <c r="Q5" s="258" t="s">
        <v>506</v>
      </c>
      <c r="R5" s="258" t="s">
        <v>535</v>
      </c>
      <c r="S5" s="258" t="s">
        <v>508</v>
      </c>
      <c r="T5" s="258" t="s">
        <v>536</v>
      </c>
      <c r="U5" s="258" t="s">
        <v>537</v>
      </c>
      <c r="V5" s="258" t="s">
        <v>511</v>
      </c>
      <c r="W5" s="258" t="s">
        <v>512</v>
      </c>
    </row>
    <row r="6">
      <c r="A6" s="258" t="s">
        <v>538</v>
      </c>
      <c r="B6" s="258" t="s">
        <v>539</v>
      </c>
      <c r="C6" s="259">
        <v>1.3473535981E10</v>
      </c>
      <c r="D6" s="3"/>
      <c r="E6" s="3"/>
      <c r="F6" s="3"/>
      <c r="G6" s="3"/>
      <c r="H6" s="258" t="s">
        <v>532</v>
      </c>
      <c r="I6" s="258" t="s">
        <v>540</v>
      </c>
      <c r="J6" s="258" t="s">
        <v>499</v>
      </c>
      <c r="K6" s="260" t="s">
        <v>513</v>
      </c>
      <c r="L6" s="258" t="s">
        <v>501</v>
      </c>
      <c r="M6" s="258" t="s">
        <v>523</v>
      </c>
      <c r="N6" s="258" t="s">
        <v>534</v>
      </c>
      <c r="O6" s="258" t="s">
        <v>504</v>
      </c>
      <c r="P6" s="258" t="s">
        <v>541</v>
      </c>
      <c r="Q6" s="258" t="s">
        <v>506</v>
      </c>
      <c r="R6" s="258" t="s">
        <v>542</v>
      </c>
      <c r="S6" s="258" t="s">
        <v>508</v>
      </c>
      <c r="T6" s="258" t="s">
        <v>543</v>
      </c>
      <c r="U6" s="258" t="s">
        <v>544</v>
      </c>
      <c r="V6" s="258" t="s">
        <v>529</v>
      </c>
      <c r="W6" s="258" t="s">
        <v>512</v>
      </c>
    </row>
    <row r="7">
      <c r="A7" s="258" t="s">
        <v>545</v>
      </c>
      <c r="B7" s="258" t="s">
        <v>546</v>
      </c>
      <c r="C7" s="261" t="s">
        <v>547</v>
      </c>
      <c r="D7" s="3"/>
      <c r="E7" s="3"/>
      <c r="F7" s="3"/>
      <c r="G7" s="3"/>
      <c r="H7" s="258" t="s">
        <v>548</v>
      </c>
      <c r="I7" s="258" t="s">
        <v>231</v>
      </c>
      <c r="J7" s="258" t="s">
        <v>499</v>
      </c>
      <c r="K7" s="260" t="s">
        <v>500</v>
      </c>
      <c r="L7" s="258" t="s">
        <v>549</v>
      </c>
      <c r="M7" s="258" t="s">
        <v>550</v>
      </c>
      <c r="N7" s="258" t="s">
        <v>551</v>
      </c>
      <c r="O7" s="258" t="s">
        <v>504</v>
      </c>
      <c r="P7" s="258" t="s">
        <v>505</v>
      </c>
      <c r="Q7" s="258" t="s">
        <v>525</v>
      </c>
      <c r="R7" s="258" t="s">
        <v>552</v>
      </c>
      <c r="S7" s="258" t="s">
        <v>508</v>
      </c>
      <c r="T7" s="258" t="s">
        <v>509</v>
      </c>
      <c r="U7" s="258" t="s">
        <v>553</v>
      </c>
      <c r="V7" s="258" t="s">
        <v>554</v>
      </c>
      <c r="W7" s="258" t="s">
        <v>512</v>
      </c>
    </row>
    <row r="8">
      <c r="A8" s="258" t="s">
        <v>555</v>
      </c>
      <c r="B8" s="258" t="s">
        <v>556</v>
      </c>
      <c r="C8" s="259">
        <v>1.6155687808E10</v>
      </c>
      <c r="D8" s="3"/>
      <c r="E8" s="3"/>
      <c r="F8" s="3"/>
      <c r="G8" s="3"/>
      <c r="H8" s="258" t="s">
        <v>557</v>
      </c>
      <c r="I8" s="258" t="s">
        <v>231</v>
      </c>
      <c r="J8" s="258" t="s">
        <v>558</v>
      </c>
      <c r="K8" s="260" t="s">
        <v>500</v>
      </c>
      <c r="L8" s="258" t="s">
        <v>514</v>
      </c>
      <c r="M8" s="258" t="s">
        <v>523</v>
      </c>
      <c r="N8" s="258" t="s">
        <v>524</v>
      </c>
      <c r="O8" s="258" t="s">
        <v>504</v>
      </c>
      <c r="P8" s="258" t="s">
        <v>505</v>
      </c>
      <c r="Q8" s="258" t="s">
        <v>525</v>
      </c>
      <c r="R8" s="258" t="s">
        <v>559</v>
      </c>
      <c r="S8" s="258" t="s">
        <v>508</v>
      </c>
      <c r="T8" s="258" t="s">
        <v>560</v>
      </c>
      <c r="U8" s="258" t="s">
        <v>561</v>
      </c>
      <c r="V8" s="258" t="s">
        <v>554</v>
      </c>
      <c r="W8" s="258" t="s">
        <v>512</v>
      </c>
    </row>
    <row r="9">
      <c r="A9" s="258" t="s">
        <v>562</v>
      </c>
      <c r="B9" s="258" t="s">
        <v>563</v>
      </c>
      <c r="C9" s="259">
        <v>1.6614860857E10</v>
      </c>
      <c r="D9" s="3"/>
      <c r="E9" s="3"/>
      <c r="F9" s="3"/>
      <c r="G9" s="3"/>
      <c r="H9" s="258" t="s">
        <v>564</v>
      </c>
      <c r="I9" s="258" t="s">
        <v>565</v>
      </c>
      <c r="J9" s="258" t="s">
        <v>522</v>
      </c>
      <c r="K9" s="260" t="s">
        <v>566</v>
      </c>
      <c r="L9" s="258" t="s">
        <v>514</v>
      </c>
      <c r="M9" s="258" t="s">
        <v>502</v>
      </c>
      <c r="N9" s="258" t="s">
        <v>567</v>
      </c>
      <c r="O9" s="258" t="s">
        <v>504</v>
      </c>
      <c r="P9" s="258" t="s">
        <v>568</v>
      </c>
      <c r="Q9" s="258" t="s">
        <v>506</v>
      </c>
      <c r="R9" s="258" t="s">
        <v>569</v>
      </c>
      <c r="S9" s="258" t="s">
        <v>570</v>
      </c>
      <c r="T9" s="258" t="s">
        <v>536</v>
      </c>
      <c r="U9" s="258" t="s">
        <v>571</v>
      </c>
      <c r="V9" s="258" t="s">
        <v>529</v>
      </c>
      <c r="W9" s="258" t="s">
        <v>512</v>
      </c>
    </row>
    <row r="10">
      <c r="A10" s="258" t="s">
        <v>572</v>
      </c>
      <c r="B10" s="258" t="s">
        <v>573</v>
      </c>
      <c r="C10" s="259">
        <v>1.9543104933E10</v>
      </c>
      <c r="D10" s="3"/>
      <c r="E10" s="3"/>
      <c r="F10" s="3"/>
      <c r="G10" s="3"/>
      <c r="H10" s="258"/>
      <c r="I10" s="258" t="s">
        <v>521</v>
      </c>
      <c r="J10" s="258" t="s">
        <v>574</v>
      </c>
      <c r="K10" s="260" t="s">
        <v>513</v>
      </c>
      <c r="L10" s="258" t="s">
        <v>549</v>
      </c>
      <c r="M10" s="258" t="s">
        <v>523</v>
      </c>
      <c r="N10" s="258" t="s">
        <v>575</v>
      </c>
      <c r="O10" s="258" t="s">
        <v>504</v>
      </c>
      <c r="P10" s="258" t="s">
        <v>568</v>
      </c>
      <c r="Q10" s="258" t="s">
        <v>506</v>
      </c>
      <c r="R10" s="258" t="s">
        <v>576</v>
      </c>
      <c r="S10" s="258" t="s">
        <v>508</v>
      </c>
      <c r="T10" s="258" t="s">
        <v>527</v>
      </c>
      <c r="U10" s="258" t="s">
        <v>577</v>
      </c>
      <c r="V10" s="258" t="s">
        <v>578</v>
      </c>
      <c r="W10" s="258" t="s">
        <v>512</v>
      </c>
    </row>
    <row r="11">
      <c r="A11" s="258" t="s">
        <v>579</v>
      </c>
      <c r="B11" s="258" t="s">
        <v>580</v>
      </c>
      <c r="C11" s="261" t="s">
        <v>581</v>
      </c>
      <c r="D11" s="3"/>
      <c r="E11" s="3"/>
      <c r="F11" s="3"/>
      <c r="G11" s="3"/>
      <c r="H11" s="258" t="s">
        <v>582</v>
      </c>
      <c r="I11" s="258" t="s">
        <v>583</v>
      </c>
      <c r="J11" s="258" t="s">
        <v>499</v>
      </c>
      <c r="K11" s="260" t="s">
        <v>500</v>
      </c>
      <c r="L11" s="258" t="s">
        <v>501</v>
      </c>
      <c r="M11" s="258" t="s">
        <v>523</v>
      </c>
      <c r="N11" s="258" t="s">
        <v>584</v>
      </c>
      <c r="O11" s="258" t="s">
        <v>585</v>
      </c>
      <c r="P11" s="258" t="s">
        <v>505</v>
      </c>
      <c r="Q11" s="258" t="s">
        <v>506</v>
      </c>
      <c r="R11" s="258" t="s">
        <v>586</v>
      </c>
      <c r="S11" s="258" t="s">
        <v>508</v>
      </c>
      <c r="T11" s="258" t="s">
        <v>587</v>
      </c>
      <c r="U11" s="258" t="s">
        <v>588</v>
      </c>
      <c r="V11" s="258" t="s">
        <v>511</v>
      </c>
      <c r="W11" s="258" t="s">
        <v>512</v>
      </c>
    </row>
    <row r="12">
      <c r="A12" s="258" t="s">
        <v>589</v>
      </c>
      <c r="B12" s="258" t="s">
        <v>590</v>
      </c>
      <c r="C12" s="259">
        <v>1.7867635386E10</v>
      </c>
      <c r="D12" s="3"/>
      <c r="E12" s="3"/>
      <c r="F12" s="3"/>
      <c r="G12" s="3"/>
      <c r="H12" s="258" t="s">
        <v>591</v>
      </c>
      <c r="I12" s="258" t="s">
        <v>233</v>
      </c>
      <c r="J12" s="258" t="s">
        <v>499</v>
      </c>
      <c r="K12" s="260" t="s">
        <v>513</v>
      </c>
      <c r="L12" s="258" t="s">
        <v>549</v>
      </c>
      <c r="M12" s="258" t="s">
        <v>523</v>
      </c>
      <c r="N12" s="258" t="s">
        <v>592</v>
      </c>
      <c r="O12" s="258" t="s">
        <v>504</v>
      </c>
      <c r="P12" s="258" t="s">
        <v>505</v>
      </c>
      <c r="Q12" s="258" t="s">
        <v>506</v>
      </c>
      <c r="R12" s="258" t="s">
        <v>593</v>
      </c>
      <c r="S12" s="258" t="s">
        <v>508</v>
      </c>
      <c r="T12" s="258" t="s">
        <v>587</v>
      </c>
      <c r="U12" s="258" t="s">
        <v>594</v>
      </c>
      <c r="V12" s="258" t="s">
        <v>529</v>
      </c>
      <c r="W12" s="258" t="s">
        <v>512</v>
      </c>
    </row>
    <row r="13">
      <c r="A13" s="258" t="s">
        <v>595</v>
      </c>
      <c r="B13" s="258" t="s">
        <v>596</v>
      </c>
      <c r="C13" s="259">
        <v>1.5807868766E10</v>
      </c>
      <c r="D13" s="3"/>
      <c r="E13" s="3"/>
      <c r="F13" s="3"/>
      <c r="G13" s="3"/>
      <c r="H13" s="258" t="s">
        <v>532</v>
      </c>
      <c r="I13" s="258" t="s">
        <v>521</v>
      </c>
      <c r="J13" s="258" t="s">
        <v>499</v>
      </c>
      <c r="K13" s="260" t="s">
        <v>500</v>
      </c>
      <c r="L13" s="258" t="s">
        <v>549</v>
      </c>
      <c r="M13" s="258" t="s">
        <v>523</v>
      </c>
      <c r="N13" s="258" t="s">
        <v>592</v>
      </c>
      <c r="O13" s="258" t="s">
        <v>504</v>
      </c>
      <c r="P13" s="258" t="s">
        <v>541</v>
      </c>
      <c r="Q13" s="258" t="s">
        <v>506</v>
      </c>
      <c r="R13" s="258" t="s">
        <v>597</v>
      </c>
      <c r="S13" s="258" t="s">
        <v>598</v>
      </c>
      <c r="T13" s="258" t="s">
        <v>527</v>
      </c>
      <c r="U13" s="258" t="s">
        <v>599</v>
      </c>
      <c r="V13" s="258" t="s">
        <v>529</v>
      </c>
      <c r="W13" s="258" t="s">
        <v>512</v>
      </c>
    </row>
    <row r="14">
      <c r="A14" s="258" t="s">
        <v>600</v>
      </c>
      <c r="B14" s="258" t="s">
        <v>601</v>
      </c>
      <c r="C14" s="261" t="s">
        <v>602</v>
      </c>
      <c r="D14" s="3"/>
      <c r="E14" s="3"/>
      <c r="F14" s="3"/>
      <c r="G14" s="3"/>
      <c r="H14" s="258" t="s">
        <v>548</v>
      </c>
      <c r="I14" s="258" t="s">
        <v>521</v>
      </c>
      <c r="J14" s="258" t="s">
        <v>574</v>
      </c>
      <c r="K14" s="260" t="s">
        <v>513</v>
      </c>
      <c r="L14" s="258" t="s">
        <v>514</v>
      </c>
      <c r="M14" s="258" t="s">
        <v>523</v>
      </c>
      <c r="N14" s="258" t="s">
        <v>575</v>
      </c>
      <c r="O14" s="258" t="s">
        <v>504</v>
      </c>
      <c r="P14" s="258" t="s">
        <v>603</v>
      </c>
      <c r="Q14" s="258" t="s">
        <v>604</v>
      </c>
      <c r="R14" s="258" t="s">
        <v>605</v>
      </c>
      <c r="S14" s="258" t="s">
        <v>606</v>
      </c>
      <c r="T14" s="258" t="s">
        <v>536</v>
      </c>
      <c r="U14" s="258" t="s">
        <v>607</v>
      </c>
      <c r="V14" s="258" t="s">
        <v>529</v>
      </c>
      <c r="W14" s="258" t="s">
        <v>512</v>
      </c>
    </row>
    <row r="15">
      <c r="A15" s="258" t="s">
        <v>608</v>
      </c>
      <c r="B15" s="258" t="s">
        <v>609</v>
      </c>
      <c r="C15" s="261" t="s">
        <v>610</v>
      </c>
      <c r="D15" s="3"/>
      <c r="E15" s="3"/>
      <c r="F15" s="3"/>
      <c r="G15" s="3"/>
      <c r="H15" s="258" t="s">
        <v>548</v>
      </c>
      <c r="I15" s="258" t="s">
        <v>233</v>
      </c>
      <c r="J15" s="258" t="s">
        <v>522</v>
      </c>
      <c r="K15" s="260" t="s">
        <v>500</v>
      </c>
      <c r="L15" s="258" t="s">
        <v>501</v>
      </c>
      <c r="M15" s="258" t="s">
        <v>523</v>
      </c>
      <c r="N15" s="258" t="s">
        <v>524</v>
      </c>
      <c r="O15" s="258" t="s">
        <v>504</v>
      </c>
      <c r="P15" s="258" t="s">
        <v>505</v>
      </c>
      <c r="Q15" s="258" t="s">
        <v>506</v>
      </c>
      <c r="R15" s="258" t="s">
        <v>611</v>
      </c>
      <c r="S15" s="258" t="s">
        <v>508</v>
      </c>
      <c r="T15" s="258" t="s">
        <v>509</v>
      </c>
      <c r="U15" s="258" t="s">
        <v>612</v>
      </c>
      <c r="V15" s="258" t="s">
        <v>511</v>
      </c>
      <c r="W15" s="258" t="s">
        <v>512</v>
      </c>
    </row>
    <row r="16">
      <c r="A16" s="258" t="s">
        <v>613</v>
      </c>
      <c r="B16" s="258" t="s">
        <v>614</v>
      </c>
      <c r="C16" s="259">
        <v>1.2017373129E10</v>
      </c>
      <c r="D16" s="3"/>
      <c r="E16" s="3"/>
      <c r="F16" s="3"/>
      <c r="G16" s="3"/>
      <c r="H16" s="258" t="s">
        <v>557</v>
      </c>
      <c r="I16" s="258" t="s">
        <v>540</v>
      </c>
      <c r="J16" s="258" t="s">
        <v>522</v>
      </c>
      <c r="K16" s="260" t="s">
        <v>513</v>
      </c>
      <c r="L16" s="258" t="s">
        <v>615</v>
      </c>
      <c r="M16" s="258" t="s">
        <v>523</v>
      </c>
      <c r="N16" s="258" t="s">
        <v>616</v>
      </c>
      <c r="O16" s="258" t="s">
        <v>504</v>
      </c>
      <c r="P16" s="258" t="s">
        <v>541</v>
      </c>
      <c r="Q16" s="258" t="s">
        <v>617</v>
      </c>
      <c r="R16" s="258" t="s">
        <v>611</v>
      </c>
      <c r="S16" s="258" t="s">
        <v>570</v>
      </c>
      <c r="T16" s="258" t="s">
        <v>527</v>
      </c>
      <c r="U16" s="258" t="s">
        <v>618</v>
      </c>
      <c r="V16" s="258" t="s">
        <v>529</v>
      </c>
      <c r="W16" s="258" t="s">
        <v>512</v>
      </c>
    </row>
    <row r="17">
      <c r="A17" s="258" t="s">
        <v>619</v>
      </c>
      <c r="B17" s="258" t="s">
        <v>620</v>
      </c>
      <c r="C17" s="261" t="s">
        <v>621</v>
      </c>
      <c r="D17" s="3"/>
      <c r="E17" s="3"/>
      <c r="F17" s="3"/>
      <c r="G17" s="3"/>
      <c r="H17" s="258" t="s">
        <v>622</v>
      </c>
      <c r="I17" s="258" t="s">
        <v>533</v>
      </c>
      <c r="J17" s="258" t="s">
        <v>499</v>
      </c>
      <c r="K17" s="260" t="s">
        <v>500</v>
      </c>
      <c r="L17" s="258" t="s">
        <v>549</v>
      </c>
      <c r="M17" s="258" t="s">
        <v>623</v>
      </c>
      <c r="N17" s="258" t="s">
        <v>624</v>
      </c>
      <c r="O17" s="258" t="s">
        <v>504</v>
      </c>
      <c r="P17" s="258" t="s">
        <v>505</v>
      </c>
      <c r="Q17" s="258" t="s">
        <v>525</v>
      </c>
      <c r="R17" s="258" t="s">
        <v>625</v>
      </c>
      <c r="S17" s="258" t="s">
        <v>508</v>
      </c>
      <c r="T17" s="258" t="s">
        <v>527</v>
      </c>
      <c r="U17" s="258" t="s">
        <v>626</v>
      </c>
      <c r="V17" s="258" t="s">
        <v>554</v>
      </c>
      <c r="W17" s="258" t="s">
        <v>512</v>
      </c>
    </row>
    <row r="18">
      <c r="A18" s="258" t="s">
        <v>627</v>
      </c>
      <c r="B18" s="258" t="s">
        <v>628</v>
      </c>
      <c r="C18" s="261" t="s">
        <v>629</v>
      </c>
      <c r="D18" s="3"/>
      <c r="E18" s="3"/>
      <c r="F18" s="3"/>
      <c r="G18" s="3"/>
      <c r="H18" s="258" t="s">
        <v>622</v>
      </c>
      <c r="I18" s="258" t="s">
        <v>521</v>
      </c>
      <c r="J18" s="258" t="s">
        <v>499</v>
      </c>
      <c r="K18" s="260" t="s">
        <v>500</v>
      </c>
      <c r="L18" s="258" t="s">
        <v>549</v>
      </c>
      <c r="M18" s="258" t="s">
        <v>550</v>
      </c>
      <c r="N18" s="258" t="s">
        <v>624</v>
      </c>
      <c r="O18" s="258" t="s">
        <v>504</v>
      </c>
      <c r="P18" s="258" t="s">
        <v>541</v>
      </c>
      <c r="Q18" s="258" t="s">
        <v>506</v>
      </c>
      <c r="R18" s="258" t="s">
        <v>630</v>
      </c>
      <c r="S18" s="258" t="s">
        <v>598</v>
      </c>
      <c r="T18" s="258" t="s">
        <v>587</v>
      </c>
      <c r="U18" s="258" t="s">
        <v>631</v>
      </c>
      <c r="V18" s="258" t="s">
        <v>511</v>
      </c>
      <c r="W18" s="258" t="s">
        <v>512</v>
      </c>
    </row>
    <row r="19">
      <c r="A19" s="258" t="s">
        <v>632</v>
      </c>
      <c r="B19" s="258" t="s">
        <v>633</v>
      </c>
      <c r="C19" s="261" t="s">
        <v>634</v>
      </c>
      <c r="D19" s="3"/>
      <c r="E19" s="3"/>
      <c r="F19" s="3"/>
      <c r="G19" s="3"/>
      <c r="H19" s="258" t="s">
        <v>635</v>
      </c>
      <c r="I19" s="258" t="s">
        <v>636</v>
      </c>
      <c r="J19" s="258" t="s">
        <v>574</v>
      </c>
      <c r="K19" s="260" t="s">
        <v>513</v>
      </c>
      <c r="L19" s="258" t="s">
        <v>514</v>
      </c>
      <c r="M19" s="258" t="s">
        <v>550</v>
      </c>
      <c r="N19" s="258" t="s">
        <v>637</v>
      </c>
      <c r="O19" s="258" t="s">
        <v>504</v>
      </c>
      <c r="P19" s="258" t="s">
        <v>505</v>
      </c>
      <c r="Q19" s="258" t="s">
        <v>638</v>
      </c>
      <c r="R19" s="258" t="s">
        <v>639</v>
      </c>
      <c r="S19" s="258" t="s">
        <v>508</v>
      </c>
      <c r="T19" s="258" t="s">
        <v>536</v>
      </c>
      <c r="U19" s="258" t="s">
        <v>640</v>
      </c>
      <c r="V19" s="258" t="s">
        <v>529</v>
      </c>
      <c r="W19" s="258" t="s">
        <v>512</v>
      </c>
    </row>
    <row r="20">
      <c r="A20" s="258" t="s">
        <v>641</v>
      </c>
      <c r="B20" s="258" t="s">
        <v>642</v>
      </c>
      <c r="C20" s="261" t="s">
        <v>643</v>
      </c>
      <c r="D20" s="3"/>
      <c r="E20" s="3"/>
      <c r="F20" s="3"/>
      <c r="G20" s="3"/>
      <c r="H20" s="258" t="s">
        <v>622</v>
      </c>
      <c r="I20" s="258" t="s">
        <v>636</v>
      </c>
      <c r="J20" s="258" t="s">
        <v>499</v>
      </c>
      <c r="K20" s="260" t="s">
        <v>513</v>
      </c>
      <c r="L20" s="258" t="s">
        <v>549</v>
      </c>
      <c r="M20" s="258" t="s">
        <v>523</v>
      </c>
      <c r="N20" s="258" t="s">
        <v>644</v>
      </c>
      <c r="O20" s="258" t="s">
        <v>504</v>
      </c>
      <c r="P20" s="258" t="s">
        <v>505</v>
      </c>
      <c r="Q20" s="258" t="s">
        <v>506</v>
      </c>
      <c r="R20" s="258" t="s">
        <v>645</v>
      </c>
      <c r="S20" s="258" t="s">
        <v>570</v>
      </c>
      <c r="T20" s="258" t="s">
        <v>587</v>
      </c>
      <c r="U20" s="258" t="s">
        <v>19</v>
      </c>
      <c r="V20" s="258" t="s">
        <v>529</v>
      </c>
      <c r="W20" s="258" t="s">
        <v>512</v>
      </c>
    </row>
    <row r="21">
      <c r="A21" s="258" t="s">
        <v>646</v>
      </c>
      <c r="B21" s="258" t="s">
        <v>647</v>
      </c>
      <c r="C21" s="261" t="s">
        <v>648</v>
      </c>
      <c r="D21" s="3"/>
      <c r="E21" s="3"/>
      <c r="F21" s="3"/>
      <c r="G21" s="3"/>
      <c r="H21" s="258" t="s">
        <v>302</v>
      </c>
      <c r="I21" s="258" t="s">
        <v>521</v>
      </c>
      <c r="J21" s="258" t="s">
        <v>499</v>
      </c>
      <c r="K21" s="260" t="s">
        <v>513</v>
      </c>
      <c r="L21" s="258" t="s">
        <v>549</v>
      </c>
      <c r="M21" s="258" t="s">
        <v>523</v>
      </c>
      <c r="N21" s="258" t="s">
        <v>649</v>
      </c>
      <c r="O21" s="258" t="s">
        <v>504</v>
      </c>
      <c r="P21" s="258" t="s">
        <v>603</v>
      </c>
      <c r="Q21" s="258" t="s">
        <v>506</v>
      </c>
      <c r="R21" s="258" t="s">
        <v>650</v>
      </c>
      <c r="S21" s="258" t="s">
        <v>508</v>
      </c>
      <c r="T21" s="258" t="s">
        <v>651</v>
      </c>
      <c r="U21" s="258" t="s">
        <v>652</v>
      </c>
      <c r="V21" s="258" t="s">
        <v>578</v>
      </c>
      <c r="W21" s="258" t="s">
        <v>512</v>
      </c>
    </row>
    <row r="22">
      <c r="A22" s="258" t="s">
        <v>653</v>
      </c>
      <c r="B22" s="258" t="s">
        <v>654</v>
      </c>
      <c r="C22" s="261" t="s">
        <v>655</v>
      </c>
      <c r="D22" s="3"/>
      <c r="E22" s="3"/>
      <c r="F22" s="3"/>
      <c r="G22" s="3"/>
      <c r="H22" s="258" t="s">
        <v>622</v>
      </c>
      <c r="I22" s="258" t="s">
        <v>656</v>
      </c>
      <c r="J22" s="258" t="s">
        <v>574</v>
      </c>
      <c r="K22" s="260" t="s">
        <v>513</v>
      </c>
      <c r="L22" s="258" t="s">
        <v>615</v>
      </c>
      <c r="M22" s="258" t="s">
        <v>523</v>
      </c>
      <c r="N22" s="258" t="s">
        <v>567</v>
      </c>
      <c r="O22" s="258" t="s">
        <v>504</v>
      </c>
      <c r="P22" s="258" t="s">
        <v>603</v>
      </c>
      <c r="Q22" s="258" t="s">
        <v>525</v>
      </c>
      <c r="R22" s="258" t="s">
        <v>611</v>
      </c>
      <c r="S22" s="258" t="s">
        <v>606</v>
      </c>
      <c r="T22" s="258" t="s">
        <v>536</v>
      </c>
      <c r="U22" s="258" t="s">
        <v>657</v>
      </c>
      <c r="V22" s="258" t="s">
        <v>529</v>
      </c>
      <c r="W22" s="258" t="s">
        <v>512</v>
      </c>
    </row>
    <row r="23">
      <c r="A23" s="258" t="s">
        <v>658</v>
      </c>
      <c r="B23" s="258" t="s">
        <v>659</v>
      </c>
      <c r="C23" s="261" t="s">
        <v>660</v>
      </c>
      <c r="D23" s="3"/>
      <c r="E23" s="3"/>
      <c r="F23" s="3"/>
      <c r="G23" s="3"/>
      <c r="H23" s="258" t="s">
        <v>548</v>
      </c>
      <c r="I23" s="258" t="s">
        <v>521</v>
      </c>
      <c r="J23" s="258" t="s">
        <v>499</v>
      </c>
      <c r="K23" s="260" t="s">
        <v>566</v>
      </c>
      <c r="L23" s="258" t="s">
        <v>549</v>
      </c>
      <c r="M23" s="258" t="s">
        <v>523</v>
      </c>
      <c r="N23" s="258" t="s">
        <v>524</v>
      </c>
      <c r="O23" s="258" t="s">
        <v>516</v>
      </c>
      <c r="P23" s="258" t="s">
        <v>541</v>
      </c>
      <c r="Q23" s="258" t="s">
        <v>525</v>
      </c>
      <c r="R23" s="258" t="s">
        <v>661</v>
      </c>
      <c r="S23" s="258" t="s">
        <v>598</v>
      </c>
      <c r="T23" s="258" t="s">
        <v>536</v>
      </c>
      <c r="U23" s="258" t="s">
        <v>662</v>
      </c>
      <c r="V23" s="258" t="s">
        <v>529</v>
      </c>
      <c r="W23" s="258" t="s">
        <v>512</v>
      </c>
    </row>
    <row r="24">
      <c r="A24" s="258" t="s">
        <v>663</v>
      </c>
      <c r="B24" s="258" t="s">
        <v>664</v>
      </c>
      <c r="C24" s="261" t="s">
        <v>665</v>
      </c>
      <c r="D24" s="3"/>
      <c r="E24" s="3"/>
      <c r="F24" s="3"/>
      <c r="G24" s="3"/>
      <c r="H24" s="258" t="s">
        <v>622</v>
      </c>
      <c r="I24" s="258" t="s">
        <v>521</v>
      </c>
      <c r="J24" s="258" t="s">
        <v>499</v>
      </c>
      <c r="K24" s="260" t="s">
        <v>500</v>
      </c>
      <c r="L24" s="258" t="s">
        <v>514</v>
      </c>
      <c r="M24" s="258" t="s">
        <v>550</v>
      </c>
      <c r="N24" s="258" t="s">
        <v>666</v>
      </c>
      <c r="O24" s="258" t="s">
        <v>504</v>
      </c>
      <c r="P24" s="258" t="s">
        <v>505</v>
      </c>
      <c r="Q24" s="258" t="s">
        <v>506</v>
      </c>
      <c r="R24" s="258" t="s">
        <v>667</v>
      </c>
      <c r="S24" s="258" t="s">
        <v>508</v>
      </c>
      <c r="T24" s="258" t="s">
        <v>587</v>
      </c>
      <c r="U24" s="258" t="s">
        <v>668</v>
      </c>
      <c r="V24" s="258" t="s">
        <v>511</v>
      </c>
      <c r="W24" s="258" t="s">
        <v>512</v>
      </c>
    </row>
    <row r="25">
      <c r="A25" s="258" t="s">
        <v>669</v>
      </c>
      <c r="B25" s="258" t="s">
        <v>670</v>
      </c>
      <c r="C25" s="261" t="s">
        <v>671</v>
      </c>
      <c r="D25" s="3"/>
      <c r="E25" s="3"/>
      <c r="F25" s="3"/>
      <c r="G25" s="3"/>
      <c r="H25" s="258" t="s">
        <v>672</v>
      </c>
      <c r="I25" s="258" t="s">
        <v>231</v>
      </c>
      <c r="J25" s="258" t="s">
        <v>558</v>
      </c>
      <c r="K25" s="260" t="s">
        <v>513</v>
      </c>
      <c r="L25" s="258" t="s">
        <v>549</v>
      </c>
      <c r="M25" s="258" t="s">
        <v>523</v>
      </c>
      <c r="N25" s="258" t="s">
        <v>673</v>
      </c>
      <c r="O25" s="258" t="s">
        <v>504</v>
      </c>
      <c r="P25" s="258" t="s">
        <v>541</v>
      </c>
      <c r="Q25" s="258" t="s">
        <v>506</v>
      </c>
      <c r="R25" s="258" t="s">
        <v>674</v>
      </c>
      <c r="S25" s="258" t="s">
        <v>570</v>
      </c>
      <c r="T25" s="258" t="s">
        <v>536</v>
      </c>
      <c r="U25" s="258" t="s">
        <v>675</v>
      </c>
      <c r="V25" s="258" t="s">
        <v>554</v>
      </c>
      <c r="W25" s="258" t="s">
        <v>512</v>
      </c>
    </row>
    <row r="26">
      <c r="A26" s="258" t="s">
        <v>676</v>
      </c>
      <c r="B26" s="258" t="s">
        <v>677</v>
      </c>
      <c r="C26" s="261" t="s">
        <v>678</v>
      </c>
      <c r="D26" s="3"/>
      <c r="E26" s="3"/>
      <c r="F26" s="3"/>
      <c r="G26" s="3"/>
      <c r="H26" s="258" t="s">
        <v>591</v>
      </c>
      <c r="I26" s="258" t="s">
        <v>533</v>
      </c>
      <c r="J26" s="258" t="s">
        <v>574</v>
      </c>
      <c r="K26" s="260" t="s">
        <v>500</v>
      </c>
      <c r="L26" s="258" t="s">
        <v>514</v>
      </c>
      <c r="M26" s="258" t="s">
        <v>523</v>
      </c>
      <c r="N26" s="258" t="s">
        <v>679</v>
      </c>
      <c r="O26" s="258" t="s">
        <v>504</v>
      </c>
      <c r="P26" s="258" t="s">
        <v>541</v>
      </c>
      <c r="Q26" s="258" t="s">
        <v>604</v>
      </c>
      <c r="R26" s="258" t="s">
        <v>680</v>
      </c>
      <c r="S26" s="258" t="s">
        <v>508</v>
      </c>
      <c r="T26" s="258" t="s">
        <v>536</v>
      </c>
      <c r="U26" s="258" t="s">
        <v>681</v>
      </c>
      <c r="V26" s="258" t="s">
        <v>529</v>
      </c>
      <c r="W26" s="258" t="s">
        <v>512</v>
      </c>
    </row>
    <row r="27">
      <c r="A27" s="258" t="s">
        <v>682</v>
      </c>
      <c r="B27" s="258" t="s">
        <v>683</v>
      </c>
      <c r="C27" s="261" t="s">
        <v>684</v>
      </c>
      <c r="D27" s="3"/>
      <c r="E27" s="3"/>
      <c r="F27" s="3"/>
      <c r="G27" s="3"/>
      <c r="H27" s="258" t="s">
        <v>548</v>
      </c>
      <c r="I27" s="258" t="s">
        <v>685</v>
      </c>
      <c r="J27" s="258" t="s">
        <v>558</v>
      </c>
      <c r="K27" s="260" t="s">
        <v>500</v>
      </c>
      <c r="L27" s="258" t="s">
        <v>549</v>
      </c>
      <c r="M27" s="258" t="s">
        <v>550</v>
      </c>
      <c r="N27" s="258" t="s">
        <v>524</v>
      </c>
      <c r="O27" s="258" t="s">
        <v>504</v>
      </c>
      <c r="P27" s="258" t="s">
        <v>568</v>
      </c>
      <c r="Q27" s="258" t="s">
        <v>604</v>
      </c>
      <c r="R27" s="258" t="s">
        <v>686</v>
      </c>
      <c r="S27" s="258" t="s">
        <v>570</v>
      </c>
      <c r="T27" s="258" t="s">
        <v>527</v>
      </c>
      <c r="U27" s="258" t="s">
        <v>687</v>
      </c>
      <c r="V27" s="258" t="s">
        <v>554</v>
      </c>
      <c r="W27" s="258" t="s">
        <v>512</v>
      </c>
    </row>
    <row r="28">
      <c r="A28" s="258" t="s">
        <v>688</v>
      </c>
      <c r="B28" s="258" t="s">
        <v>689</v>
      </c>
      <c r="C28" s="261" t="s">
        <v>690</v>
      </c>
      <c r="D28" s="3"/>
      <c r="E28" s="3"/>
      <c r="F28" s="3"/>
      <c r="G28" s="3"/>
      <c r="H28" s="258" t="s">
        <v>548</v>
      </c>
      <c r="I28" s="258" t="s">
        <v>533</v>
      </c>
      <c r="J28" s="258" t="s">
        <v>499</v>
      </c>
      <c r="K28" s="260" t="s">
        <v>513</v>
      </c>
      <c r="L28" s="258" t="s">
        <v>549</v>
      </c>
      <c r="M28" s="258" t="s">
        <v>623</v>
      </c>
      <c r="N28" s="258" t="s">
        <v>524</v>
      </c>
      <c r="O28" s="258" t="s">
        <v>504</v>
      </c>
      <c r="P28" s="258" t="s">
        <v>603</v>
      </c>
      <c r="Q28" s="258" t="s">
        <v>506</v>
      </c>
      <c r="R28" s="258" t="s">
        <v>691</v>
      </c>
      <c r="S28" s="258" t="s">
        <v>570</v>
      </c>
      <c r="T28" s="258" t="s">
        <v>509</v>
      </c>
      <c r="U28" s="258" t="s">
        <v>692</v>
      </c>
      <c r="V28" s="258" t="s">
        <v>554</v>
      </c>
      <c r="W28" s="258" t="s">
        <v>512</v>
      </c>
    </row>
    <row r="29">
      <c r="A29" s="258" t="s">
        <v>693</v>
      </c>
      <c r="B29" s="258" t="s">
        <v>694</v>
      </c>
      <c r="C29" s="259">
        <v>1.7543166634E10</v>
      </c>
      <c r="D29" s="3"/>
      <c r="E29" s="3"/>
      <c r="F29" s="3"/>
      <c r="G29" s="3"/>
      <c r="H29" s="258" t="s">
        <v>557</v>
      </c>
      <c r="I29" s="258" t="s">
        <v>521</v>
      </c>
      <c r="J29" s="258" t="s">
        <v>574</v>
      </c>
      <c r="K29" s="260" t="s">
        <v>513</v>
      </c>
      <c r="L29" s="258" t="s">
        <v>549</v>
      </c>
      <c r="M29" s="258" t="s">
        <v>523</v>
      </c>
      <c r="N29" s="258" t="s">
        <v>624</v>
      </c>
      <c r="O29" s="258" t="s">
        <v>504</v>
      </c>
      <c r="P29" s="258" t="s">
        <v>505</v>
      </c>
      <c r="Q29" s="258" t="s">
        <v>506</v>
      </c>
      <c r="R29" s="258" t="s">
        <v>695</v>
      </c>
      <c r="S29" s="258" t="s">
        <v>508</v>
      </c>
      <c r="T29" s="258" t="s">
        <v>536</v>
      </c>
      <c r="U29" s="258" t="s">
        <v>631</v>
      </c>
      <c r="V29" s="258" t="s">
        <v>554</v>
      </c>
      <c r="W29" s="258" t="s">
        <v>512</v>
      </c>
    </row>
    <row r="30">
      <c r="A30" s="258" t="s">
        <v>696</v>
      </c>
      <c r="B30" s="258" t="s">
        <v>697</v>
      </c>
      <c r="C30" s="259">
        <v>1.4076006069E10</v>
      </c>
      <c r="D30" s="3"/>
      <c r="E30" s="3"/>
      <c r="F30" s="3"/>
      <c r="G30" s="3"/>
      <c r="H30" s="258" t="s">
        <v>622</v>
      </c>
      <c r="I30" s="258" t="s">
        <v>533</v>
      </c>
      <c r="J30" s="258" t="s">
        <v>499</v>
      </c>
      <c r="K30" s="260" t="s">
        <v>513</v>
      </c>
      <c r="L30" s="258" t="s">
        <v>549</v>
      </c>
      <c r="M30" s="258" t="s">
        <v>523</v>
      </c>
      <c r="N30" s="258" t="s">
        <v>624</v>
      </c>
      <c r="O30" s="258" t="s">
        <v>504</v>
      </c>
      <c r="P30" s="258" t="s">
        <v>505</v>
      </c>
      <c r="Q30" s="258" t="s">
        <v>506</v>
      </c>
      <c r="R30" s="258" t="s">
        <v>698</v>
      </c>
      <c r="S30" s="258" t="s">
        <v>508</v>
      </c>
      <c r="T30" s="258" t="s">
        <v>527</v>
      </c>
      <c r="U30" s="258" t="s">
        <v>699</v>
      </c>
      <c r="V30" s="258" t="s">
        <v>554</v>
      </c>
      <c r="W30" s="258" t="s">
        <v>512</v>
      </c>
    </row>
    <row r="31">
      <c r="A31" s="258" t="s">
        <v>700</v>
      </c>
      <c r="B31" s="258" t="s">
        <v>701</v>
      </c>
      <c r="C31" s="259">
        <v>3.4692274252E10</v>
      </c>
      <c r="D31" s="3"/>
      <c r="E31" s="3"/>
      <c r="F31" s="3"/>
      <c r="G31" s="3"/>
      <c r="H31" s="258" t="s">
        <v>302</v>
      </c>
      <c r="I31" s="258" t="s">
        <v>521</v>
      </c>
      <c r="J31" s="258" t="s">
        <v>558</v>
      </c>
      <c r="K31" s="260" t="s">
        <v>513</v>
      </c>
      <c r="L31" s="258" t="s">
        <v>549</v>
      </c>
      <c r="M31" s="258" t="s">
        <v>523</v>
      </c>
      <c r="N31" s="258" t="s">
        <v>524</v>
      </c>
      <c r="O31" s="258" t="s">
        <v>585</v>
      </c>
      <c r="P31" s="258" t="s">
        <v>541</v>
      </c>
      <c r="Q31" s="258" t="s">
        <v>506</v>
      </c>
      <c r="R31" s="258" t="s">
        <v>702</v>
      </c>
      <c r="S31" s="258" t="s">
        <v>508</v>
      </c>
      <c r="T31" s="258" t="s">
        <v>587</v>
      </c>
      <c r="U31" s="258" t="s">
        <v>703</v>
      </c>
      <c r="V31" s="258" t="s">
        <v>554</v>
      </c>
      <c r="W31" s="258" t="s">
        <v>512</v>
      </c>
    </row>
    <row r="32">
      <c r="A32" s="258" t="s">
        <v>704</v>
      </c>
      <c r="B32" s="258" t="s">
        <v>705</v>
      </c>
      <c r="C32" s="261" t="s">
        <v>706</v>
      </c>
      <c r="D32" s="3"/>
      <c r="E32" s="3"/>
      <c r="F32" s="3"/>
      <c r="G32" s="3"/>
      <c r="H32" s="258" t="s">
        <v>548</v>
      </c>
      <c r="I32" s="258" t="s">
        <v>521</v>
      </c>
      <c r="J32" s="258" t="s">
        <v>558</v>
      </c>
      <c r="K32" s="260" t="s">
        <v>513</v>
      </c>
      <c r="L32" s="258" t="s">
        <v>549</v>
      </c>
      <c r="M32" s="258" t="s">
        <v>523</v>
      </c>
      <c r="N32" s="258" t="s">
        <v>707</v>
      </c>
      <c r="O32" s="258" t="s">
        <v>504</v>
      </c>
      <c r="P32" s="258" t="s">
        <v>568</v>
      </c>
      <c r="Q32" s="258" t="s">
        <v>525</v>
      </c>
      <c r="R32" s="258" t="s">
        <v>708</v>
      </c>
      <c r="S32" s="258" t="s">
        <v>570</v>
      </c>
      <c r="T32" s="258" t="s">
        <v>509</v>
      </c>
      <c r="U32" s="258" t="s">
        <v>709</v>
      </c>
      <c r="V32" s="258" t="s">
        <v>554</v>
      </c>
      <c r="W32" s="258" t="s">
        <v>512</v>
      </c>
    </row>
    <row r="33">
      <c r="A33" s="258" t="s">
        <v>710</v>
      </c>
      <c r="B33" s="258" t="s">
        <v>711</v>
      </c>
      <c r="C33" s="259">
        <v>1.7748040348E10</v>
      </c>
      <c r="D33" s="3"/>
      <c r="E33" s="3"/>
      <c r="F33" s="3"/>
      <c r="G33" s="3"/>
      <c r="H33" s="258" t="s">
        <v>548</v>
      </c>
      <c r="I33" s="258" t="s">
        <v>636</v>
      </c>
      <c r="J33" s="258" t="s">
        <v>499</v>
      </c>
      <c r="K33" s="260" t="s">
        <v>500</v>
      </c>
      <c r="L33" s="258" t="s">
        <v>549</v>
      </c>
      <c r="M33" s="258" t="s">
        <v>523</v>
      </c>
      <c r="N33" s="258" t="s">
        <v>707</v>
      </c>
      <c r="O33" s="258" t="s">
        <v>504</v>
      </c>
      <c r="P33" s="258" t="s">
        <v>505</v>
      </c>
      <c r="Q33" s="258" t="s">
        <v>506</v>
      </c>
      <c r="R33" s="258" t="s">
        <v>712</v>
      </c>
      <c r="S33" s="258" t="s">
        <v>508</v>
      </c>
      <c r="T33" s="258" t="s">
        <v>536</v>
      </c>
      <c r="U33" s="258" t="s">
        <v>713</v>
      </c>
      <c r="V33" s="258" t="s">
        <v>529</v>
      </c>
      <c r="W33" s="258" t="s">
        <v>512</v>
      </c>
    </row>
    <row r="34">
      <c r="A34" s="258" t="s">
        <v>714</v>
      </c>
      <c r="B34" s="258" t="s">
        <v>715</v>
      </c>
      <c r="C34" s="261" t="s">
        <v>716</v>
      </c>
      <c r="D34" s="3"/>
      <c r="E34" s="3"/>
      <c r="F34" s="3"/>
      <c r="G34" s="3"/>
      <c r="H34" s="258" t="s">
        <v>557</v>
      </c>
      <c r="I34" s="258" t="s">
        <v>636</v>
      </c>
      <c r="J34" s="258" t="s">
        <v>499</v>
      </c>
      <c r="K34" s="260" t="s">
        <v>500</v>
      </c>
      <c r="L34" s="258" t="s">
        <v>549</v>
      </c>
      <c r="M34" s="258" t="s">
        <v>523</v>
      </c>
      <c r="N34" s="258" t="s">
        <v>575</v>
      </c>
      <c r="O34" s="258" t="s">
        <v>585</v>
      </c>
      <c r="P34" s="258" t="s">
        <v>505</v>
      </c>
      <c r="Q34" s="258" t="s">
        <v>506</v>
      </c>
      <c r="R34" s="258" t="s">
        <v>717</v>
      </c>
      <c r="S34" s="258" t="s">
        <v>508</v>
      </c>
      <c r="T34" s="258" t="s">
        <v>587</v>
      </c>
      <c r="U34" s="258" t="s">
        <v>718</v>
      </c>
      <c r="V34" s="258" t="s">
        <v>529</v>
      </c>
      <c r="W34" s="258" t="s">
        <v>512</v>
      </c>
    </row>
    <row r="35">
      <c r="A35" s="258" t="s">
        <v>719</v>
      </c>
      <c r="B35" s="258" t="s">
        <v>720</v>
      </c>
      <c r="C35" s="261" t="s">
        <v>721</v>
      </c>
      <c r="D35" s="3"/>
      <c r="E35" s="3"/>
      <c r="F35" s="3"/>
      <c r="G35" s="3"/>
      <c r="H35" s="258" t="s">
        <v>722</v>
      </c>
      <c r="I35" s="258" t="s">
        <v>233</v>
      </c>
      <c r="J35" s="258" t="s">
        <v>522</v>
      </c>
      <c r="K35" s="260" t="s">
        <v>513</v>
      </c>
      <c r="L35" s="258" t="s">
        <v>549</v>
      </c>
      <c r="M35" s="258" t="s">
        <v>523</v>
      </c>
      <c r="N35" s="258" t="s">
        <v>584</v>
      </c>
      <c r="O35" s="258" t="s">
        <v>585</v>
      </c>
      <c r="P35" s="258" t="s">
        <v>603</v>
      </c>
      <c r="Q35" s="258" t="s">
        <v>506</v>
      </c>
      <c r="R35" s="258" t="s">
        <v>723</v>
      </c>
      <c r="S35" s="258" t="s">
        <v>570</v>
      </c>
      <c r="T35" s="258" t="s">
        <v>587</v>
      </c>
      <c r="U35" s="258" t="s">
        <v>631</v>
      </c>
      <c r="V35" s="258" t="s">
        <v>554</v>
      </c>
      <c r="W35" s="258" t="s">
        <v>512</v>
      </c>
    </row>
    <row r="36">
      <c r="A36" s="258" t="s">
        <v>724</v>
      </c>
      <c r="B36" s="258" t="s">
        <v>725</v>
      </c>
      <c r="C36" s="259">
        <v>1.2272296592E10</v>
      </c>
      <c r="D36" s="3"/>
      <c r="E36" s="3"/>
      <c r="F36" s="3"/>
      <c r="G36" s="3"/>
      <c r="H36" s="258" t="s">
        <v>726</v>
      </c>
      <c r="I36" s="258" t="s">
        <v>636</v>
      </c>
      <c r="J36" s="258" t="s">
        <v>499</v>
      </c>
      <c r="K36" s="260" t="s">
        <v>513</v>
      </c>
      <c r="L36" s="258" t="s">
        <v>514</v>
      </c>
      <c r="M36" s="258" t="s">
        <v>550</v>
      </c>
      <c r="N36" s="258" t="s">
        <v>624</v>
      </c>
      <c r="O36" s="258" t="s">
        <v>516</v>
      </c>
      <c r="P36" s="258" t="s">
        <v>541</v>
      </c>
      <c r="Q36" s="258" t="s">
        <v>525</v>
      </c>
      <c r="R36" s="258" t="s">
        <v>727</v>
      </c>
      <c r="S36" s="258" t="s">
        <v>508</v>
      </c>
      <c r="T36" s="258" t="s">
        <v>536</v>
      </c>
      <c r="U36" s="258" t="s">
        <v>728</v>
      </c>
      <c r="V36" s="258" t="s">
        <v>554</v>
      </c>
      <c r="W36" s="258" t="s">
        <v>512</v>
      </c>
    </row>
    <row r="37">
      <c r="A37" s="258" t="s">
        <v>729</v>
      </c>
      <c r="B37" s="258" t="s">
        <v>730</v>
      </c>
      <c r="C37" s="259">
        <v>1.3478591182E10</v>
      </c>
      <c r="D37" s="3"/>
      <c r="E37" s="3"/>
      <c r="F37" s="3"/>
      <c r="G37" s="3"/>
      <c r="H37" s="258" t="s">
        <v>557</v>
      </c>
      <c r="I37" s="258" t="s">
        <v>540</v>
      </c>
      <c r="J37" s="258" t="s">
        <v>522</v>
      </c>
      <c r="K37" s="260" t="s">
        <v>513</v>
      </c>
      <c r="L37" s="258" t="s">
        <v>549</v>
      </c>
      <c r="M37" s="258" t="s">
        <v>523</v>
      </c>
      <c r="N37" s="258" t="s">
        <v>567</v>
      </c>
      <c r="O37" s="258" t="s">
        <v>504</v>
      </c>
      <c r="P37" s="258" t="s">
        <v>541</v>
      </c>
      <c r="Q37" s="258" t="s">
        <v>506</v>
      </c>
      <c r="R37" s="258" t="s">
        <v>731</v>
      </c>
      <c r="S37" s="258" t="s">
        <v>598</v>
      </c>
      <c r="T37" s="258" t="s">
        <v>509</v>
      </c>
      <c r="U37" s="258" t="s">
        <v>731</v>
      </c>
      <c r="V37" s="258" t="s">
        <v>529</v>
      </c>
      <c r="W37" s="258" t="s">
        <v>512</v>
      </c>
    </row>
    <row r="38">
      <c r="A38" s="258" t="s">
        <v>732</v>
      </c>
      <c r="B38" s="258" t="s">
        <v>733</v>
      </c>
      <c r="C38" s="261" t="s">
        <v>734</v>
      </c>
      <c r="D38" s="3"/>
      <c r="E38" s="3"/>
      <c r="F38" s="3"/>
      <c r="G38" s="3"/>
      <c r="H38" s="258" t="s">
        <v>548</v>
      </c>
      <c r="I38" s="258" t="s">
        <v>735</v>
      </c>
      <c r="J38" s="258" t="s">
        <v>499</v>
      </c>
      <c r="K38" s="260" t="s">
        <v>500</v>
      </c>
      <c r="L38" s="258" t="s">
        <v>501</v>
      </c>
      <c r="M38" s="258" t="s">
        <v>550</v>
      </c>
      <c r="N38" s="258" t="s">
        <v>736</v>
      </c>
      <c r="O38" s="258" t="s">
        <v>585</v>
      </c>
      <c r="P38" s="258" t="s">
        <v>541</v>
      </c>
      <c r="Q38" s="258" t="s">
        <v>506</v>
      </c>
      <c r="R38" s="258" t="s">
        <v>737</v>
      </c>
      <c r="S38" s="258" t="s">
        <v>508</v>
      </c>
      <c r="T38" s="258" t="s">
        <v>587</v>
      </c>
      <c r="U38" s="258" t="s">
        <v>738</v>
      </c>
      <c r="V38" s="258" t="s">
        <v>529</v>
      </c>
      <c r="W38" s="258" t="s">
        <v>512</v>
      </c>
    </row>
    <row r="39">
      <c r="A39" s="258" t="s">
        <v>739</v>
      </c>
      <c r="B39" s="258" t="s">
        <v>740</v>
      </c>
      <c r="C39" s="259">
        <v>1.551344826E10</v>
      </c>
      <c r="D39" s="3"/>
      <c r="E39" s="3"/>
      <c r="F39" s="3"/>
      <c r="G39" s="3"/>
      <c r="H39" s="258" t="s">
        <v>548</v>
      </c>
      <c r="I39" s="258" t="s">
        <v>233</v>
      </c>
      <c r="J39" s="258" t="s">
        <v>522</v>
      </c>
      <c r="K39" s="260" t="s">
        <v>513</v>
      </c>
      <c r="L39" s="258" t="s">
        <v>549</v>
      </c>
      <c r="M39" s="258" t="s">
        <v>523</v>
      </c>
      <c r="N39" s="258" t="s">
        <v>741</v>
      </c>
      <c r="O39" s="258" t="s">
        <v>516</v>
      </c>
      <c r="P39" s="258" t="s">
        <v>505</v>
      </c>
      <c r="Q39" s="258" t="s">
        <v>506</v>
      </c>
      <c r="R39" s="258" t="s">
        <v>742</v>
      </c>
      <c r="S39" s="258" t="s">
        <v>508</v>
      </c>
      <c r="T39" s="258" t="s">
        <v>587</v>
      </c>
      <c r="U39" s="258" t="s">
        <v>743</v>
      </c>
      <c r="V39" s="258" t="s">
        <v>529</v>
      </c>
      <c r="W39" s="258" t="s">
        <v>512</v>
      </c>
    </row>
    <row r="40">
      <c r="A40" s="258" t="s">
        <v>744</v>
      </c>
      <c r="B40" s="258" t="s">
        <v>745</v>
      </c>
      <c r="C40" s="261" t="s">
        <v>746</v>
      </c>
      <c r="D40" s="3"/>
      <c r="E40" s="3"/>
      <c r="F40" s="3"/>
      <c r="G40" s="3"/>
      <c r="H40" s="258" t="s">
        <v>532</v>
      </c>
      <c r="I40" s="258" t="s">
        <v>636</v>
      </c>
      <c r="J40" s="258" t="s">
        <v>499</v>
      </c>
      <c r="K40" s="260" t="s">
        <v>500</v>
      </c>
      <c r="L40" s="258" t="s">
        <v>549</v>
      </c>
      <c r="M40" s="258" t="s">
        <v>550</v>
      </c>
      <c r="N40" s="258" t="s">
        <v>747</v>
      </c>
      <c r="O40" s="258" t="s">
        <v>585</v>
      </c>
      <c r="P40" s="258" t="s">
        <v>541</v>
      </c>
      <c r="Q40" s="258" t="s">
        <v>506</v>
      </c>
      <c r="R40" s="258" t="s">
        <v>748</v>
      </c>
      <c r="S40" s="258" t="s">
        <v>598</v>
      </c>
      <c r="T40" s="258" t="s">
        <v>509</v>
      </c>
      <c r="U40" s="258" t="s">
        <v>19</v>
      </c>
      <c r="V40" s="258" t="s">
        <v>529</v>
      </c>
      <c r="W40" s="258" t="s">
        <v>512</v>
      </c>
    </row>
    <row r="41">
      <c r="A41" s="258" t="s">
        <v>749</v>
      </c>
      <c r="B41" s="258" t="s">
        <v>750</v>
      </c>
      <c r="C41" s="261" t="s">
        <v>751</v>
      </c>
      <c r="D41" s="3"/>
      <c r="E41" s="3"/>
      <c r="F41" s="3"/>
      <c r="G41" s="3"/>
      <c r="H41" s="258" t="s">
        <v>548</v>
      </c>
      <c r="I41" s="258" t="s">
        <v>533</v>
      </c>
      <c r="J41" s="258" t="s">
        <v>522</v>
      </c>
      <c r="K41" s="260" t="s">
        <v>513</v>
      </c>
      <c r="L41" s="258" t="s">
        <v>615</v>
      </c>
      <c r="M41" s="258" t="s">
        <v>523</v>
      </c>
      <c r="N41" s="258" t="s">
        <v>524</v>
      </c>
      <c r="O41" s="258" t="s">
        <v>504</v>
      </c>
      <c r="P41" s="258" t="s">
        <v>541</v>
      </c>
      <c r="Q41" s="258" t="s">
        <v>506</v>
      </c>
      <c r="R41" s="258" t="s">
        <v>752</v>
      </c>
      <c r="S41" s="258" t="s">
        <v>598</v>
      </c>
      <c r="T41" s="258" t="s">
        <v>536</v>
      </c>
      <c r="U41" s="258" t="s">
        <v>753</v>
      </c>
      <c r="V41" s="258" t="s">
        <v>529</v>
      </c>
      <c r="W41" s="258" t="s">
        <v>512</v>
      </c>
    </row>
    <row r="42">
      <c r="A42" s="258" t="s">
        <v>754</v>
      </c>
      <c r="B42" s="258" t="s">
        <v>755</v>
      </c>
      <c r="C42" s="261" t="s">
        <v>756</v>
      </c>
      <c r="D42" s="3"/>
      <c r="E42" s="3"/>
      <c r="F42" s="3"/>
      <c r="G42" s="3"/>
      <c r="H42" s="258" t="s">
        <v>622</v>
      </c>
      <c r="I42" s="258" t="s">
        <v>533</v>
      </c>
      <c r="J42" s="258" t="s">
        <v>499</v>
      </c>
      <c r="K42" s="260" t="s">
        <v>500</v>
      </c>
      <c r="L42" s="258" t="s">
        <v>501</v>
      </c>
      <c r="M42" s="258" t="s">
        <v>502</v>
      </c>
      <c r="N42" s="258" t="s">
        <v>624</v>
      </c>
      <c r="O42" s="258" t="s">
        <v>504</v>
      </c>
      <c r="P42" s="258" t="s">
        <v>541</v>
      </c>
      <c r="Q42" s="258" t="s">
        <v>506</v>
      </c>
      <c r="R42" s="258" t="s">
        <v>757</v>
      </c>
      <c r="S42" s="258" t="s">
        <v>598</v>
      </c>
      <c r="T42" s="258" t="s">
        <v>587</v>
      </c>
      <c r="U42" s="258" t="s">
        <v>758</v>
      </c>
      <c r="V42" s="258" t="s">
        <v>554</v>
      </c>
      <c r="W42" s="258" t="s">
        <v>512</v>
      </c>
    </row>
    <row r="43">
      <c r="A43" s="258" t="s">
        <v>759</v>
      </c>
      <c r="B43" s="258" t="s">
        <v>760</v>
      </c>
      <c r="C43" s="259">
        <v>1.4012267431E10</v>
      </c>
      <c r="D43" s="3"/>
      <c r="E43" s="3"/>
      <c r="F43" s="3"/>
      <c r="G43" s="3"/>
      <c r="H43" s="258" t="s">
        <v>622</v>
      </c>
      <c r="I43" s="258" t="s">
        <v>540</v>
      </c>
      <c r="J43" s="258" t="s">
        <v>558</v>
      </c>
      <c r="K43" s="260" t="s">
        <v>566</v>
      </c>
      <c r="L43" s="258" t="s">
        <v>615</v>
      </c>
      <c r="M43" s="258" t="s">
        <v>502</v>
      </c>
      <c r="N43" s="258" t="s">
        <v>524</v>
      </c>
      <c r="O43" s="258" t="s">
        <v>504</v>
      </c>
      <c r="P43" s="258" t="s">
        <v>541</v>
      </c>
      <c r="Q43" s="258" t="s">
        <v>617</v>
      </c>
      <c r="R43" s="258" t="s">
        <v>761</v>
      </c>
      <c r="S43" s="258" t="s">
        <v>606</v>
      </c>
      <c r="T43" s="258" t="s">
        <v>651</v>
      </c>
      <c r="U43" s="258" t="s">
        <v>762</v>
      </c>
      <c r="V43" s="258" t="s">
        <v>763</v>
      </c>
      <c r="W43" s="258" t="s">
        <v>512</v>
      </c>
    </row>
    <row r="44">
      <c r="A44" s="258" t="s">
        <v>764</v>
      </c>
      <c r="B44" s="258" t="s">
        <v>765</v>
      </c>
      <c r="C44" s="261" t="s">
        <v>766</v>
      </c>
      <c r="D44" s="53"/>
      <c r="E44" s="53"/>
      <c r="F44" s="53"/>
      <c r="G44" s="53"/>
      <c r="H44" s="258" t="s">
        <v>557</v>
      </c>
      <c r="I44" s="258" t="s">
        <v>233</v>
      </c>
      <c r="J44" s="258" t="s">
        <v>499</v>
      </c>
      <c r="K44" s="260" t="s">
        <v>500</v>
      </c>
      <c r="L44" s="258" t="s">
        <v>549</v>
      </c>
      <c r="M44" s="258" t="s">
        <v>623</v>
      </c>
      <c r="N44" s="258" t="s">
        <v>515</v>
      </c>
      <c r="O44" s="258" t="s">
        <v>504</v>
      </c>
      <c r="P44" s="258" t="s">
        <v>568</v>
      </c>
      <c r="Q44" s="258" t="s">
        <v>506</v>
      </c>
      <c r="R44" s="258" t="s">
        <v>767</v>
      </c>
      <c r="S44" s="258" t="s">
        <v>508</v>
      </c>
      <c r="T44" s="258" t="s">
        <v>509</v>
      </c>
      <c r="U44" s="258" t="s">
        <v>768</v>
      </c>
      <c r="V44" s="258" t="s">
        <v>511</v>
      </c>
      <c r="W44" s="258" t="s">
        <v>512</v>
      </c>
    </row>
    <row r="45">
      <c r="A45" s="258" t="s">
        <v>769</v>
      </c>
      <c r="B45" s="258" t="s">
        <v>770</v>
      </c>
      <c r="C45" s="259">
        <v>1.8484048617E10</v>
      </c>
      <c r="D45" s="3"/>
      <c r="E45" s="3"/>
      <c r="F45" s="3"/>
      <c r="G45" s="3"/>
      <c r="H45" s="258" t="s">
        <v>548</v>
      </c>
      <c r="I45" s="258" t="s">
        <v>521</v>
      </c>
      <c r="J45" s="258" t="s">
        <v>499</v>
      </c>
      <c r="K45" s="260" t="s">
        <v>513</v>
      </c>
      <c r="L45" s="258" t="s">
        <v>549</v>
      </c>
      <c r="M45" s="258" t="s">
        <v>523</v>
      </c>
      <c r="N45" s="258" t="s">
        <v>567</v>
      </c>
      <c r="O45" s="258" t="s">
        <v>585</v>
      </c>
      <c r="P45" s="258" t="s">
        <v>568</v>
      </c>
      <c r="Q45" s="258" t="s">
        <v>506</v>
      </c>
      <c r="R45" s="258" t="s">
        <v>771</v>
      </c>
      <c r="S45" s="258" t="s">
        <v>598</v>
      </c>
      <c r="T45" s="258" t="s">
        <v>509</v>
      </c>
      <c r="U45" s="258" t="s">
        <v>772</v>
      </c>
      <c r="V45" s="258" t="s">
        <v>511</v>
      </c>
      <c r="W45" s="258" t="s">
        <v>512</v>
      </c>
    </row>
    <row r="46">
      <c r="A46" s="258" t="s">
        <v>773</v>
      </c>
      <c r="B46" s="258" t="s">
        <v>774</v>
      </c>
      <c r="C46" s="261" t="s">
        <v>775</v>
      </c>
      <c r="D46" s="3"/>
      <c r="E46" s="3"/>
      <c r="F46" s="3"/>
      <c r="G46" s="3"/>
      <c r="H46" s="258" t="s">
        <v>622</v>
      </c>
      <c r="I46" s="258" t="s">
        <v>521</v>
      </c>
      <c r="J46" s="258" t="s">
        <v>499</v>
      </c>
      <c r="K46" s="260" t="s">
        <v>500</v>
      </c>
      <c r="L46" s="258" t="s">
        <v>549</v>
      </c>
      <c r="M46" s="258" t="s">
        <v>623</v>
      </c>
      <c r="N46" s="258" t="s">
        <v>524</v>
      </c>
      <c r="O46" s="258" t="s">
        <v>504</v>
      </c>
      <c r="P46" s="258" t="s">
        <v>568</v>
      </c>
      <c r="Q46" s="258" t="s">
        <v>506</v>
      </c>
      <c r="R46" s="258" t="s">
        <v>731</v>
      </c>
      <c r="S46" s="258" t="s">
        <v>570</v>
      </c>
      <c r="T46" s="258" t="s">
        <v>536</v>
      </c>
      <c r="U46" s="258" t="s">
        <v>776</v>
      </c>
      <c r="V46" s="258" t="s">
        <v>529</v>
      </c>
      <c r="W46" s="258" t="s">
        <v>512</v>
      </c>
    </row>
    <row r="47">
      <c r="A47" s="258" t="s">
        <v>777</v>
      </c>
      <c r="B47" s="258" t="s">
        <v>778</v>
      </c>
      <c r="C47" s="261" t="s">
        <v>779</v>
      </c>
      <c r="D47" s="3"/>
      <c r="E47" s="3"/>
      <c r="F47" s="3"/>
      <c r="G47" s="3"/>
      <c r="H47" s="258" t="s">
        <v>622</v>
      </c>
      <c r="I47" s="258" t="s">
        <v>231</v>
      </c>
      <c r="J47" s="258" t="s">
        <v>574</v>
      </c>
      <c r="K47" s="260" t="s">
        <v>513</v>
      </c>
      <c r="L47" s="258" t="s">
        <v>514</v>
      </c>
      <c r="M47" s="258" t="s">
        <v>523</v>
      </c>
      <c r="N47" s="258" t="s">
        <v>567</v>
      </c>
      <c r="O47" s="258" t="s">
        <v>504</v>
      </c>
      <c r="P47" s="258" t="s">
        <v>541</v>
      </c>
      <c r="Q47" s="258" t="s">
        <v>604</v>
      </c>
      <c r="R47" s="258" t="s">
        <v>542</v>
      </c>
      <c r="S47" s="258" t="s">
        <v>508</v>
      </c>
      <c r="T47" s="258" t="s">
        <v>587</v>
      </c>
      <c r="U47" s="258" t="s">
        <v>631</v>
      </c>
      <c r="V47" s="258" t="s">
        <v>529</v>
      </c>
      <c r="W47" s="258" t="s">
        <v>512</v>
      </c>
    </row>
    <row r="48">
      <c r="A48" s="258" t="s">
        <v>780</v>
      </c>
      <c r="B48" s="258" t="s">
        <v>781</v>
      </c>
      <c r="C48" s="261" t="s">
        <v>782</v>
      </c>
      <c r="D48" s="3"/>
      <c r="E48" s="3"/>
      <c r="F48" s="3"/>
      <c r="G48" s="3"/>
      <c r="H48" s="258" t="s">
        <v>548</v>
      </c>
      <c r="I48" s="258" t="s">
        <v>636</v>
      </c>
      <c r="J48" s="258" t="s">
        <v>499</v>
      </c>
      <c r="K48" s="260" t="s">
        <v>513</v>
      </c>
      <c r="L48" s="258" t="s">
        <v>549</v>
      </c>
      <c r="M48" s="258" t="s">
        <v>550</v>
      </c>
      <c r="N48" s="258" t="s">
        <v>783</v>
      </c>
      <c r="O48" s="258" t="s">
        <v>504</v>
      </c>
      <c r="P48" s="258" t="s">
        <v>603</v>
      </c>
      <c r="Q48" s="258" t="s">
        <v>506</v>
      </c>
      <c r="R48" s="258" t="s">
        <v>784</v>
      </c>
      <c r="S48" s="258" t="s">
        <v>598</v>
      </c>
      <c r="T48" s="258" t="s">
        <v>651</v>
      </c>
      <c r="U48" s="258" t="s">
        <v>785</v>
      </c>
      <c r="V48" s="258" t="s">
        <v>763</v>
      </c>
      <c r="W48" s="258" t="s">
        <v>512</v>
      </c>
    </row>
    <row r="49">
      <c r="A49" s="258" t="s">
        <v>786</v>
      </c>
      <c r="B49" s="258" t="s">
        <v>787</v>
      </c>
      <c r="C49" s="261" t="s">
        <v>788</v>
      </c>
      <c r="D49" s="3"/>
      <c r="E49" s="3"/>
      <c r="F49" s="3"/>
      <c r="G49" s="3"/>
      <c r="H49" s="258" t="s">
        <v>548</v>
      </c>
      <c r="I49" s="258" t="s">
        <v>789</v>
      </c>
      <c r="J49" s="258" t="s">
        <v>522</v>
      </c>
      <c r="K49" s="260" t="s">
        <v>513</v>
      </c>
      <c r="L49" s="258" t="s">
        <v>501</v>
      </c>
      <c r="M49" s="258" t="s">
        <v>550</v>
      </c>
      <c r="N49" s="258" t="s">
        <v>515</v>
      </c>
      <c r="O49" s="258" t="s">
        <v>516</v>
      </c>
      <c r="P49" s="258" t="s">
        <v>505</v>
      </c>
      <c r="Q49" s="258" t="s">
        <v>790</v>
      </c>
      <c r="R49" s="258" t="s">
        <v>791</v>
      </c>
      <c r="S49" s="258" t="s">
        <v>508</v>
      </c>
      <c r="T49" s="258" t="s">
        <v>536</v>
      </c>
      <c r="U49" s="258" t="s">
        <v>792</v>
      </c>
      <c r="V49" s="258" t="s">
        <v>529</v>
      </c>
      <c r="W49" s="258" t="s">
        <v>512</v>
      </c>
    </row>
    <row r="50">
      <c r="A50" s="258" t="s">
        <v>793</v>
      </c>
      <c r="B50" s="258" t="s">
        <v>794</v>
      </c>
      <c r="C50" s="261" t="s">
        <v>795</v>
      </c>
      <c r="D50" s="3"/>
      <c r="E50" s="3"/>
      <c r="F50" s="3"/>
      <c r="G50" s="3"/>
      <c r="H50" s="258" t="s">
        <v>796</v>
      </c>
      <c r="I50" s="258" t="s">
        <v>521</v>
      </c>
      <c r="J50" s="258" t="s">
        <v>522</v>
      </c>
      <c r="K50" s="260" t="s">
        <v>513</v>
      </c>
      <c r="L50" s="258" t="s">
        <v>549</v>
      </c>
      <c r="M50" s="258" t="s">
        <v>523</v>
      </c>
      <c r="N50" s="258" t="s">
        <v>584</v>
      </c>
      <c r="O50" s="258" t="s">
        <v>585</v>
      </c>
      <c r="P50" s="258" t="s">
        <v>541</v>
      </c>
      <c r="Q50" s="258" t="s">
        <v>506</v>
      </c>
      <c r="R50" s="258" t="s">
        <v>611</v>
      </c>
      <c r="S50" s="258" t="s">
        <v>508</v>
      </c>
      <c r="T50" s="258" t="s">
        <v>587</v>
      </c>
      <c r="U50" s="258" t="s">
        <v>797</v>
      </c>
      <c r="V50" s="258" t="s">
        <v>529</v>
      </c>
      <c r="W50" s="258" t="s">
        <v>512</v>
      </c>
    </row>
    <row r="51">
      <c r="A51" s="258" t="s">
        <v>798</v>
      </c>
      <c r="B51" s="258" t="s">
        <v>799</v>
      </c>
      <c r="C51" s="259">
        <v>1.5712754101E10</v>
      </c>
      <c r="D51" s="3"/>
      <c r="E51" s="3"/>
      <c r="F51" s="3"/>
      <c r="G51" s="3"/>
      <c r="H51" s="258" t="s">
        <v>300</v>
      </c>
      <c r="I51" s="258" t="s">
        <v>540</v>
      </c>
      <c r="J51" s="258" t="s">
        <v>522</v>
      </c>
      <c r="K51" s="260" t="s">
        <v>513</v>
      </c>
      <c r="L51" s="258" t="s">
        <v>514</v>
      </c>
      <c r="M51" s="258" t="s">
        <v>523</v>
      </c>
      <c r="N51" s="258" t="s">
        <v>679</v>
      </c>
      <c r="O51" s="258" t="s">
        <v>504</v>
      </c>
      <c r="P51" s="258" t="s">
        <v>541</v>
      </c>
      <c r="Q51" s="258" t="s">
        <v>638</v>
      </c>
      <c r="R51" s="258" t="s">
        <v>800</v>
      </c>
      <c r="S51" s="258" t="s">
        <v>570</v>
      </c>
      <c r="T51" s="258" t="s">
        <v>587</v>
      </c>
      <c r="U51" s="258" t="s">
        <v>801</v>
      </c>
      <c r="V51" s="258" t="s">
        <v>511</v>
      </c>
      <c r="W51" s="258" t="s">
        <v>512</v>
      </c>
    </row>
    <row r="52">
      <c r="A52" s="258" t="s">
        <v>802</v>
      </c>
      <c r="B52" s="258" t="s">
        <v>803</v>
      </c>
      <c r="C52" s="259">
        <v>1.9295751148E10</v>
      </c>
      <c r="D52" s="3"/>
      <c r="E52" s="3"/>
      <c r="F52" s="3"/>
      <c r="G52" s="3"/>
      <c r="H52" s="258" t="s">
        <v>548</v>
      </c>
      <c r="I52" s="258" t="s">
        <v>521</v>
      </c>
      <c r="J52" s="258" t="s">
        <v>499</v>
      </c>
      <c r="K52" s="260" t="s">
        <v>513</v>
      </c>
      <c r="L52" s="258" t="s">
        <v>549</v>
      </c>
      <c r="M52" s="258" t="s">
        <v>550</v>
      </c>
      <c r="N52" s="258" t="s">
        <v>592</v>
      </c>
      <c r="O52" s="258" t="s">
        <v>516</v>
      </c>
      <c r="P52" s="258" t="s">
        <v>505</v>
      </c>
      <c r="Q52" s="258" t="s">
        <v>638</v>
      </c>
      <c r="R52" s="258" t="s">
        <v>804</v>
      </c>
      <c r="S52" s="258" t="s">
        <v>508</v>
      </c>
      <c r="T52" s="258" t="s">
        <v>587</v>
      </c>
      <c r="U52" s="258" t="s">
        <v>805</v>
      </c>
      <c r="V52" s="258" t="s">
        <v>529</v>
      </c>
      <c r="W52" s="258" t="s">
        <v>512</v>
      </c>
    </row>
    <row r="53">
      <c r="A53" s="258" t="s">
        <v>806</v>
      </c>
      <c r="B53" s="258" t="s">
        <v>807</v>
      </c>
      <c r="C53" s="261" t="s">
        <v>808</v>
      </c>
      <c r="D53" s="3"/>
      <c r="E53" s="3"/>
      <c r="F53" s="3"/>
      <c r="G53" s="3"/>
      <c r="H53" s="258" t="s">
        <v>622</v>
      </c>
      <c r="I53" s="258" t="s">
        <v>636</v>
      </c>
      <c r="J53" s="258" t="s">
        <v>522</v>
      </c>
      <c r="K53" s="260" t="s">
        <v>513</v>
      </c>
      <c r="L53" s="258" t="s">
        <v>549</v>
      </c>
      <c r="M53" s="258" t="s">
        <v>523</v>
      </c>
      <c r="N53" s="258" t="s">
        <v>649</v>
      </c>
      <c r="O53" s="258" t="s">
        <v>504</v>
      </c>
      <c r="P53" s="258" t="s">
        <v>541</v>
      </c>
      <c r="Q53" s="258" t="s">
        <v>638</v>
      </c>
      <c r="R53" s="258" t="s">
        <v>809</v>
      </c>
      <c r="S53" s="258" t="s">
        <v>598</v>
      </c>
      <c r="T53" s="258" t="s">
        <v>527</v>
      </c>
      <c r="U53" s="258" t="s">
        <v>810</v>
      </c>
      <c r="V53" s="258" t="s">
        <v>763</v>
      </c>
      <c r="W53" s="258" t="s">
        <v>512</v>
      </c>
    </row>
    <row r="54">
      <c r="A54" s="258" t="s">
        <v>811</v>
      </c>
      <c r="B54" s="258" t="s">
        <v>812</v>
      </c>
      <c r="C54" s="259">
        <v>1.9085774618E10</v>
      </c>
      <c r="D54" s="3"/>
      <c r="E54" s="3"/>
      <c r="F54" s="3"/>
      <c r="G54" s="3"/>
      <c r="H54" s="258" t="s">
        <v>622</v>
      </c>
      <c r="I54" s="258" t="s">
        <v>636</v>
      </c>
      <c r="J54" s="258" t="s">
        <v>499</v>
      </c>
      <c r="K54" s="260" t="s">
        <v>513</v>
      </c>
      <c r="L54" s="258" t="s">
        <v>514</v>
      </c>
      <c r="M54" s="258" t="s">
        <v>623</v>
      </c>
      <c r="N54" s="258" t="s">
        <v>813</v>
      </c>
      <c r="O54" s="258" t="s">
        <v>516</v>
      </c>
      <c r="P54" s="258" t="s">
        <v>505</v>
      </c>
      <c r="Q54" s="258" t="s">
        <v>506</v>
      </c>
      <c r="R54" s="258" t="s">
        <v>814</v>
      </c>
      <c r="S54" s="258" t="s">
        <v>598</v>
      </c>
      <c r="T54" s="258" t="s">
        <v>509</v>
      </c>
      <c r="U54" s="258" t="s">
        <v>815</v>
      </c>
      <c r="V54" s="258" t="s">
        <v>529</v>
      </c>
      <c r="W54" s="258" t="s">
        <v>512</v>
      </c>
    </row>
    <row r="55">
      <c r="A55" s="258" t="s">
        <v>811</v>
      </c>
      <c r="B55" s="258" t="s">
        <v>812</v>
      </c>
      <c r="C55" s="259">
        <v>1.9085774618E10</v>
      </c>
      <c r="D55" s="258" t="s">
        <v>816</v>
      </c>
      <c r="E55" s="258" t="s">
        <v>499</v>
      </c>
      <c r="F55" s="258" t="s">
        <v>817</v>
      </c>
      <c r="G55" s="258" t="s">
        <v>615</v>
      </c>
      <c r="H55" s="258" t="s">
        <v>622</v>
      </c>
      <c r="I55" s="258" t="s">
        <v>816</v>
      </c>
      <c r="J55" s="258" t="s">
        <v>499</v>
      </c>
      <c r="K55" s="260" t="s">
        <v>513</v>
      </c>
      <c r="L55" s="258" t="s">
        <v>615</v>
      </c>
      <c r="M55" s="258" t="s">
        <v>550</v>
      </c>
      <c r="N55" s="258" t="s">
        <v>616</v>
      </c>
      <c r="O55" s="258" t="s">
        <v>516</v>
      </c>
      <c r="P55" s="258" t="s">
        <v>505</v>
      </c>
      <c r="Q55" s="258" t="s">
        <v>506</v>
      </c>
      <c r="R55" s="258" t="s">
        <v>818</v>
      </c>
      <c r="S55" s="258" t="s">
        <v>598</v>
      </c>
      <c r="T55" s="258" t="s">
        <v>509</v>
      </c>
      <c r="U55" s="258" t="s">
        <v>819</v>
      </c>
      <c r="V55" s="258" t="s">
        <v>529</v>
      </c>
      <c r="W55" s="258" t="s">
        <v>512</v>
      </c>
    </row>
    <row r="56">
      <c r="A56" s="258" t="s">
        <v>820</v>
      </c>
      <c r="B56" s="258" t="s">
        <v>821</v>
      </c>
      <c r="C56" s="259">
        <v>1.2819006038E10</v>
      </c>
      <c r="D56" s="3"/>
      <c r="E56" s="3"/>
      <c r="F56" s="3"/>
      <c r="G56" s="3"/>
      <c r="H56" s="258" t="s">
        <v>557</v>
      </c>
      <c r="I56" s="258" t="s">
        <v>231</v>
      </c>
      <c r="J56" s="258" t="s">
        <v>574</v>
      </c>
      <c r="K56" s="260" t="s">
        <v>500</v>
      </c>
      <c r="L56" s="258" t="s">
        <v>549</v>
      </c>
      <c r="M56" s="258" t="s">
        <v>523</v>
      </c>
      <c r="N56" s="258" t="s">
        <v>592</v>
      </c>
      <c r="O56" s="258" t="s">
        <v>516</v>
      </c>
      <c r="P56" s="258" t="s">
        <v>505</v>
      </c>
      <c r="Q56" s="258" t="s">
        <v>506</v>
      </c>
      <c r="R56" s="258" t="s">
        <v>822</v>
      </c>
      <c r="S56" s="258" t="s">
        <v>508</v>
      </c>
      <c r="T56" s="258" t="s">
        <v>587</v>
      </c>
      <c r="U56" s="258" t="s">
        <v>823</v>
      </c>
      <c r="V56" s="258" t="s">
        <v>554</v>
      </c>
      <c r="W56" s="258" t="s">
        <v>512</v>
      </c>
    </row>
    <row r="57">
      <c r="A57" s="258" t="s">
        <v>824</v>
      </c>
      <c r="B57" s="258" t="s">
        <v>825</v>
      </c>
      <c r="C57" s="259">
        <v>1.6787369047E10</v>
      </c>
      <c r="D57" s="3"/>
      <c r="E57" s="3"/>
      <c r="F57" s="3"/>
      <c r="G57" s="3"/>
      <c r="H57" s="258" t="s">
        <v>591</v>
      </c>
      <c r="I57" s="258" t="s">
        <v>521</v>
      </c>
      <c r="J57" s="258" t="s">
        <v>574</v>
      </c>
      <c r="K57" s="260" t="s">
        <v>513</v>
      </c>
      <c r="L57" s="258" t="s">
        <v>549</v>
      </c>
      <c r="M57" s="258" t="s">
        <v>523</v>
      </c>
      <c r="N57" s="258" t="s">
        <v>826</v>
      </c>
      <c r="O57" s="258" t="s">
        <v>585</v>
      </c>
      <c r="P57" s="258" t="s">
        <v>541</v>
      </c>
      <c r="Q57" s="258" t="s">
        <v>790</v>
      </c>
      <c r="R57" s="258" t="s">
        <v>827</v>
      </c>
      <c r="S57" s="258" t="s">
        <v>598</v>
      </c>
      <c r="T57" s="258" t="s">
        <v>587</v>
      </c>
      <c r="U57" s="258" t="s">
        <v>828</v>
      </c>
      <c r="V57" s="258" t="s">
        <v>529</v>
      </c>
      <c r="W57" s="258" t="s">
        <v>512</v>
      </c>
    </row>
    <row r="58">
      <c r="A58" s="258" t="s">
        <v>829</v>
      </c>
      <c r="B58" s="258" t="s">
        <v>830</v>
      </c>
      <c r="C58" s="259">
        <v>1.4324252385E10</v>
      </c>
      <c r="H58" s="258" t="s">
        <v>548</v>
      </c>
      <c r="I58" s="258" t="s">
        <v>521</v>
      </c>
      <c r="J58" s="258" t="s">
        <v>499</v>
      </c>
      <c r="K58" s="260" t="s">
        <v>500</v>
      </c>
      <c r="L58" s="258" t="s">
        <v>514</v>
      </c>
      <c r="M58" s="258" t="s">
        <v>523</v>
      </c>
      <c r="N58" s="258" t="s">
        <v>584</v>
      </c>
      <c r="O58" s="258" t="s">
        <v>504</v>
      </c>
      <c r="P58" s="258" t="s">
        <v>505</v>
      </c>
      <c r="Q58" s="258" t="s">
        <v>506</v>
      </c>
      <c r="R58" s="258" t="s">
        <v>831</v>
      </c>
      <c r="S58" s="258" t="s">
        <v>508</v>
      </c>
      <c r="T58" s="258" t="s">
        <v>527</v>
      </c>
      <c r="U58" s="258" t="s">
        <v>832</v>
      </c>
      <c r="V58" s="258" t="s">
        <v>529</v>
      </c>
      <c r="W58" s="258" t="s">
        <v>512</v>
      </c>
    </row>
    <row r="59">
      <c r="A59" s="258" t="s">
        <v>833</v>
      </c>
      <c r="B59" s="258" t="s">
        <v>834</v>
      </c>
      <c r="C59" s="261" t="s">
        <v>835</v>
      </c>
      <c r="D59" s="3"/>
      <c r="E59" s="3"/>
      <c r="F59" s="3"/>
      <c r="G59" s="3"/>
      <c r="H59" s="258" t="s">
        <v>557</v>
      </c>
      <c r="I59" s="258" t="s">
        <v>540</v>
      </c>
      <c r="J59" s="258" t="s">
        <v>522</v>
      </c>
      <c r="K59" s="260" t="s">
        <v>513</v>
      </c>
      <c r="L59" s="258" t="s">
        <v>514</v>
      </c>
      <c r="M59" s="258" t="s">
        <v>623</v>
      </c>
      <c r="N59" s="258" t="s">
        <v>524</v>
      </c>
      <c r="O59" s="258" t="s">
        <v>504</v>
      </c>
      <c r="P59" s="258" t="s">
        <v>568</v>
      </c>
      <c r="Q59" s="258" t="s">
        <v>506</v>
      </c>
      <c r="R59" s="258" t="s">
        <v>836</v>
      </c>
      <c r="S59" s="258" t="s">
        <v>508</v>
      </c>
      <c r="T59" s="258" t="s">
        <v>509</v>
      </c>
      <c r="U59" s="258" t="s">
        <v>837</v>
      </c>
      <c r="V59" s="258" t="s">
        <v>554</v>
      </c>
      <c r="W59" s="258" t="s">
        <v>512</v>
      </c>
    </row>
    <row r="60">
      <c r="A60" s="258" t="s">
        <v>838</v>
      </c>
      <c r="B60" s="258" t="s">
        <v>839</v>
      </c>
      <c r="C60" s="261" t="s">
        <v>840</v>
      </c>
      <c r="D60" s="3"/>
      <c r="E60" s="3"/>
      <c r="F60" s="3"/>
      <c r="G60" s="3"/>
      <c r="H60" s="258" t="s">
        <v>622</v>
      </c>
      <c r="I60" s="258" t="s">
        <v>233</v>
      </c>
      <c r="J60" s="258" t="s">
        <v>499</v>
      </c>
      <c r="K60" s="260" t="s">
        <v>513</v>
      </c>
      <c r="L60" s="258" t="s">
        <v>549</v>
      </c>
      <c r="M60" s="258" t="s">
        <v>523</v>
      </c>
      <c r="N60" s="258" t="s">
        <v>524</v>
      </c>
      <c r="O60" s="258" t="s">
        <v>504</v>
      </c>
      <c r="P60" s="258" t="s">
        <v>541</v>
      </c>
      <c r="Q60" s="258" t="s">
        <v>506</v>
      </c>
      <c r="R60" s="258" t="s">
        <v>841</v>
      </c>
      <c r="S60" s="258" t="s">
        <v>606</v>
      </c>
      <c r="T60" s="258" t="s">
        <v>527</v>
      </c>
      <c r="U60" s="258" t="s">
        <v>842</v>
      </c>
      <c r="V60" s="258" t="s">
        <v>843</v>
      </c>
      <c r="W60" s="258" t="s">
        <v>512</v>
      </c>
    </row>
    <row r="61">
      <c r="A61" s="258" t="s">
        <v>844</v>
      </c>
      <c r="B61" s="258" t="s">
        <v>845</v>
      </c>
      <c r="C61" s="261" t="s">
        <v>846</v>
      </c>
      <c r="D61" s="3"/>
      <c r="E61" s="3"/>
      <c r="F61" s="3"/>
      <c r="G61" s="3"/>
      <c r="H61" s="258" t="s">
        <v>622</v>
      </c>
      <c r="I61" s="258" t="s">
        <v>540</v>
      </c>
      <c r="J61" s="258" t="s">
        <v>499</v>
      </c>
      <c r="K61" s="260" t="s">
        <v>500</v>
      </c>
      <c r="L61" s="258" t="s">
        <v>549</v>
      </c>
      <c r="M61" s="258" t="s">
        <v>523</v>
      </c>
      <c r="N61" s="258" t="s">
        <v>567</v>
      </c>
      <c r="O61" s="258" t="s">
        <v>516</v>
      </c>
      <c r="P61" s="258" t="s">
        <v>505</v>
      </c>
      <c r="Q61" s="258" t="s">
        <v>506</v>
      </c>
      <c r="R61" s="258" t="s">
        <v>847</v>
      </c>
      <c r="S61" s="258" t="s">
        <v>598</v>
      </c>
      <c r="T61" s="258" t="s">
        <v>527</v>
      </c>
      <c r="U61" s="258" t="s">
        <v>848</v>
      </c>
      <c r="V61" s="258" t="s">
        <v>843</v>
      </c>
      <c r="W61" s="258" t="s">
        <v>512</v>
      </c>
    </row>
    <row r="62">
      <c r="A62" s="258" t="s">
        <v>849</v>
      </c>
      <c r="B62" s="258" t="s">
        <v>850</v>
      </c>
      <c r="C62" s="261" t="s">
        <v>851</v>
      </c>
      <c r="D62" s="3"/>
      <c r="E62" s="3"/>
      <c r="F62" s="3"/>
      <c r="G62" s="3"/>
      <c r="H62" s="258" t="s">
        <v>557</v>
      </c>
      <c r="I62" s="258" t="s">
        <v>636</v>
      </c>
      <c r="J62" s="258" t="s">
        <v>558</v>
      </c>
      <c r="K62" s="260" t="s">
        <v>513</v>
      </c>
      <c r="L62" s="258" t="s">
        <v>549</v>
      </c>
      <c r="M62" s="258" t="s">
        <v>550</v>
      </c>
      <c r="N62" s="258" t="s">
        <v>644</v>
      </c>
      <c r="O62" s="258" t="s">
        <v>516</v>
      </c>
      <c r="P62" s="258" t="s">
        <v>541</v>
      </c>
      <c r="Q62" s="258" t="s">
        <v>852</v>
      </c>
      <c r="R62" s="258" t="s">
        <v>853</v>
      </c>
      <c r="S62" s="258" t="s">
        <v>508</v>
      </c>
      <c r="T62" s="258" t="s">
        <v>587</v>
      </c>
      <c r="U62" s="258" t="s">
        <v>854</v>
      </c>
      <c r="V62" s="258" t="s">
        <v>529</v>
      </c>
      <c r="W62" s="258" t="s">
        <v>512</v>
      </c>
    </row>
    <row r="63">
      <c r="A63" s="258" t="s">
        <v>855</v>
      </c>
      <c r="B63" s="258" t="s">
        <v>856</v>
      </c>
      <c r="C63" s="261" t="s">
        <v>857</v>
      </c>
      <c r="D63" s="3"/>
      <c r="E63" s="3"/>
      <c r="F63" s="3"/>
      <c r="G63" s="3"/>
      <c r="H63" s="258" t="s">
        <v>548</v>
      </c>
      <c r="I63" s="258" t="s">
        <v>521</v>
      </c>
      <c r="J63" s="258" t="s">
        <v>499</v>
      </c>
      <c r="K63" s="260" t="s">
        <v>513</v>
      </c>
      <c r="L63" s="258" t="s">
        <v>501</v>
      </c>
      <c r="M63" s="258" t="s">
        <v>550</v>
      </c>
      <c r="N63" s="258" t="s">
        <v>575</v>
      </c>
      <c r="O63" s="258" t="s">
        <v>504</v>
      </c>
      <c r="P63" s="258" t="s">
        <v>505</v>
      </c>
      <c r="Q63" s="258" t="s">
        <v>525</v>
      </c>
      <c r="R63" s="258" t="s">
        <v>858</v>
      </c>
      <c r="S63" s="258" t="s">
        <v>508</v>
      </c>
      <c r="T63" s="258" t="s">
        <v>509</v>
      </c>
      <c r="U63" s="258" t="s">
        <v>859</v>
      </c>
      <c r="V63" s="258" t="s">
        <v>529</v>
      </c>
      <c r="W63" s="258" t="s">
        <v>512</v>
      </c>
    </row>
    <row r="64">
      <c r="A64" s="258" t="s">
        <v>860</v>
      </c>
      <c r="B64" s="258" t="s">
        <v>861</v>
      </c>
      <c r="C64" s="261" t="s">
        <v>862</v>
      </c>
      <c r="D64" s="53"/>
      <c r="E64" s="53"/>
      <c r="F64" s="53"/>
      <c r="G64" s="53"/>
      <c r="H64" s="258" t="s">
        <v>557</v>
      </c>
      <c r="I64" s="258" t="s">
        <v>521</v>
      </c>
      <c r="J64" s="258" t="s">
        <v>499</v>
      </c>
      <c r="K64" s="260" t="s">
        <v>500</v>
      </c>
      <c r="L64" s="258" t="s">
        <v>549</v>
      </c>
      <c r="M64" s="258" t="s">
        <v>550</v>
      </c>
      <c r="N64" s="258" t="s">
        <v>592</v>
      </c>
      <c r="O64" s="258" t="s">
        <v>504</v>
      </c>
      <c r="P64" s="258" t="s">
        <v>505</v>
      </c>
      <c r="Q64" s="258" t="s">
        <v>506</v>
      </c>
      <c r="R64" s="258" t="s">
        <v>863</v>
      </c>
      <c r="S64" s="258" t="s">
        <v>598</v>
      </c>
      <c r="T64" s="258" t="s">
        <v>509</v>
      </c>
      <c r="U64" s="258" t="s">
        <v>864</v>
      </c>
      <c r="V64" s="258" t="s">
        <v>511</v>
      </c>
      <c r="W64" s="258" t="s">
        <v>512</v>
      </c>
    </row>
    <row r="65">
      <c r="A65" s="258" t="s">
        <v>865</v>
      </c>
      <c r="B65" s="258" t="s">
        <v>866</v>
      </c>
      <c r="C65" s="259">
        <v>1.863377101E10</v>
      </c>
      <c r="D65" s="3"/>
      <c r="E65" s="3"/>
      <c r="F65" s="3"/>
      <c r="G65" s="3"/>
      <c r="H65" s="258" t="s">
        <v>532</v>
      </c>
      <c r="I65" s="258" t="s">
        <v>233</v>
      </c>
      <c r="J65" s="258" t="s">
        <v>558</v>
      </c>
      <c r="K65" s="260" t="s">
        <v>513</v>
      </c>
      <c r="L65" s="258" t="s">
        <v>615</v>
      </c>
      <c r="M65" s="258" t="s">
        <v>523</v>
      </c>
      <c r="N65" s="258" t="s">
        <v>644</v>
      </c>
      <c r="O65" s="258" t="s">
        <v>504</v>
      </c>
      <c r="P65" s="258" t="s">
        <v>541</v>
      </c>
      <c r="Q65" s="258" t="s">
        <v>604</v>
      </c>
      <c r="R65" s="258" t="s">
        <v>867</v>
      </c>
      <c r="S65" s="258" t="s">
        <v>598</v>
      </c>
      <c r="T65" s="258" t="s">
        <v>587</v>
      </c>
      <c r="U65" s="258" t="s">
        <v>868</v>
      </c>
      <c r="V65" s="258" t="s">
        <v>529</v>
      </c>
      <c r="W65" s="258" t="s">
        <v>512</v>
      </c>
    </row>
    <row r="66">
      <c r="A66" s="258" t="s">
        <v>869</v>
      </c>
      <c r="B66" s="258" t="s">
        <v>870</v>
      </c>
      <c r="C66" s="261" t="s">
        <v>871</v>
      </c>
      <c r="D66" s="3"/>
      <c r="E66" s="3"/>
      <c r="F66" s="3"/>
      <c r="G66" s="3"/>
      <c r="H66" s="258" t="s">
        <v>557</v>
      </c>
      <c r="I66" s="258" t="s">
        <v>521</v>
      </c>
      <c r="J66" s="258" t="s">
        <v>574</v>
      </c>
      <c r="K66" s="260" t="s">
        <v>513</v>
      </c>
      <c r="L66" s="258" t="s">
        <v>615</v>
      </c>
      <c r="M66" s="258" t="s">
        <v>523</v>
      </c>
      <c r="N66" s="258" t="s">
        <v>524</v>
      </c>
      <c r="O66" s="258" t="s">
        <v>504</v>
      </c>
      <c r="P66" s="258" t="s">
        <v>568</v>
      </c>
      <c r="Q66" s="258" t="s">
        <v>638</v>
      </c>
      <c r="R66" s="258" t="s">
        <v>872</v>
      </c>
      <c r="S66" s="258" t="s">
        <v>570</v>
      </c>
      <c r="T66" s="258" t="s">
        <v>509</v>
      </c>
      <c r="U66" s="258" t="s">
        <v>873</v>
      </c>
      <c r="V66" s="258" t="s">
        <v>529</v>
      </c>
      <c r="W66" s="258" t="s">
        <v>512</v>
      </c>
    </row>
    <row r="67">
      <c r="A67" s="258" t="s">
        <v>874</v>
      </c>
      <c r="B67" s="258" t="s">
        <v>875</v>
      </c>
      <c r="C67" s="259">
        <v>1.6466515058E10</v>
      </c>
      <c r="D67" s="3"/>
      <c r="E67" s="3"/>
      <c r="F67" s="3"/>
      <c r="G67" s="3"/>
      <c r="H67" s="258" t="s">
        <v>557</v>
      </c>
      <c r="I67" s="258" t="s">
        <v>233</v>
      </c>
      <c r="J67" s="258" t="s">
        <v>499</v>
      </c>
      <c r="K67" s="260" t="s">
        <v>500</v>
      </c>
      <c r="L67" s="258" t="s">
        <v>549</v>
      </c>
      <c r="M67" s="258" t="s">
        <v>523</v>
      </c>
      <c r="N67" s="258" t="s">
        <v>624</v>
      </c>
      <c r="O67" s="258" t="s">
        <v>585</v>
      </c>
      <c r="P67" s="258" t="s">
        <v>541</v>
      </c>
      <c r="Q67" s="258" t="s">
        <v>506</v>
      </c>
      <c r="R67" s="258" t="s">
        <v>876</v>
      </c>
      <c r="S67" s="258" t="s">
        <v>570</v>
      </c>
      <c r="T67" s="258" t="s">
        <v>536</v>
      </c>
      <c r="U67" s="258" t="s">
        <v>877</v>
      </c>
      <c r="V67" s="258" t="s">
        <v>529</v>
      </c>
      <c r="W67" s="258" t="s">
        <v>512</v>
      </c>
    </row>
    <row r="68">
      <c r="A68" s="258" t="s">
        <v>878</v>
      </c>
      <c r="B68" s="258" t="s">
        <v>879</v>
      </c>
      <c r="C68" s="259">
        <v>1.8325797568E10</v>
      </c>
      <c r="D68" s="3"/>
      <c r="E68" s="3"/>
      <c r="F68" s="3"/>
      <c r="G68" s="3"/>
      <c r="H68" s="258" t="s">
        <v>557</v>
      </c>
      <c r="I68" s="258" t="s">
        <v>521</v>
      </c>
      <c r="J68" s="258" t="s">
        <v>522</v>
      </c>
      <c r="K68" s="260" t="s">
        <v>513</v>
      </c>
      <c r="L68" s="258" t="s">
        <v>549</v>
      </c>
      <c r="M68" s="258" t="s">
        <v>623</v>
      </c>
      <c r="N68" s="258" t="s">
        <v>736</v>
      </c>
      <c r="O68" s="258" t="s">
        <v>504</v>
      </c>
      <c r="P68" s="258" t="s">
        <v>568</v>
      </c>
      <c r="Q68" s="258" t="s">
        <v>506</v>
      </c>
      <c r="R68" s="258" t="s">
        <v>880</v>
      </c>
      <c r="S68" s="258" t="s">
        <v>598</v>
      </c>
      <c r="T68" s="258" t="s">
        <v>587</v>
      </c>
      <c r="U68" s="258" t="s">
        <v>881</v>
      </c>
      <c r="V68" s="258" t="s">
        <v>529</v>
      </c>
      <c r="W68" s="258" t="s">
        <v>512</v>
      </c>
    </row>
    <row r="69">
      <c r="A69" s="258" t="s">
        <v>882</v>
      </c>
      <c r="B69" s="258" t="s">
        <v>883</v>
      </c>
      <c r="C69" s="261" t="s">
        <v>884</v>
      </c>
      <c r="D69" s="3"/>
      <c r="E69" s="3"/>
      <c r="F69" s="3"/>
      <c r="G69" s="3"/>
      <c r="H69" s="258" t="s">
        <v>622</v>
      </c>
      <c r="I69" s="258" t="s">
        <v>636</v>
      </c>
      <c r="J69" s="258" t="s">
        <v>499</v>
      </c>
      <c r="K69" s="260" t="s">
        <v>500</v>
      </c>
      <c r="L69" s="258" t="s">
        <v>549</v>
      </c>
      <c r="M69" s="258" t="s">
        <v>550</v>
      </c>
      <c r="N69" s="258" t="s">
        <v>885</v>
      </c>
      <c r="O69" s="258" t="s">
        <v>504</v>
      </c>
      <c r="P69" s="258" t="s">
        <v>505</v>
      </c>
      <c r="Q69" s="258" t="s">
        <v>506</v>
      </c>
      <c r="R69" s="258" t="s">
        <v>886</v>
      </c>
      <c r="S69" s="258" t="s">
        <v>508</v>
      </c>
      <c r="T69" s="258" t="s">
        <v>651</v>
      </c>
      <c r="U69" s="258" t="s">
        <v>887</v>
      </c>
      <c r="V69" s="258" t="s">
        <v>529</v>
      </c>
      <c r="W69" s="258" t="s">
        <v>512</v>
      </c>
    </row>
    <row r="70">
      <c r="A70" s="258" t="s">
        <v>888</v>
      </c>
      <c r="B70" s="258" t="s">
        <v>889</v>
      </c>
      <c r="C70" s="259">
        <v>1.4086149477E10</v>
      </c>
      <c r="D70" s="3"/>
      <c r="E70" s="3"/>
      <c r="F70" s="3"/>
      <c r="G70" s="3"/>
      <c r="H70" s="258" t="s">
        <v>548</v>
      </c>
      <c r="I70" s="258" t="s">
        <v>890</v>
      </c>
      <c r="J70" s="258" t="s">
        <v>558</v>
      </c>
      <c r="K70" s="260" t="s">
        <v>513</v>
      </c>
      <c r="L70" s="258" t="s">
        <v>549</v>
      </c>
      <c r="M70" s="258" t="s">
        <v>523</v>
      </c>
      <c r="N70" s="258" t="s">
        <v>624</v>
      </c>
      <c r="O70" s="258" t="s">
        <v>504</v>
      </c>
      <c r="P70" s="258" t="s">
        <v>541</v>
      </c>
      <c r="Q70" s="258" t="s">
        <v>506</v>
      </c>
      <c r="R70" s="258" t="s">
        <v>891</v>
      </c>
      <c r="S70" s="258" t="s">
        <v>508</v>
      </c>
      <c r="T70" s="258" t="s">
        <v>536</v>
      </c>
      <c r="U70" s="258" t="s">
        <v>892</v>
      </c>
      <c r="V70" s="258" t="s">
        <v>554</v>
      </c>
      <c r="W70" s="258" t="s">
        <v>512</v>
      </c>
    </row>
    <row r="71">
      <c r="A71" s="258" t="s">
        <v>893</v>
      </c>
      <c r="B71" s="258" t="s">
        <v>894</v>
      </c>
      <c r="C71" s="259">
        <v>1.9734370592E10</v>
      </c>
      <c r="D71" s="3"/>
      <c r="E71" s="3"/>
      <c r="F71" s="3"/>
      <c r="G71" s="3"/>
      <c r="H71" s="258" t="s">
        <v>622</v>
      </c>
      <c r="I71" s="258" t="s">
        <v>895</v>
      </c>
      <c r="J71" s="258" t="s">
        <v>574</v>
      </c>
      <c r="K71" s="260" t="s">
        <v>566</v>
      </c>
      <c r="L71" s="258" t="s">
        <v>615</v>
      </c>
      <c r="M71" s="258" t="s">
        <v>523</v>
      </c>
      <c r="N71" s="258" t="s">
        <v>503</v>
      </c>
      <c r="O71" s="258" t="s">
        <v>896</v>
      </c>
      <c r="P71" s="258" t="s">
        <v>568</v>
      </c>
      <c r="Q71" s="258" t="s">
        <v>506</v>
      </c>
      <c r="R71" s="258" t="s">
        <v>897</v>
      </c>
      <c r="S71" s="258" t="s">
        <v>570</v>
      </c>
      <c r="T71" s="258" t="s">
        <v>536</v>
      </c>
      <c r="U71" s="258" t="s">
        <v>898</v>
      </c>
      <c r="V71" s="258" t="s">
        <v>554</v>
      </c>
      <c r="W71" s="258" t="s">
        <v>512</v>
      </c>
    </row>
    <row r="72">
      <c r="A72" s="258" t="s">
        <v>899</v>
      </c>
      <c r="B72" s="258" t="s">
        <v>900</v>
      </c>
      <c r="C72" s="261" t="s">
        <v>901</v>
      </c>
      <c r="D72" s="3"/>
      <c r="E72" s="3"/>
      <c r="F72" s="3"/>
      <c r="G72" s="3"/>
      <c r="H72" s="258" t="s">
        <v>548</v>
      </c>
      <c r="I72" s="258" t="s">
        <v>533</v>
      </c>
      <c r="J72" s="258" t="s">
        <v>499</v>
      </c>
      <c r="K72" s="260" t="s">
        <v>500</v>
      </c>
      <c r="L72" s="258" t="s">
        <v>549</v>
      </c>
      <c r="M72" s="258" t="s">
        <v>623</v>
      </c>
      <c r="N72" s="258" t="s">
        <v>902</v>
      </c>
      <c r="O72" s="258" t="s">
        <v>504</v>
      </c>
      <c r="P72" s="258" t="s">
        <v>505</v>
      </c>
      <c r="Q72" s="258" t="s">
        <v>506</v>
      </c>
      <c r="R72" s="258" t="s">
        <v>903</v>
      </c>
      <c r="S72" s="258" t="s">
        <v>508</v>
      </c>
      <c r="T72" s="258" t="s">
        <v>527</v>
      </c>
      <c r="U72" s="258" t="s">
        <v>904</v>
      </c>
      <c r="V72" s="258" t="s">
        <v>511</v>
      </c>
      <c r="W72" s="258" t="s">
        <v>512</v>
      </c>
    </row>
    <row r="73">
      <c r="A73" s="258" t="s">
        <v>905</v>
      </c>
      <c r="B73" s="258" t="s">
        <v>906</v>
      </c>
      <c r="C73" s="261" t="s">
        <v>907</v>
      </c>
      <c r="D73" s="3"/>
      <c r="E73" s="3"/>
      <c r="F73" s="3"/>
      <c r="G73" s="3"/>
      <c r="H73" s="258" t="s">
        <v>557</v>
      </c>
      <c r="I73" s="258" t="s">
        <v>231</v>
      </c>
      <c r="J73" s="258" t="s">
        <v>499</v>
      </c>
      <c r="K73" s="260" t="s">
        <v>513</v>
      </c>
      <c r="L73" s="258" t="s">
        <v>501</v>
      </c>
      <c r="M73" s="258" t="s">
        <v>550</v>
      </c>
      <c r="N73" s="258" t="s">
        <v>908</v>
      </c>
      <c r="O73" s="258" t="s">
        <v>585</v>
      </c>
      <c r="P73" s="258" t="s">
        <v>505</v>
      </c>
      <c r="Q73" s="258" t="s">
        <v>506</v>
      </c>
      <c r="R73" s="258" t="s">
        <v>909</v>
      </c>
      <c r="S73" s="258" t="s">
        <v>508</v>
      </c>
      <c r="T73" s="258" t="s">
        <v>587</v>
      </c>
      <c r="U73" s="258" t="s">
        <v>910</v>
      </c>
      <c r="V73" s="258" t="s">
        <v>529</v>
      </c>
      <c r="W73" s="258" t="s">
        <v>512</v>
      </c>
    </row>
    <row r="74">
      <c r="A74" s="258" t="s">
        <v>911</v>
      </c>
      <c r="B74" s="258" t="s">
        <v>912</v>
      </c>
      <c r="C74" s="261" t="s">
        <v>913</v>
      </c>
      <c r="D74" s="3"/>
      <c r="E74" s="3"/>
      <c r="F74" s="3"/>
      <c r="G74" s="3"/>
      <c r="H74" s="258" t="s">
        <v>722</v>
      </c>
      <c r="I74" s="258" t="s">
        <v>521</v>
      </c>
      <c r="J74" s="258" t="s">
        <v>522</v>
      </c>
      <c r="K74" s="260" t="s">
        <v>500</v>
      </c>
      <c r="L74" s="258" t="s">
        <v>549</v>
      </c>
      <c r="M74" s="258" t="s">
        <v>523</v>
      </c>
      <c r="N74" s="258" t="s">
        <v>575</v>
      </c>
      <c r="O74" s="258" t="s">
        <v>504</v>
      </c>
      <c r="P74" s="258" t="s">
        <v>505</v>
      </c>
      <c r="Q74" s="258" t="s">
        <v>914</v>
      </c>
      <c r="R74" s="258" t="s">
        <v>915</v>
      </c>
      <c r="S74" s="258" t="s">
        <v>508</v>
      </c>
      <c r="T74" s="258" t="s">
        <v>527</v>
      </c>
      <c r="U74" s="258" t="s">
        <v>916</v>
      </c>
      <c r="V74" s="258" t="s">
        <v>529</v>
      </c>
      <c r="W74" s="258" t="s">
        <v>512</v>
      </c>
    </row>
    <row r="75">
      <c r="A75" s="258" t="s">
        <v>917</v>
      </c>
      <c r="B75" s="258" t="s">
        <v>918</v>
      </c>
      <c r="C75" s="259">
        <v>1.8326598406E10</v>
      </c>
      <c r="D75" s="3"/>
      <c r="E75" s="3"/>
      <c r="F75" s="3"/>
      <c r="G75" s="3"/>
      <c r="H75" s="258" t="s">
        <v>548</v>
      </c>
      <c r="I75" s="258" t="s">
        <v>919</v>
      </c>
      <c r="J75" s="258" t="s">
        <v>574</v>
      </c>
      <c r="K75" s="260" t="s">
        <v>513</v>
      </c>
      <c r="L75" s="258" t="s">
        <v>549</v>
      </c>
      <c r="M75" s="258" t="s">
        <v>523</v>
      </c>
      <c r="N75" s="258" t="s">
        <v>920</v>
      </c>
      <c r="O75" s="258" t="s">
        <v>504</v>
      </c>
      <c r="P75" s="258" t="s">
        <v>541</v>
      </c>
      <c r="Q75" s="258" t="s">
        <v>525</v>
      </c>
      <c r="R75" s="258" t="s">
        <v>921</v>
      </c>
      <c r="S75" s="258" t="s">
        <v>598</v>
      </c>
      <c r="T75" s="258" t="s">
        <v>536</v>
      </c>
      <c r="U75" s="258" t="s">
        <v>922</v>
      </c>
      <c r="V75" s="258" t="s">
        <v>511</v>
      </c>
      <c r="W75" s="258" t="s">
        <v>512</v>
      </c>
    </row>
    <row r="76">
      <c r="A76" s="258" t="s">
        <v>923</v>
      </c>
      <c r="B76" s="258" t="s">
        <v>924</v>
      </c>
      <c r="C76" s="261" t="s">
        <v>925</v>
      </c>
      <c r="D76" s="3"/>
      <c r="E76" s="3"/>
      <c r="F76" s="3"/>
      <c r="G76" s="3"/>
      <c r="H76" s="258" t="s">
        <v>557</v>
      </c>
      <c r="I76" s="258" t="s">
        <v>521</v>
      </c>
      <c r="J76" s="258" t="s">
        <v>522</v>
      </c>
      <c r="K76" s="260" t="s">
        <v>500</v>
      </c>
      <c r="L76" s="258" t="s">
        <v>549</v>
      </c>
      <c r="M76" s="258" t="s">
        <v>623</v>
      </c>
      <c r="N76" s="258" t="s">
        <v>624</v>
      </c>
      <c r="O76" s="258" t="s">
        <v>504</v>
      </c>
      <c r="P76" s="258" t="s">
        <v>541</v>
      </c>
      <c r="Q76" s="258" t="s">
        <v>638</v>
      </c>
      <c r="R76" s="258" t="s">
        <v>611</v>
      </c>
      <c r="S76" s="258" t="s">
        <v>598</v>
      </c>
      <c r="T76" s="258" t="s">
        <v>527</v>
      </c>
      <c r="U76" s="258" t="s">
        <v>926</v>
      </c>
      <c r="V76" s="258" t="s">
        <v>763</v>
      </c>
      <c r="W76" s="258" t="s">
        <v>512</v>
      </c>
    </row>
    <row r="77">
      <c r="A77" s="258" t="s">
        <v>927</v>
      </c>
      <c r="B77" s="258" t="s">
        <v>928</v>
      </c>
      <c r="C77" s="261" t="s">
        <v>929</v>
      </c>
      <c r="D77" s="53"/>
      <c r="E77" s="53"/>
      <c r="F77" s="53"/>
      <c r="G77" s="53"/>
      <c r="H77" s="258" t="s">
        <v>726</v>
      </c>
      <c r="I77" s="258" t="s">
        <v>231</v>
      </c>
      <c r="J77" s="258" t="s">
        <v>574</v>
      </c>
      <c r="K77" s="260" t="s">
        <v>513</v>
      </c>
      <c r="L77" s="258" t="s">
        <v>549</v>
      </c>
      <c r="M77" s="258" t="s">
        <v>523</v>
      </c>
      <c r="N77" s="258" t="s">
        <v>592</v>
      </c>
      <c r="O77" s="258" t="s">
        <v>504</v>
      </c>
      <c r="P77" s="258" t="s">
        <v>541</v>
      </c>
      <c r="Q77" s="258" t="s">
        <v>506</v>
      </c>
      <c r="R77" s="258" t="s">
        <v>930</v>
      </c>
      <c r="S77" s="258" t="s">
        <v>570</v>
      </c>
      <c r="T77" s="258" t="s">
        <v>509</v>
      </c>
      <c r="U77" s="258" t="s">
        <v>931</v>
      </c>
      <c r="V77" s="258" t="s">
        <v>554</v>
      </c>
      <c r="W77" s="258" t="s">
        <v>512</v>
      </c>
    </row>
    <row r="78">
      <c r="A78" s="258" t="s">
        <v>932</v>
      </c>
      <c r="B78" s="258" t="s">
        <v>933</v>
      </c>
      <c r="C78" s="261" t="s">
        <v>934</v>
      </c>
      <c r="D78" s="3"/>
      <c r="E78" s="3"/>
      <c r="F78" s="3"/>
      <c r="G78" s="3"/>
      <c r="H78" s="258" t="s">
        <v>302</v>
      </c>
      <c r="I78" s="258" t="s">
        <v>521</v>
      </c>
      <c r="J78" s="258" t="s">
        <v>558</v>
      </c>
      <c r="K78" s="260" t="s">
        <v>500</v>
      </c>
      <c r="L78" s="258" t="s">
        <v>549</v>
      </c>
      <c r="M78" s="258" t="s">
        <v>523</v>
      </c>
      <c r="N78" s="258" t="s">
        <v>673</v>
      </c>
      <c r="O78" s="258" t="s">
        <v>504</v>
      </c>
      <c r="P78" s="258" t="s">
        <v>568</v>
      </c>
      <c r="Q78" s="258" t="s">
        <v>506</v>
      </c>
      <c r="R78" s="258" t="s">
        <v>935</v>
      </c>
      <c r="S78" s="258" t="s">
        <v>598</v>
      </c>
      <c r="T78" s="258" t="s">
        <v>527</v>
      </c>
      <c r="U78" s="258" t="s">
        <v>631</v>
      </c>
      <c r="V78" s="258" t="s">
        <v>529</v>
      </c>
      <c r="W78" s="258" t="s">
        <v>512</v>
      </c>
    </row>
    <row r="79">
      <c r="A79" s="258" t="s">
        <v>936</v>
      </c>
      <c r="B79" s="258" t="s">
        <v>937</v>
      </c>
      <c r="C79" s="259">
        <v>1.3854446563E10</v>
      </c>
      <c r="D79" s="3"/>
      <c r="E79" s="3"/>
      <c r="F79" s="3"/>
      <c r="G79" s="3"/>
      <c r="H79" s="258" t="s">
        <v>557</v>
      </c>
      <c r="I79" s="258" t="s">
        <v>533</v>
      </c>
      <c r="J79" s="258" t="s">
        <v>574</v>
      </c>
      <c r="K79" s="260" t="s">
        <v>513</v>
      </c>
      <c r="L79" s="258" t="s">
        <v>514</v>
      </c>
      <c r="M79" s="258" t="s">
        <v>523</v>
      </c>
      <c r="N79" s="258" t="s">
        <v>938</v>
      </c>
      <c r="O79" s="258" t="s">
        <v>585</v>
      </c>
      <c r="P79" s="258" t="s">
        <v>505</v>
      </c>
      <c r="Q79" s="258" t="s">
        <v>506</v>
      </c>
      <c r="R79" s="258" t="s">
        <v>939</v>
      </c>
      <c r="S79" s="258" t="s">
        <v>598</v>
      </c>
      <c r="T79" s="258" t="s">
        <v>536</v>
      </c>
      <c r="U79" s="258" t="s">
        <v>940</v>
      </c>
      <c r="V79" s="258" t="s">
        <v>554</v>
      </c>
      <c r="W79" s="258" t="s">
        <v>512</v>
      </c>
    </row>
    <row r="80">
      <c r="A80" s="258" t="s">
        <v>941</v>
      </c>
      <c r="B80" s="258" t="s">
        <v>942</v>
      </c>
      <c r="C80" s="259">
        <v>1.9542489559E10</v>
      </c>
      <c r="D80" s="3"/>
      <c r="E80" s="3"/>
      <c r="F80" s="3"/>
      <c r="G80" s="3"/>
      <c r="H80" s="258" t="s">
        <v>622</v>
      </c>
      <c r="I80" s="258" t="s">
        <v>636</v>
      </c>
      <c r="J80" s="258" t="s">
        <v>499</v>
      </c>
      <c r="K80" s="260" t="s">
        <v>513</v>
      </c>
      <c r="L80" s="258" t="s">
        <v>549</v>
      </c>
      <c r="M80" s="258" t="s">
        <v>523</v>
      </c>
      <c r="N80" s="258" t="s">
        <v>503</v>
      </c>
      <c r="O80" s="258" t="s">
        <v>504</v>
      </c>
      <c r="P80" s="258" t="s">
        <v>505</v>
      </c>
      <c r="Q80" s="258" t="s">
        <v>790</v>
      </c>
      <c r="R80" s="258" t="s">
        <v>943</v>
      </c>
      <c r="S80" s="258" t="s">
        <v>570</v>
      </c>
      <c r="T80" s="258" t="s">
        <v>527</v>
      </c>
      <c r="U80" s="258" t="s">
        <v>944</v>
      </c>
      <c r="V80" s="258" t="s">
        <v>529</v>
      </c>
      <c r="W80" s="258" t="s">
        <v>512</v>
      </c>
    </row>
    <row r="81">
      <c r="A81" s="258" t="s">
        <v>945</v>
      </c>
      <c r="B81" s="258" t="s">
        <v>946</v>
      </c>
      <c r="C81" s="259">
        <v>1.7868267053E10</v>
      </c>
      <c r="D81" s="3"/>
      <c r="E81" s="3"/>
      <c r="F81" s="3"/>
      <c r="G81" s="3"/>
      <c r="H81" s="258" t="s">
        <v>557</v>
      </c>
      <c r="I81" s="258" t="s">
        <v>521</v>
      </c>
      <c r="J81" s="258" t="s">
        <v>499</v>
      </c>
      <c r="K81" s="260" t="s">
        <v>513</v>
      </c>
      <c r="L81" s="258" t="s">
        <v>501</v>
      </c>
      <c r="M81" s="258" t="s">
        <v>523</v>
      </c>
      <c r="N81" s="258" t="s">
        <v>575</v>
      </c>
      <c r="O81" s="258" t="s">
        <v>504</v>
      </c>
      <c r="P81" s="258" t="s">
        <v>505</v>
      </c>
      <c r="Q81" s="258" t="s">
        <v>506</v>
      </c>
      <c r="R81" s="258" t="s">
        <v>947</v>
      </c>
      <c r="S81" s="258" t="s">
        <v>508</v>
      </c>
      <c r="T81" s="258" t="s">
        <v>651</v>
      </c>
      <c r="U81" s="258" t="s">
        <v>948</v>
      </c>
      <c r="V81" s="258" t="s">
        <v>843</v>
      </c>
      <c r="W81" s="258" t="s">
        <v>512</v>
      </c>
    </row>
    <row r="82">
      <c r="A82" s="258" t="s">
        <v>949</v>
      </c>
      <c r="B82" s="258" t="s">
        <v>950</v>
      </c>
      <c r="C82" s="259">
        <v>1.8706302392E10</v>
      </c>
      <c r="H82" s="258" t="s">
        <v>557</v>
      </c>
      <c r="I82" s="258" t="s">
        <v>231</v>
      </c>
      <c r="J82" s="258" t="s">
        <v>574</v>
      </c>
      <c r="K82" s="260" t="s">
        <v>513</v>
      </c>
      <c r="L82" s="258" t="s">
        <v>514</v>
      </c>
      <c r="M82" s="258" t="s">
        <v>523</v>
      </c>
      <c r="N82" s="258" t="s">
        <v>515</v>
      </c>
      <c r="O82" s="258" t="s">
        <v>504</v>
      </c>
      <c r="P82" s="258" t="s">
        <v>505</v>
      </c>
      <c r="Q82" s="258" t="s">
        <v>525</v>
      </c>
      <c r="R82" s="258" t="s">
        <v>951</v>
      </c>
      <c r="S82" s="258" t="s">
        <v>598</v>
      </c>
      <c r="T82" s="258" t="s">
        <v>509</v>
      </c>
      <c r="U82" s="258" t="s">
        <v>952</v>
      </c>
      <c r="V82" s="258" t="s">
        <v>554</v>
      </c>
      <c r="W82" s="258" t="s">
        <v>512</v>
      </c>
    </row>
    <row r="83">
      <c r="A83" s="258" t="s">
        <v>953</v>
      </c>
      <c r="B83" s="258" t="s">
        <v>954</v>
      </c>
      <c r="C83" s="261" t="s">
        <v>955</v>
      </c>
      <c r="D83" s="3"/>
      <c r="E83" s="3"/>
      <c r="F83" s="3"/>
      <c r="G83" s="3"/>
      <c r="H83" s="258" t="s">
        <v>557</v>
      </c>
      <c r="I83" s="258" t="s">
        <v>636</v>
      </c>
      <c r="J83" s="258" t="s">
        <v>499</v>
      </c>
      <c r="K83" s="260" t="s">
        <v>500</v>
      </c>
      <c r="L83" s="258" t="s">
        <v>549</v>
      </c>
      <c r="M83" s="258" t="s">
        <v>623</v>
      </c>
      <c r="N83" s="258" t="s">
        <v>956</v>
      </c>
      <c r="O83" s="258" t="s">
        <v>504</v>
      </c>
      <c r="P83" s="258" t="s">
        <v>541</v>
      </c>
      <c r="Q83" s="258" t="s">
        <v>604</v>
      </c>
      <c r="R83" s="258" t="s">
        <v>957</v>
      </c>
      <c r="S83" s="258" t="s">
        <v>508</v>
      </c>
      <c r="T83" s="258" t="s">
        <v>587</v>
      </c>
      <c r="U83" s="258" t="s">
        <v>958</v>
      </c>
      <c r="V83" s="258" t="s">
        <v>529</v>
      </c>
      <c r="W83" s="258" t="s">
        <v>512</v>
      </c>
    </row>
    <row r="84">
      <c r="A84" s="258" t="s">
        <v>959</v>
      </c>
      <c r="B84" s="258" t="s">
        <v>960</v>
      </c>
      <c r="C84" s="259">
        <v>1.8299385522E10</v>
      </c>
      <c r="D84" s="3"/>
      <c r="E84" s="3"/>
      <c r="F84" s="3"/>
      <c r="G84" s="3"/>
      <c r="H84" s="258" t="s">
        <v>557</v>
      </c>
      <c r="I84" s="258" t="s">
        <v>540</v>
      </c>
      <c r="J84" s="258" t="s">
        <v>558</v>
      </c>
      <c r="K84" s="260" t="s">
        <v>513</v>
      </c>
      <c r="L84" s="258" t="s">
        <v>615</v>
      </c>
      <c r="M84" s="258" t="s">
        <v>523</v>
      </c>
      <c r="N84" s="258" t="s">
        <v>503</v>
      </c>
      <c r="O84" s="258" t="s">
        <v>585</v>
      </c>
      <c r="P84" s="258" t="s">
        <v>603</v>
      </c>
      <c r="Q84" s="258" t="s">
        <v>604</v>
      </c>
      <c r="R84" s="258" t="s">
        <v>961</v>
      </c>
      <c r="S84" s="258" t="s">
        <v>598</v>
      </c>
      <c r="T84" s="258" t="s">
        <v>536</v>
      </c>
      <c r="U84" s="258" t="s">
        <v>962</v>
      </c>
      <c r="V84" s="258" t="s">
        <v>529</v>
      </c>
      <c r="W84" s="258" t="s">
        <v>512</v>
      </c>
    </row>
    <row r="85">
      <c r="A85" s="258" t="s">
        <v>963</v>
      </c>
      <c r="B85" s="258" t="s">
        <v>964</v>
      </c>
      <c r="C85" s="261" t="s">
        <v>965</v>
      </c>
      <c r="D85" s="3"/>
      <c r="E85" s="3"/>
      <c r="F85" s="3"/>
      <c r="G85" s="3"/>
      <c r="H85" s="258" t="s">
        <v>622</v>
      </c>
      <c r="I85" s="258" t="s">
        <v>233</v>
      </c>
      <c r="J85" s="258" t="s">
        <v>522</v>
      </c>
      <c r="K85" s="260" t="s">
        <v>566</v>
      </c>
      <c r="L85" s="258" t="s">
        <v>615</v>
      </c>
      <c r="M85" s="258" t="s">
        <v>550</v>
      </c>
      <c r="N85" s="258" t="s">
        <v>524</v>
      </c>
      <c r="O85" s="258" t="s">
        <v>516</v>
      </c>
      <c r="P85" s="258" t="s">
        <v>603</v>
      </c>
      <c r="Q85" s="258" t="s">
        <v>604</v>
      </c>
      <c r="R85" s="258" t="s">
        <v>966</v>
      </c>
      <c r="S85" s="258" t="s">
        <v>606</v>
      </c>
      <c r="T85" s="258" t="s">
        <v>587</v>
      </c>
      <c r="U85" s="258" t="s">
        <v>967</v>
      </c>
      <c r="V85" s="258" t="s">
        <v>554</v>
      </c>
      <c r="W85" s="258" t="s">
        <v>512</v>
      </c>
    </row>
    <row r="86">
      <c r="A86" s="258" t="s">
        <v>968</v>
      </c>
      <c r="B86" s="258" t="s">
        <v>969</v>
      </c>
      <c r="C86" s="259">
        <v>1.7866023583E10</v>
      </c>
      <c r="D86" s="3"/>
      <c r="E86" s="3"/>
      <c r="F86" s="3"/>
      <c r="G86" s="3"/>
      <c r="H86" s="258" t="s">
        <v>557</v>
      </c>
      <c r="I86" s="258" t="s">
        <v>521</v>
      </c>
      <c r="J86" s="258" t="s">
        <v>499</v>
      </c>
      <c r="K86" s="260" t="s">
        <v>513</v>
      </c>
      <c r="L86" s="258" t="s">
        <v>549</v>
      </c>
      <c r="M86" s="258" t="s">
        <v>523</v>
      </c>
      <c r="N86" s="258" t="s">
        <v>970</v>
      </c>
      <c r="O86" s="258" t="s">
        <v>585</v>
      </c>
      <c r="P86" s="258" t="s">
        <v>541</v>
      </c>
      <c r="Q86" s="258" t="s">
        <v>638</v>
      </c>
      <c r="R86" s="258" t="s">
        <v>971</v>
      </c>
      <c r="S86" s="258" t="s">
        <v>570</v>
      </c>
      <c r="T86" s="258" t="s">
        <v>587</v>
      </c>
      <c r="U86" s="258" t="s">
        <v>972</v>
      </c>
      <c r="V86" s="258" t="s">
        <v>529</v>
      </c>
      <c r="W86" s="258" t="s">
        <v>512</v>
      </c>
    </row>
    <row r="87">
      <c r="A87" s="258" t="s">
        <v>973</v>
      </c>
      <c r="B87" s="258" t="s">
        <v>974</v>
      </c>
      <c r="C87" s="259">
        <v>1.203278006E10</v>
      </c>
      <c r="D87" s="3"/>
      <c r="E87" s="3"/>
      <c r="F87" s="3"/>
      <c r="G87" s="3"/>
      <c r="H87" s="258" t="s">
        <v>557</v>
      </c>
      <c r="I87" s="258" t="s">
        <v>636</v>
      </c>
      <c r="J87" s="258" t="s">
        <v>574</v>
      </c>
      <c r="K87" s="260" t="s">
        <v>513</v>
      </c>
      <c r="L87" s="258" t="s">
        <v>615</v>
      </c>
      <c r="M87" s="258" t="s">
        <v>523</v>
      </c>
      <c r="N87" s="258" t="s">
        <v>524</v>
      </c>
      <c r="O87" s="258" t="s">
        <v>585</v>
      </c>
      <c r="P87" s="258" t="s">
        <v>603</v>
      </c>
      <c r="Q87" s="258" t="s">
        <v>506</v>
      </c>
      <c r="R87" s="258" t="s">
        <v>975</v>
      </c>
      <c r="S87" s="258" t="s">
        <v>570</v>
      </c>
      <c r="T87" s="258" t="s">
        <v>509</v>
      </c>
      <c r="U87" s="258" t="s">
        <v>976</v>
      </c>
      <c r="V87" s="258" t="s">
        <v>554</v>
      </c>
      <c r="W87" s="258" t="s">
        <v>512</v>
      </c>
    </row>
    <row r="88">
      <c r="A88" s="258" t="s">
        <v>977</v>
      </c>
      <c r="B88" s="258" t="s">
        <v>978</v>
      </c>
      <c r="C88" s="259">
        <v>1.7089530874E10</v>
      </c>
      <c r="D88" s="3"/>
      <c r="E88" s="3"/>
      <c r="F88" s="3"/>
      <c r="G88" s="3"/>
      <c r="H88" s="258" t="s">
        <v>557</v>
      </c>
      <c r="I88" s="258" t="s">
        <v>521</v>
      </c>
      <c r="J88" s="258" t="s">
        <v>499</v>
      </c>
      <c r="K88" s="260" t="s">
        <v>513</v>
      </c>
      <c r="L88" s="258" t="s">
        <v>501</v>
      </c>
      <c r="M88" s="258" t="s">
        <v>523</v>
      </c>
      <c r="N88" s="258" t="s">
        <v>979</v>
      </c>
      <c r="O88" s="258" t="s">
        <v>504</v>
      </c>
      <c r="P88" s="258" t="s">
        <v>541</v>
      </c>
      <c r="Q88" s="258" t="s">
        <v>604</v>
      </c>
      <c r="R88" s="258" t="s">
        <v>611</v>
      </c>
      <c r="S88" s="258" t="s">
        <v>508</v>
      </c>
      <c r="T88" s="258" t="s">
        <v>536</v>
      </c>
      <c r="U88" s="258" t="s">
        <v>980</v>
      </c>
      <c r="V88" s="258" t="s">
        <v>529</v>
      </c>
      <c r="W88" s="258" t="s">
        <v>512</v>
      </c>
    </row>
    <row r="89">
      <c r="A89" s="258" t="s">
        <v>981</v>
      </c>
      <c r="B89" s="258" t="s">
        <v>982</v>
      </c>
      <c r="C89" s="259">
        <v>1.6452042672E10</v>
      </c>
      <c r="D89" s="3"/>
      <c r="E89" s="3"/>
      <c r="F89" s="3"/>
      <c r="G89" s="3"/>
      <c r="H89" s="258" t="s">
        <v>557</v>
      </c>
      <c r="I89" s="258" t="s">
        <v>521</v>
      </c>
      <c r="J89" s="258" t="s">
        <v>574</v>
      </c>
      <c r="K89" s="260" t="s">
        <v>513</v>
      </c>
      <c r="L89" s="258" t="s">
        <v>514</v>
      </c>
      <c r="M89" s="258" t="s">
        <v>523</v>
      </c>
      <c r="N89" s="258" t="s">
        <v>575</v>
      </c>
      <c r="O89" s="258" t="s">
        <v>585</v>
      </c>
      <c r="P89" s="258" t="s">
        <v>603</v>
      </c>
      <c r="Q89" s="258" t="s">
        <v>790</v>
      </c>
      <c r="R89" s="258" t="s">
        <v>983</v>
      </c>
      <c r="S89" s="258" t="s">
        <v>570</v>
      </c>
      <c r="T89" s="258" t="s">
        <v>509</v>
      </c>
      <c r="U89" s="258" t="s">
        <v>797</v>
      </c>
      <c r="V89" s="258" t="s">
        <v>529</v>
      </c>
      <c r="W89" s="258" t="s">
        <v>512</v>
      </c>
    </row>
    <row r="90">
      <c r="A90" s="258" t="s">
        <v>981</v>
      </c>
      <c r="B90" s="258" t="s">
        <v>982</v>
      </c>
      <c r="C90" s="259">
        <v>1.6452042642E10</v>
      </c>
      <c r="D90" s="3"/>
      <c r="E90" s="3"/>
      <c r="F90" s="3"/>
      <c r="G90" s="3"/>
      <c r="H90" s="258" t="s">
        <v>548</v>
      </c>
      <c r="I90" s="258" t="s">
        <v>521</v>
      </c>
      <c r="J90" s="258" t="s">
        <v>574</v>
      </c>
      <c r="K90" s="260" t="s">
        <v>513</v>
      </c>
      <c r="L90" s="258" t="s">
        <v>514</v>
      </c>
      <c r="M90" s="258" t="s">
        <v>523</v>
      </c>
      <c r="N90" s="258" t="s">
        <v>575</v>
      </c>
      <c r="O90" s="258" t="s">
        <v>585</v>
      </c>
      <c r="P90" s="258" t="s">
        <v>603</v>
      </c>
      <c r="Q90" s="258" t="s">
        <v>790</v>
      </c>
      <c r="R90" s="258" t="s">
        <v>984</v>
      </c>
      <c r="S90" s="258" t="s">
        <v>570</v>
      </c>
      <c r="T90" s="258" t="s">
        <v>509</v>
      </c>
      <c r="U90" s="258" t="s">
        <v>797</v>
      </c>
      <c r="V90" s="258" t="s">
        <v>529</v>
      </c>
      <c r="W90" s="258" t="s">
        <v>512</v>
      </c>
    </row>
    <row r="91">
      <c r="A91" s="258" t="s">
        <v>985</v>
      </c>
      <c r="B91" s="258" t="s">
        <v>986</v>
      </c>
      <c r="C91" s="261" t="s">
        <v>987</v>
      </c>
      <c r="D91" s="3"/>
      <c r="E91" s="3"/>
      <c r="F91" s="3"/>
      <c r="G91" s="3"/>
      <c r="H91" s="258" t="s">
        <v>557</v>
      </c>
      <c r="I91" s="258" t="s">
        <v>521</v>
      </c>
      <c r="J91" s="258" t="s">
        <v>574</v>
      </c>
      <c r="K91" s="260" t="s">
        <v>513</v>
      </c>
      <c r="L91" s="258" t="s">
        <v>615</v>
      </c>
      <c r="M91" s="258" t="s">
        <v>523</v>
      </c>
      <c r="N91" s="258" t="s">
        <v>534</v>
      </c>
      <c r="O91" s="258" t="s">
        <v>504</v>
      </c>
      <c r="P91" s="258" t="s">
        <v>505</v>
      </c>
      <c r="Q91" s="258" t="s">
        <v>914</v>
      </c>
      <c r="R91" s="258" t="s">
        <v>988</v>
      </c>
      <c r="S91" s="258" t="s">
        <v>508</v>
      </c>
      <c r="T91" s="258" t="s">
        <v>536</v>
      </c>
      <c r="U91" s="258" t="s">
        <v>989</v>
      </c>
      <c r="V91" s="258" t="s">
        <v>554</v>
      </c>
      <c r="W91" s="258" t="s">
        <v>512</v>
      </c>
    </row>
    <row r="92">
      <c r="A92" s="258" t="s">
        <v>990</v>
      </c>
      <c r="B92" s="258" t="s">
        <v>991</v>
      </c>
      <c r="C92" s="261" t="s">
        <v>992</v>
      </c>
      <c r="D92" s="3"/>
      <c r="E92" s="3"/>
      <c r="F92" s="3"/>
      <c r="G92" s="3"/>
      <c r="H92" s="258" t="s">
        <v>300</v>
      </c>
      <c r="I92" s="258" t="s">
        <v>521</v>
      </c>
      <c r="J92" s="258" t="s">
        <v>499</v>
      </c>
      <c r="K92" s="260" t="s">
        <v>500</v>
      </c>
      <c r="L92" s="258" t="s">
        <v>501</v>
      </c>
      <c r="M92" s="258" t="s">
        <v>623</v>
      </c>
      <c r="N92" s="258" t="s">
        <v>666</v>
      </c>
      <c r="O92" s="258" t="s">
        <v>504</v>
      </c>
      <c r="P92" s="258" t="s">
        <v>505</v>
      </c>
      <c r="Q92" s="258" t="s">
        <v>506</v>
      </c>
      <c r="R92" s="258" t="s">
        <v>542</v>
      </c>
      <c r="S92" s="258" t="s">
        <v>508</v>
      </c>
      <c r="T92" s="258" t="s">
        <v>651</v>
      </c>
      <c r="U92" s="258" t="s">
        <v>631</v>
      </c>
      <c r="V92" s="258" t="s">
        <v>529</v>
      </c>
      <c r="W92" s="258" t="s">
        <v>512</v>
      </c>
    </row>
    <row r="93">
      <c r="A93" s="258" t="s">
        <v>993</v>
      </c>
      <c r="B93" s="258" t="s">
        <v>994</v>
      </c>
      <c r="C93" s="261" t="s">
        <v>995</v>
      </c>
      <c r="D93" s="3"/>
      <c r="E93" s="3"/>
      <c r="F93" s="3"/>
      <c r="G93" s="3"/>
      <c r="H93" s="258" t="s">
        <v>548</v>
      </c>
      <c r="I93" s="258" t="s">
        <v>521</v>
      </c>
      <c r="J93" s="258" t="s">
        <v>499</v>
      </c>
      <c r="K93" s="260" t="s">
        <v>513</v>
      </c>
      <c r="L93" s="258" t="s">
        <v>549</v>
      </c>
      <c r="M93" s="258" t="s">
        <v>550</v>
      </c>
      <c r="N93" s="258" t="s">
        <v>996</v>
      </c>
      <c r="O93" s="258" t="s">
        <v>585</v>
      </c>
      <c r="P93" s="258" t="s">
        <v>505</v>
      </c>
      <c r="Q93" s="258" t="s">
        <v>506</v>
      </c>
      <c r="R93" s="258" t="s">
        <v>997</v>
      </c>
      <c r="S93" s="258" t="s">
        <v>598</v>
      </c>
      <c r="T93" s="258" t="s">
        <v>587</v>
      </c>
      <c r="U93" s="258" t="s">
        <v>19</v>
      </c>
      <c r="V93" s="258" t="s">
        <v>529</v>
      </c>
      <c r="W93" s="258" t="s">
        <v>512</v>
      </c>
    </row>
    <row r="94">
      <c r="A94" s="258" t="s">
        <v>993</v>
      </c>
      <c r="B94" s="258" t="s">
        <v>994</v>
      </c>
      <c r="C94" s="261" t="s">
        <v>995</v>
      </c>
      <c r="D94" s="3"/>
      <c r="E94" s="3"/>
      <c r="F94" s="3"/>
      <c r="G94" s="3"/>
      <c r="H94" s="258" t="s">
        <v>548</v>
      </c>
      <c r="I94" s="258" t="s">
        <v>521</v>
      </c>
      <c r="J94" s="258" t="s">
        <v>522</v>
      </c>
      <c r="K94" s="260" t="s">
        <v>513</v>
      </c>
      <c r="L94" s="258" t="s">
        <v>549</v>
      </c>
      <c r="M94" s="258" t="s">
        <v>523</v>
      </c>
      <c r="N94" s="258" t="s">
        <v>503</v>
      </c>
      <c r="O94" s="258" t="s">
        <v>585</v>
      </c>
      <c r="P94" s="258" t="s">
        <v>541</v>
      </c>
      <c r="Q94" s="258" t="s">
        <v>998</v>
      </c>
      <c r="R94" s="258" t="s">
        <v>999</v>
      </c>
      <c r="S94" s="258" t="s">
        <v>598</v>
      </c>
      <c r="T94" s="258" t="s">
        <v>587</v>
      </c>
      <c r="U94" s="258" t="s">
        <v>1000</v>
      </c>
      <c r="V94" s="258" t="s">
        <v>529</v>
      </c>
      <c r="W94" s="258" t="s">
        <v>512</v>
      </c>
    </row>
    <row r="95">
      <c r="A95" s="258" t="s">
        <v>1001</v>
      </c>
      <c r="B95" s="258" t="s">
        <v>1002</v>
      </c>
      <c r="C95" s="261" t="s">
        <v>1003</v>
      </c>
      <c r="D95" s="3"/>
      <c r="E95" s="3"/>
      <c r="F95" s="3"/>
      <c r="G95" s="3"/>
      <c r="H95" s="258" t="s">
        <v>313</v>
      </c>
      <c r="I95" s="258" t="s">
        <v>521</v>
      </c>
      <c r="J95" s="258" t="s">
        <v>499</v>
      </c>
      <c r="K95" s="260" t="s">
        <v>500</v>
      </c>
      <c r="L95" s="258" t="s">
        <v>549</v>
      </c>
      <c r="M95" s="258" t="s">
        <v>550</v>
      </c>
      <c r="N95" s="258" t="s">
        <v>624</v>
      </c>
      <c r="O95" s="258" t="s">
        <v>504</v>
      </c>
      <c r="P95" s="258" t="s">
        <v>505</v>
      </c>
      <c r="Q95" s="258" t="s">
        <v>914</v>
      </c>
      <c r="R95" s="258" t="s">
        <v>1004</v>
      </c>
      <c r="S95" s="258" t="s">
        <v>598</v>
      </c>
      <c r="T95" s="258" t="s">
        <v>509</v>
      </c>
      <c r="U95" s="258" t="s">
        <v>1005</v>
      </c>
      <c r="V95" s="258" t="s">
        <v>529</v>
      </c>
      <c r="W95" s="258" t="s">
        <v>512</v>
      </c>
    </row>
    <row r="96">
      <c r="A96" s="258" t="s">
        <v>1006</v>
      </c>
      <c r="B96" s="258" t="s">
        <v>1007</v>
      </c>
      <c r="C96" s="261" t="s">
        <v>1008</v>
      </c>
      <c r="D96" s="3"/>
      <c r="E96" s="3"/>
      <c r="F96" s="3"/>
      <c r="G96" s="3"/>
      <c r="H96" s="258" t="s">
        <v>300</v>
      </c>
      <c r="I96" s="258" t="s">
        <v>521</v>
      </c>
      <c r="J96" s="258" t="s">
        <v>499</v>
      </c>
      <c r="K96" s="260" t="s">
        <v>500</v>
      </c>
      <c r="L96" s="258" t="s">
        <v>501</v>
      </c>
      <c r="M96" s="258" t="s">
        <v>623</v>
      </c>
      <c r="N96" s="258" t="s">
        <v>575</v>
      </c>
      <c r="O96" s="258" t="s">
        <v>504</v>
      </c>
      <c r="P96" s="258" t="s">
        <v>505</v>
      </c>
      <c r="Q96" s="258" t="s">
        <v>506</v>
      </c>
      <c r="R96" s="258" t="s">
        <v>1009</v>
      </c>
      <c r="S96" s="258" t="s">
        <v>508</v>
      </c>
      <c r="T96" s="258" t="s">
        <v>509</v>
      </c>
      <c r="U96" s="258" t="s">
        <v>1010</v>
      </c>
      <c r="V96" s="258" t="s">
        <v>529</v>
      </c>
      <c r="W96" s="258" t="s">
        <v>512</v>
      </c>
    </row>
    <row r="97">
      <c r="A97" s="258" t="s">
        <v>1011</v>
      </c>
      <c r="B97" s="258" t="s">
        <v>1012</v>
      </c>
      <c r="C97" s="261" t="s">
        <v>1013</v>
      </c>
      <c r="D97" s="3"/>
      <c r="E97" s="3"/>
      <c r="F97" s="3"/>
      <c r="G97" s="3"/>
      <c r="H97" s="258" t="s">
        <v>548</v>
      </c>
      <c r="I97" s="258" t="s">
        <v>540</v>
      </c>
      <c r="J97" s="258" t="s">
        <v>499</v>
      </c>
      <c r="K97" s="260" t="s">
        <v>500</v>
      </c>
      <c r="L97" s="258" t="s">
        <v>514</v>
      </c>
      <c r="M97" s="258" t="s">
        <v>523</v>
      </c>
      <c r="N97" s="258" t="s">
        <v>1014</v>
      </c>
      <c r="O97" s="258" t="s">
        <v>504</v>
      </c>
      <c r="P97" s="258" t="s">
        <v>505</v>
      </c>
      <c r="Q97" s="258" t="s">
        <v>506</v>
      </c>
      <c r="R97" s="258" t="s">
        <v>1015</v>
      </c>
      <c r="S97" s="258" t="s">
        <v>508</v>
      </c>
      <c r="T97" s="258" t="s">
        <v>543</v>
      </c>
      <c r="U97" s="258" t="s">
        <v>687</v>
      </c>
      <c r="V97" s="258" t="s">
        <v>843</v>
      </c>
      <c r="W97" s="258" t="s">
        <v>512</v>
      </c>
    </row>
    <row r="98">
      <c r="A98" s="258" t="s">
        <v>1016</v>
      </c>
      <c r="B98" s="258" t="s">
        <v>1017</v>
      </c>
      <c r="C98" s="259">
        <v>1.3472499077E10</v>
      </c>
      <c r="D98" s="3"/>
      <c r="E98" s="3"/>
      <c r="F98" s="3"/>
      <c r="G98" s="3"/>
      <c r="H98" s="258" t="s">
        <v>622</v>
      </c>
      <c r="I98" s="258" t="s">
        <v>540</v>
      </c>
      <c r="J98" s="258" t="s">
        <v>499</v>
      </c>
      <c r="K98" s="260" t="s">
        <v>500</v>
      </c>
      <c r="L98" s="258" t="s">
        <v>501</v>
      </c>
      <c r="M98" s="258" t="s">
        <v>523</v>
      </c>
      <c r="N98" s="258" t="s">
        <v>979</v>
      </c>
      <c r="O98" s="258" t="s">
        <v>504</v>
      </c>
      <c r="P98" s="258" t="s">
        <v>603</v>
      </c>
      <c r="Q98" s="258" t="s">
        <v>506</v>
      </c>
      <c r="R98" s="258" t="s">
        <v>630</v>
      </c>
      <c r="S98" s="258" t="s">
        <v>570</v>
      </c>
      <c r="T98" s="258" t="s">
        <v>587</v>
      </c>
      <c r="U98" s="258" t="s">
        <v>631</v>
      </c>
      <c r="V98" s="258" t="s">
        <v>529</v>
      </c>
      <c r="W98" s="258" t="s">
        <v>512</v>
      </c>
    </row>
    <row r="99">
      <c r="A99" s="258" t="s">
        <v>1018</v>
      </c>
      <c r="B99" s="258" t="s">
        <v>1019</v>
      </c>
      <c r="C99" s="261" t="s">
        <v>1020</v>
      </c>
      <c r="D99" s="3"/>
      <c r="E99" s="3"/>
      <c r="F99" s="3"/>
      <c r="G99" s="3"/>
      <c r="H99" s="258" t="s">
        <v>548</v>
      </c>
      <c r="I99" s="258" t="s">
        <v>533</v>
      </c>
      <c r="J99" s="258" t="s">
        <v>574</v>
      </c>
      <c r="K99" s="260" t="s">
        <v>566</v>
      </c>
      <c r="L99" s="258" t="s">
        <v>549</v>
      </c>
      <c r="M99" s="258" t="s">
        <v>523</v>
      </c>
      <c r="N99" s="258" t="s">
        <v>567</v>
      </c>
      <c r="O99" s="258" t="s">
        <v>504</v>
      </c>
      <c r="P99" s="258" t="s">
        <v>541</v>
      </c>
      <c r="Q99" s="258" t="s">
        <v>790</v>
      </c>
      <c r="R99" s="258" t="s">
        <v>1021</v>
      </c>
      <c r="S99" s="258" t="s">
        <v>570</v>
      </c>
      <c r="T99" s="258" t="s">
        <v>536</v>
      </c>
      <c r="U99" s="258" t="s">
        <v>1022</v>
      </c>
      <c r="V99" s="258" t="s">
        <v>511</v>
      </c>
      <c r="W99" s="258" t="s">
        <v>512</v>
      </c>
    </row>
    <row r="100">
      <c r="A100" s="258" t="s">
        <v>1023</v>
      </c>
      <c r="B100" s="258" t="s">
        <v>1024</v>
      </c>
      <c r="C100" s="259">
        <v>1.9046242198E10</v>
      </c>
      <c r="D100" s="3"/>
      <c r="E100" s="3"/>
      <c r="F100" s="3"/>
      <c r="G100" s="3"/>
      <c r="H100" s="258" t="s">
        <v>548</v>
      </c>
      <c r="I100" s="258" t="s">
        <v>540</v>
      </c>
      <c r="J100" s="258" t="s">
        <v>499</v>
      </c>
      <c r="K100" s="260" t="s">
        <v>500</v>
      </c>
      <c r="L100" s="258" t="s">
        <v>501</v>
      </c>
      <c r="M100" s="258" t="s">
        <v>550</v>
      </c>
      <c r="N100" s="258" t="s">
        <v>575</v>
      </c>
      <c r="O100" s="258" t="s">
        <v>504</v>
      </c>
      <c r="P100" s="258" t="s">
        <v>541</v>
      </c>
      <c r="Q100" s="258" t="s">
        <v>506</v>
      </c>
      <c r="R100" s="258" t="s">
        <v>1025</v>
      </c>
      <c r="S100" s="258" t="s">
        <v>598</v>
      </c>
      <c r="T100" s="258" t="s">
        <v>509</v>
      </c>
      <c r="U100" s="258" t="s">
        <v>1026</v>
      </c>
      <c r="V100" s="258" t="s">
        <v>554</v>
      </c>
      <c r="W100" s="258" t="s">
        <v>512</v>
      </c>
    </row>
    <row r="101">
      <c r="A101" s="258" t="s">
        <v>1027</v>
      </c>
      <c r="B101" s="258" t="s">
        <v>1028</v>
      </c>
      <c r="C101" s="261" t="s">
        <v>1029</v>
      </c>
      <c r="D101" s="3"/>
      <c r="E101" s="3"/>
      <c r="F101" s="3"/>
      <c r="G101" s="3"/>
      <c r="H101" s="258" t="s">
        <v>1030</v>
      </c>
      <c r="I101" s="258" t="s">
        <v>521</v>
      </c>
      <c r="J101" s="258" t="s">
        <v>499</v>
      </c>
      <c r="K101" s="260" t="s">
        <v>500</v>
      </c>
      <c r="L101" s="258" t="s">
        <v>501</v>
      </c>
      <c r="M101" s="258" t="s">
        <v>502</v>
      </c>
      <c r="N101" s="258" t="s">
        <v>592</v>
      </c>
      <c r="O101" s="258" t="s">
        <v>516</v>
      </c>
      <c r="P101" s="258" t="s">
        <v>505</v>
      </c>
      <c r="Q101" s="258" t="s">
        <v>617</v>
      </c>
      <c r="R101" s="258" t="s">
        <v>1031</v>
      </c>
      <c r="S101" s="258" t="s">
        <v>508</v>
      </c>
      <c r="T101" s="258" t="s">
        <v>527</v>
      </c>
      <c r="U101" s="258" t="s">
        <v>1032</v>
      </c>
      <c r="V101" s="258" t="s">
        <v>578</v>
      </c>
      <c r="W101" s="258" t="s">
        <v>512</v>
      </c>
    </row>
    <row r="102">
      <c r="A102" s="258" t="s">
        <v>1033</v>
      </c>
      <c r="B102" s="258" t="s">
        <v>1034</v>
      </c>
      <c r="C102" s="259">
        <v>1.8493617286E10</v>
      </c>
      <c r="D102" s="3"/>
      <c r="E102" s="3"/>
      <c r="F102" s="3"/>
      <c r="G102" s="3"/>
      <c r="H102" s="258" t="s">
        <v>548</v>
      </c>
      <c r="I102" s="258" t="s">
        <v>540</v>
      </c>
      <c r="J102" s="258" t="s">
        <v>499</v>
      </c>
      <c r="K102" s="260" t="s">
        <v>513</v>
      </c>
      <c r="L102" s="258" t="s">
        <v>549</v>
      </c>
      <c r="M102" s="258" t="s">
        <v>550</v>
      </c>
      <c r="N102" s="258" t="s">
        <v>970</v>
      </c>
      <c r="O102" s="258" t="s">
        <v>516</v>
      </c>
      <c r="P102" s="258" t="s">
        <v>541</v>
      </c>
      <c r="Q102" s="258" t="s">
        <v>914</v>
      </c>
      <c r="R102" s="258" t="s">
        <v>1035</v>
      </c>
      <c r="S102" s="258" t="s">
        <v>598</v>
      </c>
      <c r="T102" s="258" t="s">
        <v>587</v>
      </c>
      <c r="U102" s="258" t="s">
        <v>1036</v>
      </c>
      <c r="V102" s="258" t="s">
        <v>554</v>
      </c>
      <c r="W102" s="258" t="s">
        <v>512</v>
      </c>
    </row>
    <row r="103">
      <c r="A103" s="258" t="s">
        <v>1037</v>
      </c>
      <c r="B103" s="258" t="s">
        <v>1038</v>
      </c>
      <c r="C103" s="261" t="s">
        <v>1039</v>
      </c>
      <c r="D103" s="3"/>
      <c r="E103" s="3"/>
      <c r="F103" s="3"/>
      <c r="G103" s="3"/>
      <c r="H103" s="258" t="s">
        <v>300</v>
      </c>
      <c r="I103" s="258" t="s">
        <v>521</v>
      </c>
      <c r="J103" s="258" t="s">
        <v>499</v>
      </c>
      <c r="K103" s="260" t="s">
        <v>513</v>
      </c>
      <c r="L103" s="258" t="s">
        <v>549</v>
      </c>
      <c r="M103" s="258" t="s">
        <v>623</v>
      </c>
      <c r="N103" s="258" t="s">
        <v>524</v>
      </c>
      <c r="O103" s="258" t="s">
        <v>516</v>
      </c>
      <c r="P103" s="258" t="s">
        <v>541</v>
      </c>
      <c r="Q103" s="258" t="s">
        <v>525</v>
      </c>
      <c r="R103" s="258" t="s">
        <v>847</v>
      </c>
      <c r="S103" s="258" t="s">
        <v>598</v>
      </c>
      <c r="T103" s="258" t="s">
        <v>587</v>
      </c>
      <c r="U103" s="258" t="s">
        <v>631</v>
      </c>
      <c r="V103" s="258" t="s">
        <v>529</v>
      </c>
      <c r="W103" s="258" t="s">
        <v>512</v>
      </c>
    </row>
    <row r="104">
      <c r="A104" s="258" t="s">
        <v>1040</v>
      </c>
      <c r="B104" s="258" t="s">
        <v>1041</v>
      </c>
      <c r="C104" s="261" t="s">
        <v>1042</v>
      </c>
      <c r="D104" s="3"/>
      <c r="E104" s="3"/>
      <c r="F104" s="3"/>
      <c r="G104" s="3"/>
      <c r="H104" s="258" t="s">
        <v>302</v>
      </c>
      <c r="I104" s="258" t="s">
        <v>636</v>
      </c>
      <c r="J104" s="258" t="s">
        <v>499</v>
      </c>
      <c r="K104" s="260" t="s">
        <v>500</v>
      </c>
      <c r="L104" s="258" t="s">
        <v>501</v>
      </c>
      <c r="M104" s="258" t="s">
        <v>550</v>
      </c>
      <c r="N104" s="258" t="s">
        <v>979</v>
      </c>
      <c r="O104" s="258" t="s">
        <v>516</v>
      </c>
      <c r="P104" s="258" t="s">
        <v>505</v>
      </c>
      <c r="Q104" s="258" t="s">
        <v>506</v>
      </c>
      <c r="R104" s="258" t="s">
        <v>1043</v>
      </c>
      <c r="S104" s="258" t="s">
        <v>508</v>
      </c>
      <c r="T104" s="258" t="s">
        <v>527</v>
      </c>
      <c r="U104" s="258" t="s">
        <v>1044</v>
      </c>
      <c r="V104" s="258" t="s">
        <v>763</v>
      </c>
      <c r="W104" s="258" t="s">
        <v>512</v>
      </c>
    </row>
    <row r="105">
      <c r="A105" s="258" t="s">
        <v>1045</v>
      </c>
      <c r="B105" s="258" t="s">
        <v>1046</v>
      </c>
      <c r="C105" s="261" t="s">
        <v>1047</v>
      </c>
      <c r="D105" s="3"/>
      <c r="E105" s="3"/>
      <c r="F105" s="3"/>
      <c r="G105" s="3"/>
      <c r="H105" s="258" t="s">
        <v>622</v>
      </c>
      <c r="I105" s="258" t="s">
        <v>636</v>
      </c>
      <c r="J105" s="258" t="s">
        <v>499</v>
      </c>
      <c r="K105" s="260" t="s">
        <v>500</v>
      </c>
      <c r="L105" s="258" t="s">
        <v>549</v>
      </c>
      <c r="M105" s="258" t="s">
        <v>623</v>
      </c>
      <c r="N105" s="258" t="s">
        <v>551</v>
      </c>
      <c r="O105" s="258" t="s">
        <v>504</v>
      </c>
      <c r="P105" s="258" t="s">
        <v>505</v>
      </c>
      <c r="Q105" s="258" t="s">
        <v>506</v>
      </c>
      <c r="R105" s="258" t="s">
        <v>1048</v>
      </c>
      <c r="S105" s="258" t="s">
        <v>598</v>
      </c>
      <c r="T105" s="258" t="s">
        <v>527</v>
      </c>
      <c r="U105" s="258" t="s">
        <v>1049</v>
      </c>
      <c r="V105" s="258" t="s">
        <v>529</v>
      </c>
      <c r="W105" s="258" t="s">
        <v>512</v>
      </c>
    </row>
    <row r="106">
      <c r="A106" s="258" t="s">
        <v>1050</v>
      </c>
      <c r="B106" s="258" t="s">
        <v>1051</v>
      </c>
      <c r="C106" s="259">
        <v>1.8317945812E10</v>
      </c>
      <c r="D106" s="3"/>
      <c r="E106" s="3"/>
      <c r="F106" s="3"/>
      <c r="G106" s="3"/>
      <c r="H106" s="258" t="s">
        <v>622</v>
      </c>
      <c r="I106" s="258" t="s">
        <v>540</v>
      </c>
      <c r="J106" s="258" t="s">
        <v>499</v>
      </c>
      <c r="K106" s="260" t="s">
        <v>500</v>
      </c>
      <c r="L106" s="258" t="s">
        <v>501</v>
      </c>
      <c r="M106" s="258" t="s">
        <v>550</v>
      </c>
      <c r="N106" s="258" t="s">
        <v>1052</v>
      </c>
      <c r="O106" s="258" t="s">
        <v>504</v>
      </c>
      <c r="P106" s="258" t="s">
        <v>505</v>
      </c>
      <c r="Q106" s="258" t="s">
        <v>506</v>
      </c>
      <c r="R106" s="258" t="s">
        <v>966</v>
      </c>
      <c r="S106" s="258" t="s">
        <v>508</v>
      </c>
      <c r="T106" s="258" t="s">
        <v>536</v>
      </c>
      <c r="U106" s="258" t="s">
        <v>631</v>
      </c>
      <c r="V106" s="258" t="s">
        <v>529</v>
      </c>
      <c r="W106" s="258" t="s">
        <v>512</v>
      </c>
    </row>
    <row r="107">
      <c r="A107" s="258" t="s">
        <v>1053</v>
      </c>
      <c r="B107" s="258" t="s">
        <v>1054</v>
      </c>
      <c r="C107" s="261" t="s">
        <v>1055</v>
      </c>
      <c r="D107" s="3"/>
      <c r="E107" s="3"/>
      <c r="F107" s="3"/>
      <c r="G107" s="3"/>
      <c r="H107" s="258" t="s">
        <v>1056</v>
      </c>
      <c r="I107" s="258" t="s">
        <v>540</v>
      </c>
      <c r="J107" s="258" t="s">
        <v>522</v>
      </c>
      <c r="K107" s="260" t="s">
        <v>513</v>
      </c>
      <c r="L107" s="258" t="s">
        <v>549</v>
      </c>
      <c r="M107" s="258" t="s">
        <v>523</v>
      </c>
      <c r="N107" s="258" t="s">
        <v>624</v>
      </c>
      <c r="O107" s="258" t="s">
        <v>504</v>
      </c>
      <c r="P107" s="258" t="s">
        <v>541</v>
      </c>
      <c r="Q107" s="258" t="s">
        <v>638</v>
      </c>
      <c r="R107" s="258" t="s">
        <v>1057</v>
      </c>
      <c r="S107" s="258" t="s">
        <v>598</v>
      </c>
      <c r="T107" s="258" t="s">
        <v>509</v>
      </c>
      <c r="U107" s="258" t="s">
        <v>877</v>
      </c>
      <c r="V107" s="258" t="s">
        <v>529</v>
      </c>
      <c r="W107" s="258" t="s">
        <v>512</v>
      </c>
    </row>
    <row r="108">
      <c r="A108" s="258" t="s">
        <v>1058</v>
      </c>
      <c r="B108" s="258" t="s">
        <v>1059</v>
      </c>
      <c r="C108" s="259">
        <v>1.6082133131E10</v>
      </c>
      <c r="D108" s="3"/>
      <c r="E108" s="3"/>
      <c r="F108" s="3"/>
      <c r="G108" s="3"/>
      <c r="H108" s="258" t="s">
        <v>548</v>
      </c>
      <c r="I108" s="258" t="s">
        <v>540</v>
      </c>
      <c r="J108" s="258" t="s">
        <v>499</v>
      </c>
      <c r="K108" s="260" t="s">
        <v>500</v>
      </c>
      <c r="L108" s="258" t="s">
        <v>501</v>
      </c>
      <c r="M108" s="258" t="s">
        <v>550</v>
      </c>
      <c r="N108" s="258" t="s">
        <v>1060</v>
      </c>
      <c r="O108" s="258" t="s">
        <v>516</v>
      </c>
      <c r="P108" s="258" t="s">
        <v>603</v>
      </c>
      <c r="Q108" s="258" t="s">
        <v>604</v>
      </c>
      <c r="R108" s="258" t="s">
        <v>1061</v>
      </c>
      <c r="S108" s="258" t="s">
        <v>508</v>
      </c>
      <c r="T108" s="258" t="s">
        <v>587</v>
      </c>
      <c r="U108" s="258" t="s">
        <v>1062</v>
      </c>
      <c r="V108" s="258" t="s">
        <v>529</v>
      </c>
      <c r="W108" s="258" t="s">
        <v>512</v>
      </c>
    </row>
    <row r="109">
      <c r="A109" s="258" t="s">
        <v>1063</v>
      </c>
      <c r="B109" s="258" t="s">
        <v>1064</v>
      </c>
      <c r="C109" s="259">
        <v>1.7609846783E10</v>
      </c>
      <c r="D109" s="3"/>
      <c r="E109" s="3"/>
      <c r="F109" s="3"/>
      <c r="G109" s="3"/>
      <c r="H109" s="258" t="s">
        <v>1065</v>
      </c>
      <c r="I109" s="258" t="s">
        <v>521</v>
      </c>
      <c r="J109" s="258" t="s">
        <v>499</v>
      </c>
      <c r="K109" s="260" t="s">
        <v>566</v>
      </c>
      <c r="L109" s="258" t="s">
        <v>501</v>
      </c>
      <c r="M109" s="258" t="s">
        <v>523</v>
      </c>
      <c r="N109" s="258" t="s">
        <v>592</v>
      </c>
      <c r="O109" s="258" t="s">
        <v>504</v>
      </c>
      <c r="P109" s="258" t="s">
        <v>505</v>
      </c>
      <c r="Q109" s="258" t="s">
        <v>638</v>
      </c>
      <c r="R109" s="258" t="s">
        <v>1066</v>
      </c>
      <c r="S109" s="258" t="s">
        <v>508</v>
      </c>
      <c r="T109" s="258" t="s">
        <v>536</v>
      </c>
      <c r="U109" s="258" t="s">
        <v>1067</v>
      </c>
      <c r="V109" s="258" t="s">
        <v>554</v>
      </c>
      <c r="W109" s="258" t="s">
        <v>512</v>
      </c>
    </row>
    <row r="110">
      <c r="A110" s="258" t="s">
        <v>1068</v>
      </c>
      <c r="B110" s="258" t="s">
        <v>1069</v>
      </c>
      <c r="C110" s="259">
        <v>1.4044278942E10</v>
      </c>
      <c r="D110" s="3"/>
      <c r="E110" s="3"/>
      <c r="F110" s="3"/>
      <c r="G110" s="3"/>
      <c r="H110" s="258" t="s">
        <v>532</v>
      </c>
      <c r="I110" s="258" t="s">
        <v>540</v>
      </c>
      <c r="J110" s="258" t="s">
        <v>522</v>
      </c>
      <c r="K110" s="260" t="s">
        <v>500</v>
      </c>
      <c r="L110" s="258" t="s">
        <v>549</v>
      </c>
      <c r="M110" s="258" t="s">
        <v>623</v>
      </c>
      <c r="N110" s="258" t="s">
        <v>524</v>
      </c>
      <c r="O110" s="258" t="s">
        <v>504</v>
      </c>
      <c r="P110" s="258" t="s">
        <v>505</v>
      </c>
      <c r="Q110" s="258" t="s">
        <v>506</v>
      </c>
      <c r="R110" s="258" t="s">
        <v>1070</v>
      </c>
      <c r="S110" s="258" t="s">
        <v>508</v>
      </c>
      <c r="T110" s="258" t="s">
        <v>651</v>
      </c>
      <c r="U110" s="258" t="s">
        <v>657</v>
      </c>
      <c r="V110" s="258" t="s">
        <v>529</v>
      </c>
      <c r="W110" s="258" t="s">
        <v>512</v>
      </c>
    </row>
    <row r="111">
      <c r="A111" s="258" t="s">
        <v>1068</v>
      </c>
      <c r="B111" s="258" t="s">
        <v>1069</v>
      </c>
      <c r="C111" s="259">
        <v>1.4044278942E10</v>
      </c>
      <c r="D111" s="3"/>
      <c r="E111" s="3"/>
      <c r="F111" s="3"/>
      <c r="G111" s="3"/>
      <c r="H111" s="258" t="s">
        <v>591</v>
      </c>
      <c r="I111" s="258" t="s">
        <v>540</v>
      </c>
      <c r="J111" s="258" t="s">
        <v>522</v>
      </c>
      <c r="K111" s="260" t="s">
        <v>500</v>
      </c>
      <c r="L111" s="258" t="s">
        <v>549</v>
      </c>
      <c r="M111" s="258" t="s">
        <v>550</v>
      </c>
      <c r="N111" s="258" t="s">
        <v>524</v>
      </c>
      <c r="O111" s="258" t="s">
        <v>504</v>
      </c>
      <c r="P111" s="258" t="s">
        <v>568</v>
      </c>
      <c r="Q111" s="258" t="s">
        <v>506</v>
      </c>
      <c r="R111" s="258" t="s">
        <v>1070</v>
      </c>
      <c r="S111" s="258" t="s">
        <v>508</v>
      </c>
      <c r="T111" s="258" t="s">
        <v>651</v>
      </c>
      <c r="U111" s="258" t="s">
        <v>1071</v>
      </c>
      <c r="V111" s="258" t="s">
        <v>529</v>
      </c>
      <c r="W111" s="258" t="s">
        <v>512</v>
      </c>
    </row>
    <row r="112">
      <c r="A112" s="258" t="s">
        <v>1072</v>
      </c>
      <c r="B112" s="258" t="s">
        <v>1073</v>
      </c>
      <c r="C112" s="259">
        <v>1.9417876577E10</v>
      </c>
      <c r="H112" s="258" t="s">
        <v>726</v>
      </c>
      <c r="I112" s="258" t="s">
        <v>521</v>
      </c>
      <c r="J112" s="258" t="s">
        <v>499</v>
      </c>
      <c r="K112" s="260" t="s">
        <v>513</v>
      </c>
      <c r="L112" s="258" t="s">
        <v>501</v>
      </c>
      <c r="M112" s="258" t="s">
        <v>523</v>
      </c>
      <c r="N112" s="258" t="s">
        <v>979</v>
      </c>
      <c r="O112" s="258" t="s">
        <v>504</v>
      </c>
      <c r="P112" s="258" t="s">
        <v>568</v>
      </c>
      <c r="Q112" s="258" t="s">
        <v>617</v>
      </c>
      <c r="R112" s="258" t="s">
        <v>1074</v>
      </c>
      <c r="S112" s="258" t="s">
        <v>508</v>
      </c>
      <c r="T112" s="258" t="s">
        <v>651</v>
      </c>
      <c r="U112" s="258" t="s">
        <v>1075</v>
      </c>
      <c r="V112" s="258" t="s">
        <v>554</v>
      </c>
      <c r="W112" s="258" t="s">
        <v>512</v>
      </c>
    </row>
    <row r="113">
      <c r="A113" s="258" t="s">
        <v>1076</v>
      </c>
      <c r="B113" s="258" t="s">
        <v>1077</v>
      </c>
      <c r="C113" s="259">
        <v>1.5512864429E10</v>
      </c>
      <c r="D113" s="3"/>
      <c r="E113" s="3"/>
      <c r="F113" s="3"/>
      <c r="G113" s="3"/>
      <c r="H113" s="258" t="s">
        <v>557</v>
      </c>
      <c r="I113" s="258" t="s">
        <v>1078</v>
      </c>
      <c r="J113" s="258" t="s">
        <v>522</v>
      </c>
      <c r="K113" s="260" t="s">
        <v>500</v>
      </c>
      <c r="L113" s="258" t="s">
        <v>501</v>
      </c>
      <c r="M113" s="258" t="s">
        <v>523</v>
      </c>
      <c r="N113" s="258" t="s">
        <v>1079</v>
      </c>
      <c r="O113" s="258" t="s">
        <v>504</v>
      </c>
      <c r="P113" s="258" t="s">
        <v>603</v>
      </c>
      <c r="Q113" s="258" t="s">
        <v>506</v>
      </c>
      <c r="R113" s="258" t="s">
        <v>1080</v>
      </c>
      <c r="S113" s="258" t="s">
        <v>508</v>
      </c>
      <c r="T113" s="258" t="s">
        <v>509</v>
      </c>
      <c r="U113" s="258" t="s">
        <v>1081</v>
      </c>
      <c r="V113" s="258" t="s">
        <v>511</v>
      </c>
      <c r="W113" s="258" t="s">
        <v>512</v>
      </c>
    </row>
    <row r="114">
      <c r="A114" s="258" t="s">
        <v>1082</v>
      </c>
      <c r="B114" s="258" t="s">
        <v>1083</v>
      </c>
      <c r="C114" s="261" t="s">
        <v>1084</v>
      </c>
      <c r="D114" s="3"/>
      <c r="E114" s="3"/>
      <c r="F114" s="3"/>
      <c r="G114" s="3"/>
      <c r="H114" s="258" t="s">
        <v>557</v>
      </c>
      <c r="I114" s="258" t="s">
        <v>789</v>
      </c>
      <c r="J114" s="258" t="s">
        <v>499</v>
      </c>
      <c r="K114" s="260" t="s">
        <v>500</v>
      </c>
      <c r="L114" s="258" t="s">
        <v>549</v>
      </c>
      <c r="M114" s="258" t="s">
        <v>523</v>
      </c>
      <c r="N114" s="258" t="s">
        <v>551</v>
      </c>
      <c r="O114" s="258" t="s">
        <v>516</v>
      </c>
      <c r="P114" s="258" t="s">
        <v>505</v>
      </c>
      <c r="Q114" s="258" t="s">
        <v>790</v>
      </c>
      <c r="R114" s="258" t="s">
        <v>1085</v>
      </c>
      <c r="S114" s="258" t="s">
        <v>598</v>
      </c>
      <c r="T114" s="258" t="s">
        <v>587</v>
      </c>
      <c r="U114" s="258" t="s">
        <v>1086</v>
      </c>
      <c r="V114" s="258" t="s">
        <v>529</v>
      </c>
      <c r="W114" s="258" t="s">
        <v>512</v>
      </c>
    </row>
    <row r="115">
      <c r="A115" s="258" t="s">
        <v>1087</v>
      </c>
      <c r="B115" s="258" t="s">
        <v>1088</v>
      </c>
      <c r="C115" s="259">
        <v>1.6465290524E10</v>
      </c>
      <c r="D115" s="3"/>
      <c r="E115" s="3"/>
      <c r="F115" s="3"/>
      <c r="G115" s="3"/>
      <c r="H115" s="258" t="s">
        <v>300</v>
      </c>
      <c r="I115" s="258" t="s">
        <v>540</v>
      </c>
      <c r="J115" s="258" t="s">
        <v>499</v>
      </c>
      <c r="K115" s="260" t="s">
        <v>500</v>
      </c>
      <c r="L115" s="258" t="s">
        <v>549</v>
      </c>
      <c r="M115" s="258" t="s">
        <v>523</v>
      </c>
      <c r="N115" s="258" t="s">
        <v>567</v>
      </c>
      <c r="O115" s="258" t="s">
        <v>504</v>
      </c>
      <c r="P115" s="258" t="s">
        <v>603</v>
      </c>
      <c r="Q115" s="258" t="s">
        <v>506</v>
      </c>
      <c r="R115" s="258" t="s">
        <v>1089</v>
      </c>
      <c r="S115" s="258" t="s">
        <v>598</v>
      </c>
      <c r="T115" s="258" t="s">
        <v>527</v>
      </c>
      <c r="U115" s="258" t="s">
        <v>1090</v>
      </c>
      <c r="V115" s="258" t="s">
        <v>763</v>
      </c>
      <c r="W115" s="258" t="s">
        <v>512</v>
      </c>
    </row>
    <row r="116">
      <c r="A116" s="258" t="s">
        <v>1091</v>
      </c>
      <c r="B116" s="258" t="s">
        <v>1092</v>
      </c>
      <c r="C116" s="261" t="s">
        <v>1093</v>
      </c>
      <c r="D116" s="3"/>
      <c r="E116" s="3"/>
      <c r="F116" s="3"/>
      <c r="G116" s="3"/>
      <c r="H116" s="258" t="s">
        <v>548</v>
      </c>
      <c r="I116" s="258" t="s">
        <v>636</v>
      </c>
      <c r="J116" s="258" t="s">
        <v>574</v>
      </c>
      <c r="K116" s="260" t="s">
        <v>566</v>
      </c>
      <c r="L116" s="258" t="s">
        <v>514</v>
      </c>
      <c r="M116" s="258" t="s">
        <v>502</v>
      </c>
      <c r="N116" s="258" t="s">
        <v>524</v>
      </c>
      <c r="O116" s="258" t="s">
        <v>504</v>
      </c>
      <c r="P116" s="258" t="s">
        <v>541</v>
      </c>
      <c r="Q116" s="258" t="s">
        <v>506</v>
      </c>
      <c r="R116" s="258" t="s">
        <v>1094</v>
      </c>
      <c r="S116" s="258" t="s">
        <v>598</v>
      </c>
      <c r="T116" s="258" t="s">
        <v>509</v>
      </c>
      <c r="U116" s="258" t="s">
        <v>1095</v>
      </c>
      <c r="V116" s="258" t="s">
        <v>529</v>
      </c>
      <c r="W116" s="258" t="s">
        <v>512</v>
      </c>
    </row>
    <row r="117">
      <c r="A117" s="258" t="s">
        <v>1096</v>
      </c>
      <c r="B117" s="258" t="s">
        <v>1097</v>
      </c>
      <c r="C117" s="259">
        <v>1.3236822492E10</v>
      </c>
      <c r="D117" s="3"/>
      <c r="E117" s="3"/>
      <c r="F117" s="3"/>
      <c r="G117" s="3"/>
      <c r="H117" s="258" t="s">
        <v>622</v>
      </c>
      <c r="I117" s="258" t="s">
        <v>636</v>
      </c>
      <c r="J117" s="258" t="s">
        <v>574</v>
      </c>
      <c r="K117" s="260" t="s">
        <v>500</v>
      </c>
      <c r="L117" s="258" t="s">
        <v>615</v>
      </c>
      <c r="M117" s="258" t="s">
        <v>523</v>
      </c>
      <c r="N117" s="258" t="s">
        <v>567</v>
      </c>
      <c r="O117" s="258" t="s">
        <v>504</v>
      </c>
      <c r="P117" s="258" t="s">
        <v>568</v>
      </c>
      <c r="Q117" s="258" t="s">
        <v>790</v>
      </c>
      <c r="R117" s="258" t="s">
        <v>1098</v>
      </c>
      <c r="S117" s="258" t="s">
        <v>570</v>
      </c>
      <c r="T117" s="258" t="s">
        <v>536</v>
      </c>
      <c r="U117" s="258" t="s">
        <v>1099</v>
      </c>
      <c r="V117" s="258" t="s">
        <v>529</v>
      </c>
      <c r="W117" s="258" t="s">
        <v>512</v>
      </c>
    </row>
    <row r="118">
      <c r="A118" s="258" t="s">
        <v>1100</v>
      </c>
      <c r="B118" s="258" t="s">
        <v>1101</v>
      </c>
      <c r="C118" s="261" t="s">
        <v>1102</v>
      </c>
      <c r="D118" s="53"/>
      <c r="E118" s="53"/>
      <c r="F118" s="53"/>
      <c r="G118" s="53"/>
      <c r="H118" s="258" t="s">
        <v>1103</v>
      </c>
      <c r="I118" s="258" t="s">
        <v>533</v>
      </c>
      <c r="J118" s="258" t="s">
        <v>522</v>
      </c>
      <c r="K118" s="260" t="s">
        <v>513</v>
      </c>
      <c r="L118" s="258" t="s">
        <v>549</v>
      </c>
      <c r="M118" s="258" t="s">
        <v>550</v>
      </c>
      <c r="N118" s="258" t="s">
        <v>584</v>
      </c>
      <c r="O118" s="258" t="s">
        <v>504</v>
      </c>
      <c r="P118" s="258" t="s">
        <v>505</v>
      </c>
      <c r="Q118" s="258" t="s">
        <v>506</v>
      </c>
      <c r="R118" s="258" t="s">
        <v>731</v>
      </c>
      <c r="S118" s="258" t="s">
        <v>508</v>
      </c>
      <c r="T118" s="258" t="s">
        <v>527</v>
      </c>
      <c r="U118" s="258" t="s">
        <v>1104</v>
      </c>
      <c r="V118" s="258" t="s">
        <v>763</v>
      </c>
      <c r="W118" s="258" t="s">
        <v>512</v>
      </c>
    </row>
    <row r="119">
      <c r="A119" s="258" t="s">
        <v>1105</v>
      </c>
      <c r="B119" s="258" t="s">
        <v>1106</v>
      </c>
      <c r="C119" s="259">
        <v>1.7864517472E10</v>
      </c>
      <c r="D119" s="3"/>
      <c r="E119" s="3"/>
      <c r="F119" s="3"/>
      <c r="G119" s="3"/>
      <c r="H119" s="258" t="s">
        <v>532</v>
      </c>
      <c r="I119" s="258" t="s">
        <v>533</v>
      </c>
      <c r="J119" s="258" t="s">
        <v>574</v>
      </c>
      <c r="K119" s="260" t="s">
        <v>513</v>
      </c>
      <c r="L119" s="258" t="s">
        <v>615</v>
      </c>
      <c r="M119" s="258" t="s">
        <v>523</v>
      </c>
      <c r="N119" s="258" t="s">
        <v>524</v>
      </c>
      <c r="O119" s="258" t="s">
        <v>585</v>
      </c>
      <c r="P119" s="258" t="s">
        <v>568</v>
      </c>
      <c r="Q119" s="258" t="s">
        <v>525</v>
      </c>
      <c r="R119" s="258" t="s">
        <v>731</v>
      </c>
      <c r="S119" s="258" t="s">
        <v>570</v>
      </c>
      <c r="T119" s="258" t="s">
        <v>536</v>
      </c>
      <c r="U119" s="258" t="s">
        <v>657</v>
      </c>
      <c r="V119" s="258" t="s">
        <v>529</v>
      </c>
      <c r="W119" s="258" t="s">
        <v>512</v>
      </c>
    </row>
    <row r="120">
      <c r="A120" s="258" t="s">
        <v>1107</v>
      </c>
      <c r="B120" s="258" t="s">
        <v>1108</v>
      </c>
      <c r="C120" s="259">
        <v>1.4258792674E10</v>
      </c>
      <c r="D120" s="3"/>
      <c r="E120" s="3"/>
      <c r="F120" s="3"/>
      <c r="G120" s="3"/>
      <c r="H120" s="258" t="s">
        <v>635</v>
      </c>
      <c r="I120" s="258" t="s">
        <v>636</v>
      </c>
      <c r="J120" s="258" t="s">
        <v>558</v>
      </c>
      <c r="K120" s="260" t="s">
        <v>513</v>
      </c>
      <c r="L120" s="258" t="s">
        <v>549</v>
      </c>
      <c r="M120" s="258" t="s">
        <v>523</v>
      </c>
      <c r="N120" s="258" t="s">
        <v>644</v>
      </c>
      <c r="O120" s="258" t="s">
        <v>516</v>
      </c>
      <c r="P120" s="258" t="s">
        <v>541</v>
      </c>
      <c r="Q120" s="258" t="s">
        <v>790</v>
      </c>
      <c r="R120" s="258" t="s">
        <v>1109</v>
      </c>
      <c r="S120" s="258" t="s">
        <v>508</v>
      </c>
      <c r="T120" s="258" t="s">
        <v>536</v>
      </c>
      <c r="U120" s="258" t="s">
        <v>1110</v>
      </c>
      <c r="V120" s="258" t="s">
        <v>529</v>
      </c>
      <c r="W120" s="258" t="s">
        <v>512</v>
      </c>
    </row>
    <row r="121">
      <c r="A121" s="258" t="s">
        <v>1111</v>
      </c>
      <c r="B121" s="258" t="s">
        <v>1112</v>
      </c>
      <c r="C121" s="261" t="s">
        <v>1113</v>
      </c>
      <c r="D121" s="3"/>
      <c r="E121" s="3"/>
      <c r="F121" s="3"/>
      <c r="G121" s="3"/>
      <c r="H121" s="258" t="s">
        <v>1114</v>
      </c>
      <c r="I121" s="258" t="s">
        <v>533</v>
      </c>
      <c r="J121" s="258" t="s">
        <v>499</v>
      </c>
      <c r="K121" s="260" t="s">
        <v>513</v>
      </c>
      <c r="L121" s="258" t="s">
        <v>501</v>
      </c>
      <c r="M121" s="258" t="s">
        <v>502</v>
      </c>
      <c r="N121" s="258" t="s">
        <v>1115</v>
      </c>
      <c r="O121" s="258" t="s">
        <v>504</v>
      </c>
      <c r="P121" s="258" t="s">
        <v>541</v>
      </c>
      <c r="Q121" s="258" t="s">
        <v>914</v>
      </c>
      <c r="R121" s="258" t="s">
        <v>1116</v>
      </c>
      <c r="S121" s="258" t="s">
        <v>508</v>
      </c>
      <c r="T121" s="258" t="s">
        <v>536</v>
      </c>
      <c r="U121" s="258" t="s">
        <v>926</v>
      </c>
      <c r="V121" s="258" t="s">
        <v>529</v>
      </c>
      <c r="W121" s="258" t="s">
        <v>512</v>
      </c>
    </row>
    <row r="122">
      <c r="A122" s="258" t="s">
        <v>1117</v>
      </c>
      <c r="B122" s="258" t="s">
        <v>1118</v>
      </c>
      <c r="C122" s="261" t="s">
        <v>1119</v>
      </c>
      <c r="D122" s="3"/>
      <c r="E122" s="3"/>
      <c r="F122" s="3"/>
      <c r="G122" s="3"/>
      <c r="H122" s="258" t="s">
        <v>548</v>
      </c>
      <c r="I122" s="258" t="s">
        <v>636</v>
      </c>
      <c r="J122" s="258" t="s">
        <v>522</v>
      </c>
      <c r="K122" s="260" t="s">
        <v>513</v>
      </c>
      <c r="L122" s="258" t="s">
        <v>615</v>
      </c>
      <c r="M122" s="258" t="s">
        <v>550</v>
      </c>
      <c r="N122" s="258" t="s">
        <v>1115</v>
      </c>
      <c r="O122" s="258" t="s">
        <v>504</v>
      </c>
      <c r="P122" s="258" t="s">
        <v>541</v>
      </c>
      <c r="Q122" s="258" t="s">
        <v>506</v>
      </c>
      <c r="R122" s="258" t="s">
        <v>1120</v>
      </c>
      <c r="S122" s="258" t="s">
        <v>508</v>
      </c>
      <c r="T122" s="258" t="s">
        <v>587</v>
      </c>
      <c r="U122" s="258" t="s">
        <v>1121</v>
      </c>
      <c r="V122" s="258" t="s">
        <v>529</v>
      </c>
      <c r="W122" s="258" t="s">
        <v>512</v>
      </c>
    </row>
    <row r="123">
      <c r="A123" s="258" t="s">
        <v>1122</v>
      </c>
      <c r="B123" s="258" t="s">
        <v>1123</v>
      </c>
      <c r="C123" s="259">
        <v>1.3235572011E10</v>
      </c>
      <c r="D123" s="3"/>
      <c r="E123" s="3"/>
      <c r="F123" s="3"/>
      <c r="G123" s="3"/>
      <c r="H123" s="258" t="s">
        <v>622</v>
      </c>
      <c r="I123" s="258" t="s">
        <v>540</v>
      </c>
      <c r="J123" s="258" t="s">
        <v>522</v>
      </c>
      <c r="K123" s="260" t="s">
        <v>513</v>
      </c>
      <c r="L123" s="258" t="s">
        <v>501</v>
      </c>
      <c r="M123" s="258" t="s">
        <v>523</v>
      </c>
      <c r="N123" s="258" t="s">
        <v>649</v>
      </c>
      <c r="O123" s="258" t="s">
        <v>504</v>
      </c>
      <c r="P123" s="258" t="s">
        <v>568</v>
      </c>
      <c r="Q123" s="258" t="s">
        <v>604</v>
      </c>
      <c r="R123" s="258" t="s">
        <v>984</v>
      </c>
      <c r="S123" s="258" t="s">
        <v>598</v>
      </c>
      <c r="T123" s="258" t="s">
        <v>536</v>
      </c>
      <c r="U123" s="258" t="s">
        <v>1124</v>
      </c>
      <c r="V123" s="258" t="s">
        <v>554</v>
      </c>
      <c r="W123" s="258" t="s">
        <v>512</v>
      </c>
    </row>
    <row r="124">
      <c r="A124" s="258" t="s">
        <v>1125</v>
      </c>
      <c r="B124" s="258" t="s">
        <v>1126</v>
      </c>
      <c r="C124" s="259">
        <v>1.8189261688E10</v>
      </c>
      <c r="D124" s="3"/>
      <c r="E124" s="3"/>
      <c r="F124" s="3"/>
      <c r="G124" s="3"/>
      <c r="H124" s="258" t="s">
        <v>532</v>
      </c>
      <c r="I124" s="258" t="s">
        <v>636</v>
      </c>
      <c r="J124" s="258" t="s">
        <v>558</v>
      </c>
      <c r="K124" s="260" t="s">
        <v>500</v>
      </c>
      <c r="L124" s="258" t="s">
        <v>501</v>
      </c>
      <c r="M124" s="258" t="s">
        <v>523</v>
      </c>
      <c r="N124" s="258" t="s">
        <v>592</v>
      </c>
      <c r="O124" s="258" t="s">
        <v>504</v>
      </c>
      <c r="P124" s="258" t="s">
        <v>603</v>
      </c>
      <c r="Q124" s="258" t="s">
        <v>617</v>
      </c>
      <c r="R124" s="258" t="s">
        <v>1127</v>
      </c>
      <c r="S124" s="258" t="s">
        <v>570</v>
      </c>
      <c r="T124" s="258" t="s">
        <v>651</v>
      </c>
      <c r="U124" s="258" t="s">
        <v>1128</v>
      </c>
      <c r="V124" s="258" t="s">
        <v>578</v>
      </c>
      <c r="W124" s="258" t="s">
        <v>512</v>
      </c>
    </row>
    <row r="125">
      <c r="A125" s="258" t="s">
        <v>1129</v>
      </c>
      <c r="B125" s="258" t="s">
        <v>1130</v>
      </c>
      <c r="C125" s="259">
        <v>1.2409700123E10</v>
      </c>
      <c r="D125" s="3"/>
      <c r="E125" s="3"/>
      <c r="F125" s="3"/>
      <c r="G125" s="3"/>
      <c r="H125" s="258" t="s">
        <v>548</v>
      </c>
      <c r="I125" s="258" t="s">
        <v>521</v>
      </c>
      <c r="J125" s="258" t="s">
        <v>499</v>
      </c>
      <c r="K125" s="260" t="s">
        <v>1131</v>
      </c>
      <c r="L125" s="258" t="s">
        <v>501</v>
      </c>
      <c r="M125" s="258" t="s">
        <v>550</v>
      </c>
      <c r="N125" s="258" t="s">
        <v>679</v>
      </c>
      <c r="O125" s="258" t="s">
        <v>504</v>
      </c>
      <c r="P125" s="258" t="s">
        <v>505</v>
      </c>
      <c r="Q125" s="258" t="s">
        <v>604</v>
      </c>
      <c r="R125" s="258" t="s">
        <v>1132</v>
      </c>
      <c r="S125" s="258" t="s">
        <v>508</v>
      </c>
      <c r="T125" s="258" t="s">
        <v>587</v>
      </c>
      <c r="U125" s="258" t="s">
        <v>1133</v>
      </c>
      <c r="V125" s="258" t="s">
        <v>529</v>
      </c>
      <c r="W125" s="258" t="s">
        <v>512</v>
      </c>
    </row>
    <row r="126">
      <c r="A126" s="258" t="s">
        <v>1134</v>
      </c>
      <c r="B126" s="258" t="s">
        <v>1135</v>
      </c>
      <c r="C126" s="259">
        <v>1.8047094163E10</v>
      </c>
      <c r="D126" s="3"/>
      <c r="E126" s="3"/>
      <c r="F126" s="3"/>
      <c r="G126" s="3"/>
      <c r="H126" s="258" t="s">
        <v>557</v>
      </c>
      <c r="I126" s="258" t="s">
        <v>521</v>
      </c>
      <c r="J126" s="258" t="s">
        <v>499</v>
      </c>
      <c r="K126" s="260" t="s">
        <v>513</v>
      </c>
      <c r="L126" s="258" t="s">
        <v>549</v>
      </c>
      <c r="M126" s="258" t="s">
        <v>523</v>
      </c>
      <c r="N126" s="258" t="s">
        <v>567</v>
      </c>
      <c r="O126" s="258" t="s">
        <v>504</v>
      </c>
      <c r="P126" s="258" t="s">
        <v>541</v>
      </c>
      <c r="Q126" s="258" t="s">
        <v>617</v>
      </c>
      <c r="R126" s="258" t="s">
        <v>1136</v>
      </c>
      <c r="S126" s="258" t="s">
        <v>598</v>
      </c>
      <c r="T126" s="258" t="s">
        <v>651</v>
      </c>
      <c r="U126" s="258" t="s">
        <v>1137</v>
      </c>
      <c r="V126" s="258" t="s">
        <v>843</v>
      </c>
      <c r="W126" s="258" t="s">
        <v>512</v>
      </c>
    </row>
    <row r="127">
      <c r="A127" s="258" t="s">
        <v>1138</v>
      </c>
      <c r="B127" s="258" t="s">
        <v>1139</v>
      </c>
      <c r="C127" s="261" t="s">
        <v>1140</v>
      </c>
      <c r="D127" s="3"/>
      <c r="E127" s="3"/>
      <c r="F127" s="3"/>
      <c r="G127" s="3"/>
      <c r="H127" s="258" t="s">
        <v>622</v>
      </c>
      <c r="I127" s="258" t="s">
        <v>233</v>
      </c>
      <c r="J127" s="258" t="s">
        <v>499</v>
      </c>
      <c r="K127" s="260" t="s">
        <v>500</v>
      </c>
      <c r="L127" s="258" t="s">
        <v>549</v>
      </c>
      <c r="M127" s="258" t="s">
        <v>523</v>
      </c>
      <c r="N127" s="258" t="s">
        <v>885</v>
      </c>
      <c r="O127" s="258" t="s">
        <v>516</v>
      </c>
      <c r="P127" s="258" t="s">
        <v>541</v>
      </c>
      <c r="Q127" s="258" t="s">
        <v>506</v>
      </c>
      <c r="R127" s="258" t="s">
        <v>1141</v>
      </c>
      <c r="S127" s="258" t="s">
        <v>508</v>
      </c>
      <c r="T127" s="258" t="s">
        <v>536</v>
      </c>
      <c r="U127" s="258" t="s">
        <v>1142</v>
      </c>
      <c r="V127" s="258" t="s">
        <v>529</v>
      </c>
      <c r="W127" s="258" t="s">
        <v>512</v>
      </c>
    </row>
    <row r="128">
      <c r="A128" s="258" t="s">
        <v>1143</v>
      </c>
      <c r="B128" s="258" t="s">
        <v>1144</v>
      </c>
      <c r="C128" s="259">
        <v>1.5092957971E10</v>
      </c>
      <c r="D128" s="3"/>
      <c r="E128" s="3"/>
      <c r="F128" s="3"/>
      <c r="G128" s="3"/>
      <c r="H128" s="258" t="s">
        <v>302</v>
      </c>
      <c r="I128" s="258" t="s">
        <v>533</v>
      </c>
      <c r="J128" s="258" t="s">
        <v>574</v>
      </c>
      <c r="K128" s="260" t="s">
        <v>500</v>
      </c>
      <c r="L128" s="258" t="s">
        <v>549</v>
      </c>
      <c r="M128" s="258" t="s">
        <v>623</v>
      </c>
      <c r="N128" s="258" t="s">
        <v>567</v>
      </c>
      <c r="O128" s="258" t="s">
        <v>516</v>
      </c>
      <c r="P128" s="258" t="s">
        <v>505</v>
      </c>
      <c r="Q128" s="258" t="s">
        <v>604</v>
      </c>
      <c r="R128" s="258" t="s">
        <v>1145</v>
      </c>
      <c r="S128" s="258" t="s">
        <v>598</v>
      </c>
      <c r="T128" s="258" t="s">
        <v>509</v>
      </c>
      <c r="U128" s="258" t="s">
        <v>1146</v>
      </c>
      <c r="V128" s="258" t="s">
        <v>554</v>
      </c>
      <c r="W128" s="258" t="s">
        <v>512</v>
      </c>
    </row>
    <row r="129">
      <c r="A129" s="258" t="s">
        <v>1147</v>
      </c>
      <c r="B129" s="258" t="s">
        <v>1148</v>
      </c>
      <c r="C129" s="261" t="s">
        <v>1149</v>
      </c>
      <c r="D129" s="3"/>
      <c r="E129" s="3"/>
      <c r="F129" s="3"/>
      <c r="G129" s="3"/>
      <c r="H129" s="258" t="s">
        <v>302</v>
      </c>
      <c r="I129" s="258" t="s">
        <v>636</v>
      </c>
      <c r="J129" s="258" t="s">
        <v>522</v>
      </c>
      <c r="K129" s="260" t="s">
        <v>513</v>
      </c>
      <c r="L129" s="258" t="s">
        <v>514</v>
      </c>
      <c r="M129" s="258" t="s">
        <v>550</v>
      </c>
      <c r="N129" s="258" t="s">
        <v>584</v>
      </c>
      <c r="O129" s="258" t="s">
        <v>896</v>
      </c>
      <c r="P129" s="258" t="s">
        <v>541</v>
      </c>
      <c r="Q129" s="258" t="s">
        <v>638</v>
      </c>
      <c r="R129" s="258" t="s">
        <v>1150</v>
      </c>
      <c r="S129" s="258" t="s">
        <v>598</v>
      </c>
      <c r="T129" s="258" t="s">
        <v>509</v>
      </c>
      <c r="U129" s="258" t="s">
        <v>1151</v>
      </c>
      <c r="V129" s="258" t="s">
        <v>511</v>
      </c>
      <c r="W129" s="258" t="s">
        <v>512</v>
      </c>
    </row>
    <row r="130">
      <c r="A130" s="258" t="s">
        <v>1152</v>
      </c>
      <c r="B130" s="258" t="s">
        <v>1153</v>
      </c>
      <c r="C130" s="259">
        <v>1.8326816286E10</v>
      </c>
      <c r="D130" s="3"/>
      <c r="E130" s="3"/>
      <c r="F130" s="3"/>
      <c r="G130" s="3"/>
      <c r="H130" s="258" t="s">
        <v>532</v>
      </c>
      <c r="I130" s="258" t="s">
        <v>533</v>
      </c>
      <c r="J130" s="258" t="s">
        <v>522</v>
      </c>
      <c r="K130" s="260" t="s">
        <v>513</v>
      </c>
      <c r="L130" s="258" t="s">
        <v>549</v>
      </c>
      <c r="M130" s="258" t="s">
        <v>523</v>
      </c>
      <c r="N130" s="258" t="s">
        <v>1154</v>
      </c>
      <c r="O130" s="258" t="s">
        <v>504</v>
      </c>
      <c r="P130" s="258" t="s">
        <v>541</v>
      </c>
      <c r="Q130" s="258" t="s">
        <v>506</v>
      </c>
      <c r="R130" s="258" t="s">
        <v>1155</v>
      </c>
      <c r="S130" s="258" t="s">
        <v>598</v>
      </c>
      <c r="T130" s="258" t="s">
        <v>651</v>
      </c>
      <c r="U130" s="258" t="s">
        <v>1156</v>
      </c>
      <c r="V130" s="258" t="s">
        <v>554</v>
      </c>
      <c r="W130" s="258" t="s">
        <v>512</v>
      </c>
    </row>
    <row r="131">
      <c r="A131" s="258" t="s">
        <v>1157</v>
      </c>
      <c r="B131" s="258" t="s">
        <v>1158</v>
      </c>
      <c r="C131" s="259">
        <v>1.980808686E10</v>
      </c>
      <c r="D131" s="3"/>
      <c r="E131" s="3"/>
      <c r="F131" s="3"/>
      <c r="G131" s="3"/>
      <c r="H131" s="258" t="s">
        <v>532</v>
      </c>
      <c r="I131" s="258" t="s">
        <v>521</v>
      </c>
      <c r="J131" s="258" t="s">
        <v>499</v>
      </c>
      <c r="K131" s="260" t="s">
        <v>500</v>
      </c>
      <c r="L131" s="258" t="s">
        <v>514</v>
      </c>
      <c r="M131" s="258" t="s">
        <v>523</v>
      </c>
      <c r="N131" s="258" t="s">
        <v>938</v>
      </c>
      <c r="O131" s="258" t="s">
        <v>516</v>
      </c>
      <c r="P131" s="258" t="s">
        <v>541</v>
      </c>
      <c r="Q131" s="258" t="s">
        <v>506</v>
      </c>
      <c r="R131" s="258" t="s">
        <v>1159</v>
      </c>
      <c r="S131" s="258" t="s">
        <v>508</v>
      </c>
      <c r="T131" s="258" t="s">
        <v>509</v>
      </c>
      <c r="U131" s="258" t="s">
        <v>1160</v>
      </c>
      <c r="V131" s="258" t="s">
        <v>529</v>
      </c>
      <c r="W131" s="258" t="s">
        <v>512</v>
      </c>
    </row>
    <row r="132">
      <c r="A132" s="258" t="s">
        <v>1161</v>
      </c>
      <c r="B132" s="258" t="s">
        <v>1162</v>
      </c>
      <c r="C132" s="261" t="s">
        <v>1163</v>
      </c>
      <c r="D132" s="3"/>
      <c r="E132" s="3"/>
      <c r="F132" s="3"/>
      <c r="G132" s="3"/>
      <c r="H132" s="258" t="s">
        <v>557</v>
      </c>
      <c r="I132" s="258" t="s">
        <v>636</v>
      </c>
      <c r="J132" s="258" t="s">
        <v>499</v>
      </c>
      <c r="K132" s="260" t="s">
        <v>500</v>
      </c>
      <c r="L132" s="258" t="s">
        <v>615</v>
      </c>
      <c r="M132" s="258" t="s">
        <v>623</v>
      </c>
      <c r="N132" s="258" t="s">
        <v>524</v>
      </c>
      <c r="O132" s="258" t="s">
        <v>516</v>
      </c>
      <c r="P132" s="258" t="s">
        <v>541</v>
      </c>
      <c r="Q132" s="258" t="s">
        <v>604</v>
      </c>
      <c r="R132" s="258" t="s">
        <v>1164</v>
      </c>
      <c r="S132" s="258" t="s">
        <v>508</v>
      </c>
      <c r="T132" s="258" t="s">
        <v>509</v>
      </c>
      <c r="U132" s="258" t="s">
        <v>1165</v>
      </c>
      <c r="V132" s="258" t="s">
        <v>763</v>
      </c>
      <c r="W132" s="258" t="s">
        <v>512</v>
      </c>
    </row>
    <row r="133">
      <c r="A133" s="258" t="s">
        <v>1166</v>
      </c>
      <c r="B133" s="258" t="s">
        <v>1167</v>
      </c>
      <c r="C133" s="261" t="s">
        <v>1168</v>
      </c>
      <c r="D133" s="3"/>
      <c r="E133" s="3"/>
      <c r="F133" s="3"/>
      <c r="G133" s="3"/>
      <c r="H133" s="258" t="s">
        <v>557</v>
      </c>
      <c r="I133" s="258" t="s">
        <v>233</v>
      </c>
      <c r="J133" s="258" t="s">
        <v>499</v>
      </c>
      <c r="K133" s="260" t="s">
        <v>500</v>
      </c>
      <c r="L133" s="258" t="s">
        <v>514</v>
      </c>
      <c r="M133" s="258" t="s">
        <v>523</v>
      </c>
      <c r="N133" s="258" t="s">
        <v>524</v>
      </c>
      <c r="O133" s="258" t="s">
        <v>504</v>
      </c>
      <c r="P133" s="258" t="s">
        <v>603</v>
      </c>
      <c r="Q133" s="258" t="s">
        <v>506</v>
      </c>
      <c r="R133" s="258" t="s">
        <v>1169</v>
      </c>
      <c r="S133" s="258" t="s">
        <v>508</v>
      </c>
      <c r="T133" s="258" t="s">
        <v>651</v>
      </c>
      <c r="U133" s="258" t="s">
        <v>1170</v>
      </c>
      <c r="V133" s="258" t="s">
        <v>529</v>
      </c>
      <c r="W133" s="258" t="s">
        <v>512</v>
      </c>
    </row>
    <row r="134">
      <c r="A134" s="258" t="s">
        <v>1171</v>
      </c>
      <c r="B134" s="258" t="s">
        <v>1172</v>
      </c>
      <c r="C134" s="259">
        <v>1.9296107835E10</v>
      </c>
      <c r="D134" s="3"/>
      <c r="E134" s="3"/>
      <c r="F134" s="3"/>
      <c r="G134" s="3"/>
      <c r="H134" s="258" t="s">
        <v>548</v>
      </c>
      <c r="I134" s="258" t="s">
        <v>521</v>
      </c>
      <c r="J134" s="258" t="s">
        <v>574</v>
      </c>
      <c r="K134" s="260" t="s">
        <v>513</v>
      </c>
      <c r="L134" s="258" t="s">
        <v>514</v>
      </c>
      <c r="M134" s="258" t="s">
        <v>523</v>
      </c>
      <c r="N134" s="258" t="s">
        <v>624</v>
      </c>
      <c r="O134" s="258" t="s">
        <v>504</v>
      </c>
      <c r="P134" s="258" t="s">
        <v>568</v>
      </c>
      <c r="Q134" s="258" t="s">
        <v>506</v>
      </c>
      <c r="R134" s="258" t="s">
        <v>886</v>
      </c>
      <c r="S134" s="258" t="s">
        <v>508</v>
      </c>
      <c r="T134" s="258" t="s">
        <v>536</v>
      </c>
      <c r="U134" s="258" t="s">
        <v>1173</v>
      </c>
      <c r="V134" s="258" t="s">
        <v>554</v>
      </c>
      <c r="W134" s="258" t="s">
        <v>512</v>
      </c>
    </row>
    <row r="135">
      <c r="A135" s="258" t="s">
        <v>1174</v>
      </c>
      <c r="B135" s="258" t="s">
        <v>1175</v>
      </c>
      <c r="C135" s="259">
        <v>1.5042655586E10</v>
      </c>
      <c r="D135" s="3"/>
      <c r="E135" s="3"/>
      <c r="F135" s="3"/>
      <c r="G135" s="3"/>
      <c r="H135" s="258" t="s">
        <v>532</v>
      </c>
      <c r="I135" s="258" t="s">
        <v>540</v>
      </c>
      <c r="J135" s="258" t="s">
        <v>499</v>
      </c>
      <c r="K135" s="260" t="s">
        <v>513</v>
      </c>
      <c r="L135" s="258" t="s">
        <v>549</v>
      </c>
      <c r="M135" s="258" t="s">
        <v>523</v>
      </c>
      <c r="N135" s="258" t="s">
        <v>524</v>
      </c>
      <c r="O135" s="258" t="s">
        <v>585</v>
      </c>
      <c r="P135" s="258" t="s">
        <v>505</v>
      </c>
      <c r="Q135" s="258" t="s">
        <v>638</v>
      </c>
      <c r="R135" s="258" t="s">
        <v>1176</v>
      </c>
      <c r="S135" s="258" t="s">
        <v>508</v>
      </c>
      <c r="T135" s="258" t="s">
        <v>509</v>
      </c>
      <c r="U135" s="258" t="s">
        <v>967</v>
      </c>
      <c r="V135" s="258" t="s">
        <v>529</v>
      </c>
      <c r="W135" s="258" t="s">
        <v>512</v>
      </c>
    </row>
    <row r="136">
      <c r="A136" s="258" t="s">
        <v>1177</v>
      </c>
      <c r="B136" s="258" t="s">
        <v>1178</v>
      </c>
      <c r="C136" s="261" t="s">
        <v>1179</v>
      </c>
      <c r="D136" s="3"/>
      <c r="E136" s="3"/>
      <c r="F136" s="3"/>
      <c r="G136" s="3"/>
      <c r="H136" s="258" t="s">
        <v>1103</v>
      </c>
      <c r="I136" s="258" t="s">
        <v>521</v>
      </c>
      <c r="J136" s="258" t="s">
        <v>574</v>
      </c>
      <c r="K136" s="260" t="s">
        <v>513</v>
      </c>
      <c r="L136" s="258" t="s">
        <v>615</v>
      </c>
      <c r="M136" s="258" t="s">
        <v>523</v>
      </c>
      <c r="N136" s="258" t="s">
        <v>524</v>
      </c>
      <c r="O136" s="258" t="s">
        <v>504</v>
      </c>
      <c r="P136" s="258" t="s">
        <v>541</v>
      </c>
      <c r="Q136" s="258" t="s">
        <v>506</v>
      </c>
      <c r="R136" s="258" t="s">
        <v>752</v>
      </c>
      <c r="S136" s="258" t="s">
        <v>598</v>
      </c>
      <c r="T136" s="258" t="s">
        <v>587</v>
      </c>
      <c r="U136" s="258" t="s">
        <v>1180</v>
      </c>
      <c r="V136" s="258" t="s">
        <v>529</v>
      </c>
      <c r="W136" s="258" t="s">
        <v>512</v>
      </c>
    </row>
    <row r="137">
      <c r="A137" s="258" t="s">
        <v>1181</v>
      </c>
      <c r="B137" s="258" t="s">
        <v>1182</v>
      </c>
      <c r="C137" s="259">
        <v>1.9143824817E10</v>
      </c>
      <c r="D137" s="3"/>
      <c r="E137" s="3"/>
      <c r="F137" s="3"/>
      <c r="G137" s="3"/>
      <c r="H137" s="258" t="s">
        <v>622</v>
      </c>
      <c r="I137" s="258" t="s">
        <v>521</v>
      </c>
      <c r="J137" s="258" t="s">
        <v>499</v>
      </c>
      <c r="K137" s="260" t="s">
        <v>513</v>
      </c>
      <c r="L137" s="258" t="s">
        <v>549</v>
      </c>
      <c r="M137" s="258" t="s">
        <v>550</v>
      </c>
      <c r="N137" s="258" t="s">
        <v>1183</v>
      </c>
      <c r="O137" s="258" t="s">
        <v>504</v>
      </c>
      <c r="P137" s="258" t="s">
        <v>541</v>
      </c>
      <c r="Q137" s="258" t="s">
        <v>914</v>
      </c>
      <c r="R137" s="258" t="s">
        <v>1184</v>
      </c>
      <c r="S137" s="258" t="s">
        <v>508</v>
      </c>
      <c r="T137" s="258" t="s">
        <v>587</v>
      </c>
      <c r="U137" s="258" t="s">
        <v>1185</v>
      </c>
      <c r="V137" s="258" t="s">
        <v>511</v>
      </c>
      <c r="W137" s="258" t="s">
        <v>512</v>
      </c>
    </row>
    <row r="138">
      <c r="A138" s="258" t="s">
        <v>1186</v>
      </c>
      <c r="B138" s="258" t="s">
        <v>1187</v>
      </c>
      <c r="C138" s="259">
        <v>1.3025349074E10</v>
      </c>
      <c r="D138" s="3"/>
      <c r="E138" s="3"/>
      <c r="F138" s="3"/>
      <c r="G138" s="3"/>
      <c r="H138" s="258" t="s">
        <v>302</v>
      </c>
      <c r="I138" s="258" t="s">
        <v>521</v>
      </c>
      <c r="J138" s="258" t="s">
        <v>574</v>
      </c>
      <c r="K138" s="260" t="s">
        <v>500</v>
      </c>
      <c r="L138" s="258" t="s">
        <v>549</v>
      </c>
      <c r="M138" s="258" t="s">
        <v>523</v>
      </c>
      <c r="N138" s="258" t="s">
        <v>524</v>
      </c>
      <c r="O138" s="258" t="s">
        <v>504</v>
      </c>
      <c r="P138" s="258" t="s">
        <v>568</v>
      </c>
      <c r="Q138" s="258" t="s">
        <v>914</v>
      </c>
      <c r="R138" s="258" t="s">
        <v>1188</v>
      </c>
      <c r="S138" s="258" t="s">
        <v>508</v>
      </c>
      <c r="T138" s="258" t="s">
        <v>587</v>
      </c>
      <c r="U138" s="258" t="s">
        <v>577</v>
      </c>
      <c r="V138" s="258" t="s">
        <v>511</v>
      </c>
      <c r="W138" s="258" t="s">
        <v>512</v>
      </c>
    </row>
    <row r="139">
      <c r="A139" s="258" t="s">
        <v>1189</v>
      </c>
      <c r="B139" s="258" t="s">
        <v>1190</v>
      </c>
      <c r="C139" s="261" t="s">
        <v>1191</v>
      </c>
      <c r="D139" s="3"/>
      <c r="E139" s="3"/>
      <c r="F139" s="3"/>
      <c r="G139" s="3"/>
      <c r="H139" s="258" t="s">
        <v>557</v>
      </c>
      <c r="I139" s="258" t="s">
        <v>540</v>
      </c>
      <c r="J139" s="258" t="s">
        <v>522</v>
      </c>
      <c r="K139" s="260" t="s">
        <v>513</v>
      </c>
      <c r="L139" s="258" t="s">
        <v>615</v>
      </c>
      <c r="M139" s="258" t="s">
        <v>523</v>
      </c>
      <c r="N139" s="258" t="s">
        <v>1192</v>
      </c>
      <c r="O139" s="258" t="s">
        <v>516</v>
      </c>
      <c r="P139" s="258" t="s">
        <v>603</v>
      </c>
      <c r="Q139" s="258" t="s">
        <v>525</v>
      </c>
      <c r="R139" s="258" t="s">
        <v>1193</v>
      </c>
      <c r="S139" s="258" t="s">
        <v>570</v>
      </c>
      <c r="T139" s="258" t="s">
        <v>509</v>
      </c>
      <c r="U139" s="258" t="s">
        <v>1194</v>
      </c>
      <c r="V139" s="258" t="s">
        <v>529</v>
      </c>
      <c r="W139" s="258" t="s">
        <v>512</v>
      </c>
    </row>
    <row r="140">
      <c r="A140" s="258" t="s">
        <v>1195</v>
      </c>
      <c r="B140" s="258" t="s">
        <v>1196</v>
      </c>
      <c r="C140" s="259">
        <v>1.8626829101E10</v>
      </c>
      <c r="D140" s="3"/>
      <c r="E140" s="3"/>
      <c r="F140" s="3"/>
      <c r="G140" s="3"/>
      <c r="H140" s="258" t="s">
        <v>1197</v>
      </c>
      <c r="I140" s="258" t="s">
        <v>521</v>
      </c>
      <c r="J140" s="258" t="s">
        <v>522</v>
      </c>
      <c r="K140" s="260" t="s">
        <v>500</v>
      </c>
      <c r="L140" s="258" t="s">
        <v>501</v>
      </c>
      <c r="M140" s="258" t="s">
        <v>550</v>
      </c>
      <c r="N140" s="258" t="s">
        <v>575</v>
      </c>
      <c r="O140" s="258" t="s">
        <v>504</v>
      </c>
      <c r="P140" s="258" t="s">
        <v>541</v>
      </c>
      <c r="Q140" s="258" t="s">
        <v>638</v>
      </c>
      <c r="R140" s="258" t="s">
        <v>1198</v>
      </c>
      <c r="S140" s="258" t="s">
        <v>598</v>
      </c>
      <c r="T140" s="258" t="s">
        <v>527</v>
      </c>
      <c r="U140" s="258" t="s">
        <v>1199</v>
      </c>
      <c r="V140" s="258" t="s">
        <v>529</v>
      </c>
      <c r="W140" s="258" t="s">
        <v>512</v>
      </c>
    </row>
    <row r="141">
      <c r="A141" s="258" t="s">
        <v>1200</v>
      </c>
      <c r="B141" s="258" t="s">
        <v>1201</v>
      </c>
      <c r="C141" s="259">
        <v>1.6149025753E10</v>
      </c>
      <c r="D141" s="3"/>
      <c r="E141" s="3"/>
      <c r="F141" s="3"/>
      <c r="G141" s="3"/>
      <c r="H141" s="258" t="s">
        <v>557</v>
      </c>
      <c r="I141" s="258" t="s">
        <v>1202</v>
      </c>
      <c r="J141" s="258" t="s">
        <v>499</v>
      </c>
      <c r="K141" s="260" t="s">
        <v>500</v>
      </c>
      <c r="L141" s="258" t="s">
        <v>549</v>
      </c>
      <c r="M141" s="258" t="s">
        <v>623</v>
      </c>
      <c r="N141" s="258" t="s">
        <v>1203</v>
      </c>
      <c r="O141" s="258" t="s">
        <v>504</v>
      </c>
      <c r="P141" s="258" t="s">
        <v>505</v>
      </c>
      <c r="Q141" s="258" t="s">
        <v>506</v>
      </c>
      <c r="R141" s="258" t="s">
        <v>1204</v>
      </c>
      <c r="S141" s="258" t="s">
        <v>598</v>
      </c>
      <c r="T141" s="258" t="s">
        <v>651</v>
      </c>
      <c r="U141" s="258" t="s">
        <v>1205</v>
      </c>
      <c r="V141" s="258" t="s">
        <v>763</v>
      </c>
      <c r="W141" s="258" t="s">
        <v>512</v>
      </c>
    </row>
    <row r="142">
      <c r="A142" s="258" t="s">
        <v>1206</v>
      </c>
      <c r="B142" s="258" t="s">
        <v>1207</v>
      </c>
      <c r="C142" s="261" t="s">
        <v>1208</v>
      </c>
      <c r="D142" s="3"/>
      <c r="E142" s="3"/>
      <c r="F142" s="3"/>
      <c r="G142" s="3"/>
      <c r="H142" s="258" t="s">
        <v>532</v>
      </c>
      <c r="I142" s="258" t="s">
        <v>533</v>
      </c>
      <c r="J142" s="258" t="s">
        <v>558</v>
      </c>
      <c r="K142" s="260" t="s">
        <v>513</v>
      </c>
      <c r="L142" s="258" t="s">
        <v>549</v>
      </c>
      <c r="M142" s="258" t="s">
        <v>523</v>
      </c>
      <c r="N142" s="258" t="s">
        <v>592</v>
      </c>
      <c r="O142" s="258" t="s">
        <v>504</v>
      </c>
      <c r="P142" s="258" t="s">
        <v>541</v>
      </c>
      <c r="Q142" s="258" t="s">
        <v>506</v>
      </c>
      <c r="R142" s="258" t="s">
        <v>1209</v>
      </c>
      <c r="S142" s="258" t="s">
        <v>598</v>
      </c>
      <c r="T142" s="258" t="s">
        <v>536</v>
      </c>
      <c r="U142" s="258" t="s">
        <v>1210</v>
      </c>
      <c r="V142" s="258" t="s">
        <v>554</v>
      </c>
      <c r="W142" s="258" t="s">
        <v>512</v>
      </c>
    </row>
    <row r="143">
      <c r="A143" s="258" t="s">
        <v>1211</v>
      </c>
      <c r="B143" s="258" t="s">
        <v>1212</v>
      </c>
      <c r="C143" s="261" t="s">
        <v>1213</v>
      </c>
      <c r="D143" s="3"/>
      <c r="E143" s="3"/>
      <c r="F143" s="3"/>
      <c r="G143" s="3"/>
      <c r="H143" s="258" t="s">
        <v>548</v>
      </c>
      <c r="I143" s="258" t="s">
        <v>233</v>
      </c>
      <c r="J143" s="258" t="s">
        <v>499</v>
      </c>
      <c r="K143" s="260" t="s">
        <v>500</v>
      </c>
      <c r="L143" s="258" t="s">
        <v>501</v>
      </c>
      <c r="M143" s="258" t="s">
        <v>523</v>
      </c>
      <c r="N143" s="258" t="s">
        <v>584</v>
      </c>
      <c r="O143" s="258" t="s">
        <v>516</v>
      </c>
      <c r="P143" s="258" t="s">
        <v>541</v>
      </c>
      <c r="Q143" s="258" t="s">
        <v>506</v>
      </c>
      <c r="R143" s="258" t="s">
        <v>1214</v>
      </c>
      <c r="S143" s="258" t="s">
        <v>508</v>
      </c>
      <c r="T143" s="258" t="s">
        <v>587</v>
      </c>
      <c r="U143" s="258" t="s">
        <v>1215</v>
      </c>
      <c r="V143" s="258" t="s">
        <v>511</v>
      </c>
      <c r="W143" s="258" t="s">
        <v>512</v>
      </c>
    </row>
    <row r="144">
      <c r="A144" s="258" t="s">
        <v>1216</v>
      </c>
      <c r="B144" s="258" t="s">
        <v>1217</v>
      </c>
      <c r="C144" s="261" t="s">
        <v>1218</v>
      </c>
      <c r="D144" s="3"/>
      <c r="E144" s="3"/>
      <c r="F144" s="3"/>
      <c r="G144" s="3"/>
      <c r="H144" s="258" t="s">
        <v>622</v>
      </c>
      <c r="I144" s="258" t="s">
        <v>789</v>
      </c>
      <c r="J144" s="258" t="s">
        <v>574</v>
      </c>
      <c r="K144" s="260" t="s">
        <v>500</v>
      </c>
      <c r="L144" s="258" t="s">
        <v>501</v>
      </c>
      <c r="M144" s="258" t="s">
        <v>623</v>
      </c>
      <c r="N144" s="258" t="s">
        <v>979</v>
      </c>
      <c r="O144" s="258" t="s">
        <v>585</v>
      </c>
      <c r="P144" s="258" t="s">
        <v>505</v>
      </c>
      <c r="Q144" s="258" t="s">
        <v>1219</v>
      </c>
      <c r="R144" s="258" t="s">
        <v>1220</v>
      </c>
      <c r="S144" s="258" t="s">
        <v>570</v>
      </c>
      <c r="T144" s="258" t="s">
        <v>509</v>
      </c>
      <c r="U144" s="258" t="s">
        <v>1221</v>
      </c>
      <c r="V144" s="258" t="s">
        <v>511</v>
      </c>
      <c r="W144" s="258" t="s">
        <v>512</v>
      </c>
    </row>
    <row r="145">
      <c r="A145" s="258" t="s">
        <v>1222</v>
      </c>
      <c r="B145" s="258" t="s">
        <v>1223</v>
      </c>
      <c r="C145" s="261" t="s">
        <v>1224</v>
      </c>
      <c r="D145" s="3"/>
      <c r="E145" s="3"/>
      <c r="F145" s="3"/>
      <c r="G145" s="3"/>
      <c r="H145" s="258" t="s">
        <v>622</v>
      </c>
      <c r="I145" s="258" t="s">
        <v>533</v>
      </c>
      <c r="J145" s="258" t="s">
        <v>499</v>
      </c>
      <c r="K145" s="260" t="s">
        <v>513</v>
      </c>
      <c r="L145" s="258" t="s">
        <v>501</v>
      </c>
      <c r="M145" s="258" t="s">
        <v>523</v>
      </c>
      <c r="N145" s="258" t="s">
        <v>592</v>
      </c>
      <c r="O145" s="258" t="s">
        <v>504</v>
      </c>
      <c r="P145" s="258" t="s">
        <v>603</v>
      </c>
      <c r="Q145" s="258" t="s">
        <v>506</v>
      </c>
      <c r="R145" s="258" t="s">
        <v>1225</v>
      </c>
      <c r="S145" s="258" t="s">
        <v>508</v>
      </c>
      <c r="T145" s="258" t="s">
        <v>509</v>
      </c>
      <c r="U145" s="258" t="s">
        <v>657</v>
      </c>
      <c r="V145" s="258" t="s">
        <v>529</v>
      </c>
      <c r="W145" s="258" t="s">
        <v>512</v>
      </c>
    </row>
    <row r="146">
      <c r="A146" s="258" t="s">
        <v>1226</v>
      </c>
      <c r="B146" s="258" t="s">
        <v>1227</v>
      </c>
      <c r="C146" s="261" t="s">
        <v>1228</v>
      </c>
      <c r="D146" s="3"/>
      <c r="E146" s="3"/>
      <c r="F146" s="3"/>
      <c r="G146" s="3"/>
      <c r="H146" s="258" t="s">
        <v>622</v>
      </c>
      <c r="I146" s="258" t="s">
        <v>1229</v>
      </c>
      <c r="J146" s="258" t="s">
        <v>499</v>
      </c>
      <c r="K146" s="260" t="s">
        <v>500</v>
      </c>
      <c r="L146" s="258" t="s">
        <v>501</v>
      </c>
      <c r="M146" s="258" t="s">
        <v>523</v>
      </c>
      <c r="N146" s="258" t="s">
        <v>1230</v>
      </c>
      <c r="O146" s="258" t="s">
        <v>504</v>
      </c>
      <c r="P146" s="258" t="s">
        <v>505</v>
      </c>
      <c r="Q146" s="258" t="s">
        <v>506</v>
      </c>
      <c r="R146" s="258" t="s">
        <v>1231</v>
      </c>
      <c r="S146" s="258" t="s">
        <v>508</v>
      </c>
      <c r="T146" s="258" t="s">
        <v>1232</v>
      </c>
      <c r="U146" s="258" t="s">
        <v>1233</v>
      </c>
      <c r="V146" s="258" t="s">
        <v>763</v>
      </c>
      <c r="W146" s="258" t="s">
        <v>512</v>
      </c>
    </row>
    <row r="147">
      <c r="A147" s="258" t="s">
        <v>1234</v>
      </c>
      <c r="B147" s="258" t="s">
        <v>1235</v>
      </c>
      <c r="C147" s="261" t="s">
        <v>1236</v>
      </c>
      <c r="D147" s="53"/>
      <c r="E147" s="53"/>
      <c r="F147" s="53"/>
      <c r="G147" s="53"/>
      <c r="H147" s="258" t="s">
        <v>302</v>
      </c>
      <c r="I147" s="258" t="s">
        <v>521</v>
      </c>
      <c r="J147" s="258" t="s">
        <v>522</v>
      </c>
      <c r="K147" s="260" t="s">
        <v>566</v>
      </c>
      <c r="L147" s="258" t="s">
        <v>549</v>
      </c>
      <c r="M147" s="258" t="s">
        <v>523</v>
      </c>
      <c r="N147" s="258" t="s">
        <v>567</v>
      </c>
      <c r="O147" s="258" t="s">
        <v>585</v>
      </c>
      <c r="P147" s="258" t="s">
        <v>603</v>
      </c>
      <c r="Q147" s="258" t="s">
        <v>790</v>
      </c>
      <c r="R147" s="258" t="s">
        <v>1237</v>
      </c>
      <c r="S147" s="258" t="s">
        <v>606</v>
      </c>
      <c r="T147" s="258" t="s">
        <v>587</v>
      </c>
      <c r="U147" s="258" t="s">
        <v>1238</v>
      </c>
      <c r="V147" s="258" t="s">
        <v>529</v>
      </c>
      <c r="W147" s="258" t="s">
        <v>512</v>
      </c>
    </row>
    <row r="148">
      <c r="A148" s="258" t="s">
        <v>1239</v>
      </c>
      <c r="B148" s="258" t="s">
        <v>1240</v>
      </c>
      <c r="C148" s="261" t="s">
        <v>1241</v>
      </c>
      <c r="D148" s="3"/>
      <c r="E148" s="3"/>
      <c r="F148" s="3"/>
      <c r="G148" s="3"/>
      <c r="H148" s="258" t="s">
        <v>548</v>
      </c>
      <c r="I148" s="258" t="s">
        <v>521</v>
      </c>
      <c r="J148" s="258" t="s">
        <v>574</v>
      </c>
      <c r="K148" s="260" t="s">
        <v>500</v>
      </c>
      <c r="L148" s="258" t="s">
        <v>549</v>
      </c>
      <c r="M148" s="258" t="s">
        <v>550</v>
      </c>
      <c r="N148" s="258" t="s">
        <v>1242</v>
      </c>
      <c r="O148" s="258" t="s">
        <v>516</v>
      </c>
      <c r="P148" s="258" t="s">
        <v>505</v>
      </c>
      <c r="Q148" s="258" t="s">
        <v>506</v>
      </c>
      <c r="R148" s="258" t="s">
        <v>1243</v>
      </c>
      <c r="S148" s="258" t="s">
        <v>508</v>
      </c>
      <c r="T148" s="258" t="s">
        <v>536</v>
      </c>
      <c r="U148" s="258" t="s">
        <v>1244</v>
      </c>
      <c r="V148" s="258" t="s">
        <v>554</v>
      </c>
      <c r="W148" s="258" t="s">
        <v>512</v>
      </c>
    </row>
    <row r="149">
      <c r="A149" s="258" t="s">
        <v>1245</v>
      </c>
      <c r="B149" s="258" t="s">
        <v>1246</v>
      </c>
      <c r="C149" s="259">
        <v>1.3156014111E10</v>
      </c>
      <c r="D149" s="3"/>
      <c r="E149" s="3"/>
      <c r="F149" s="3"/>
      <c r="G149" s="3"/>
      <c r="H149" s="258" t="s">
        <v>302</v>
      </c>
      <c r="I149" s="258" t="s">
        <v>233</v>
      </c>
      <c r="J149" s="258" t="s">
        <v>522</v>
      </c>
      <c r="K149" s="260" t="s">
        <v>500</v>
      </c>
      <c r="L149" s="258" t="s">
        <v>549</v>
      </c>
      <c r="M149" s="258" t="s">
        <v>523</v>
      </c>
      <c r="N149" s="258" t="s">
        <v>567</v>
      </c>
      <c r="O149" s="258" t="s">
        <v>585</v>
      </c>
      <c r="P149" s="258" t="s">
        <v>541</v>
      </c>
      <c r="Q149" s="258" t="s">
        <v>525</v>
      </c>
      <c r="R149" s="258" t="s">
        <v>1247</v>
      </c>
      <c r="S149" s="258" t="s">
        <v>606</v>
      </c>
      <c r="T149" s="258" t="s">
        <v>527</v>
      </c>
      <c r="U149" s="258" t="s">
        <v>1248</v>
      </c>
      <c r="V149" s="258" t="s">
        <v>763</v>
      </c>
      <c r="W149" s="258" t="s">
        <v>512</v>
      </c>
    </row>
    <row r="150">
      <c r="A150" s="258" t="s">
        <v>1249</v>
      </c>
      <c r="B150" s="258" t="s">
        <v>1250</v>
      </c>
      <c r="C150" s="261" t="s">
        <v>1251</v>
      </c>
      <c r="D150" s="3"/>
      <c r="E150" s="3"/>
      <c r="F150" s="3"/>
      <c r="G150" s="3"/>
      <c r="H150" s="258" t="s">
        <v>1252</v>
      </c>
      <c r="I150" s="258" t="s">
        <v>789</v>
      </c>
      <c r="J150" s="258" t="s">
        <v>522</v>
      </c>
      <c r="K150" s="260" t="s">
        <v>500</v>
      </c>
      <c r="L150" s="258" t="s">
        <v>549</v>
      </c>
      <c r="M150" s="258" t="s">
        <v>550</v>
      </c>
      <c r="N150" s="258" t="s">
        <v>592</v>
      </c>
      <c r="O150" s="258" t="s">
        <v>516</v>
      </c>
      <c r="P150" s="258" t="s">
        <v>603</v>
      </c>
      <c r="Q150" s="258" t="s">
        <v>604</v>
      </c>
      <c r="R150" s="258" t="s">
        <v>542</v>
      </c>
      <c r="S150" s="258" t="s">
        <v>570</v>
      </c>
      <c r="T150" s="258" t="s">
        <v>527</v>
      </c>
      <c r="U150" s="258" t="s">
        <v>1253</v>
      </c>
      <c r="V150" s="258" t="s">
        <v>763</v>
      </c>
      <c r="W150" s="258" t="s">
        <v>512</v>
      </c>
    </row>
    <row r="151">
      <c r="A151" s="258" t="s">
        <v>1254</v>
      </c>
      <c r="B151" s="258" t="s">
        <v>1255</v>
      </c>
      <c r="C151" s="261" t="s">
        <v>1256</v>
      </c>
      <c r="D151" s="3"/>
      <c r="E151" s="3"/>
      <c r="F151" s="3"/>
      <c r="G151" s="3"/>
      <c r="H151" s="258" t="s">
        <v>532</v>
      </c>
      <c r="I151" s="258" t="s">
        <v>233</v>
      </c>
      <c r="J151" s="258" t="s">
        <v>499</v>
      </c>
      <c r="K151" s="260" t="s">
        <v>500</v>
      </c>
      <c r="L151" s="258" t="s">
        <v>501</v>
      </c>
      <c r="M151" s="258" t="s">
        <v>502</v>
      </c>
      <c r="N151" s="258" t="s">
        <v>515</v>
      </c>
      <c r="O151" s="258" t="s">
        <v>585</v>
      </c>
      <c r="P151" s="258" t="s">
        <v>505</v>
      </c>
      <c r="Q151" s="258" t="s">
        <v>525</v>
      </c>
      <c r="R151" s="258" t="s">
        <v>1257</v>
      </c>
      <c r="S151" s="258" t="s">
        <v>508</v>
      </c>
      <c r="T151" s="258" t="s">
        <v>587</v>
      </c>
      <c r="U151" s="258" t="s">
        <v>926</v>
      </c>
      <c r="V151" s="258" t="s">
        <v>554</v>
      </c>
      <c r="W151" s="258" t="s">
        <v>512</v>
      </c>
    </row>
    <row r="152">
      <c r="A152" s="258" t="s">
        <v>1258</v>
      </c>
      <c r="B152" s="258" t="s">
        <v>1259</v>
      </c>
      <c r="C152" s="261" t="s">
        <v>1260</v>
      </c>
      <c r="D152" s="3"/>
      <c r="E152" s="3"/>
      <c r="F152" s="3"/>
      <c r="G152" s="3"/>
      <c r="H152" s="258" t="s">
        <v>557</v>
      </c>
      <c r="I152" s="258" t="s">
        <v>636</v>
      </c>
      <c r="J152" s="258" t="s">
        <v>499</v>
      </c>
      <c r="K152" s="260" t="s">
        <v>500</v>
      </c>
      <c r="L152" s="258" t="s">
        <v>501</v>
      </c>
      <c r="M152" s="258" t="s">
        <v>623</v>
      </c>
      <c r="N152" s="258" t="s">
        <v>534</v>
      </c>
      <c r="O152" s="258" t="s">
        <v>504</v>
      </c>
      <c r="P152" s="258" t="s">
        <v>505</v>
      </c>
      <c r="Q152" s="258" t="s">
        <v>506</v>
      </c>
      <c r="R152" s="258" t="s">
        <v>1261</v>
      </c>
      <c r="S152" s="258" t="s">
        <v>508</v>
      </c>
      <c r="T152" s="258" t="s">
        <v>1232</v>
      </c>
      <c r="U152" s="258" t="s">
        <v>1262</v>
      </c>
      <c r="V152" s="258" t="s">
        <v>843</v>
      </c>
      <c r="W152" s="258" t="s">
        <v>512</v>
      </c>
    </row>
    <row r="153">
      <c r="A153" s="258" t="s">
        <v>1263</v>
      </c>
      <c r="B153" s="258" t="s">
        <v>1264</v>
      </c>
      <c r="C153" s="259">
        <v>1.7868058977E10</v>
      </c>
      <c r="D153" s="3"/>
      <c r="E153" s="3"/>
      <c r="F153" s="3"/>
      <c r="G153" s="3"/>
      <c r="H153" s="258" t="s">
        <v>557</v>
      </c>
      <c r="I153" s="258" t="s">
        <v>636</v>
      </c>
      <c r="J153" s="258" t="s">
        <v>499</v>
      </c>
      <c r="K153" s="260" t="s">
        <v>500</v>
      </c>
      <c r="L153" s="258" t="s">
        <v>549</v>
      </c>
      <c r="M153" s="258" t="s">
        <v>550</v>
      </c>
      <c r="N153" s="258" t="s">
        <v>1265</v>
      </c>
      <c r="O153" s="258" t="s">
        <v>504</v>
      </c>
      <c r="P153" s="258" t="s">
        <v>505</v>
      </c>
      <c r="Q153" s="258" t="s">
        <v>638</v>
      </c>
      <c r="R153" s="258" t="s">
        <v>1266</v>
      </c>
      <c r="S153" s="258" t="s">
        <v>508</v>
      </c>
      <c r="T153" s="258" t="s">
        <v>543</v>
      </c>
      <c r="U153" s="258" t="s">
        <v>19</v>
      </c>
      <c r="V153" s="258" t="s">
        <v>511</v>
      </c>
      <c r="W153" s="258" t="s">
        <v>512</v>
      </c>
    </row>
    <row r="154">
      <c r="A154" s="258" t="s">
        <v>1267</v>
      </c>
      <c r="B154" s="258" t="s">
        <v>1268</v>
      </c>
      <c r="C154" s="261" t="s">
        <v>1269</v>
      </c>
      <c r="D154" s="3"/>
      <c r="E154" s="3"/>
      <c r="F154" s="3"/>
      <c r="G154" s="3"/>
      <c r="H154" s="258" t="s">
        <v>532</v>
      </c>
      <c r="I154" s="258" t="s">
        <v>1270</v>
      </c>
      <c r="J154" s="258" t="s">
        <v>574</v>
      </c>
      <c r="K154" s="260" t="s">
        <v>513</v>
      </c>
      <c r="L154" s="258" t="s">
        <v>514</v>
      </c>
      <c r="M154" s="258" t="s">
        <v>523</v>
      </c>
      <c r="N154" s="258" t="s">
        <v>902</v>
      </c>
      <c r="O154" s="258" t="s">
        <v>585</v>
      </c>
      <c r="P154" s="258" t="s">
        <v>541</v>
      </c>
      <c r="Q154" s="258" t="s">
        <v>638</v>
      </c>
      <c r="R154" s="258" t="s">
        <v>1271</v>
      </c>
      <c r="S154" s="258" t="s">
        <v>606</v>
      </c>
      <c r="T154" s="258" t="s">
        <v>536</v>
      </c>
      <c r="U154" s="258" t="s">
        <v>1272</v>
      </c>
      <c r="V154" s="258" t="s">
        <v>511</v>
      </c>
      <c r="W154" s="258" t="s">
        <v>512</v>
      </c>
    </row>
    <row r="155">
      <c r="H155" s="262"/>
    </row>
  </sheetData>
  <autoFilter ref="$A$1:$W$155">
    <sortState ref="A1:W155">
      <sortCondition ref="A1:A155"/>
    </sortState>
  </autoFilter>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75"/>
    <col customWidth="1" min="2" max="2" width="18.13"/>
    <col customWidth="1" min="3" max="3" width="16.13"/>
  </cols>
  <sheetData>
    <row r="1">
      <c r="A1" s="263" t="s">
        <v>1273</v>
      </c>
      <c r="B1" s="62"/>
      <c r="D1" s="264" t="s">
        <v>1274</v>
      </c>
      <c r="E1" s="30">
        <v>1790.0</v>
      </c>
      <c r="F1" s="265" t="s">
        <v>1275</v>
      </c>
    </row>
    <row r="2">
      <c r="A2" s="264" t="s">
        <v>1276</v>
      </c>
      <c r="B2" s="264" t="s">
        <v>1277</v>
      </c>
      <c r="C2" s="266" t="s">
        <v>1278</v>
      </c>
      <c r="D2" s="266"/>
      <c r="F2" s="267" t="s">
        <v>1279</v>
      </c>
      <c r="G2" s="268" t="s">
        <v>1280</v>
      </c>
      <c r="H2" s="269" t="s">
        <v>1281</v>
      </c>
      <c r="J2" s="45" t="s">
        <v>1282</v>
      </c>
    </row>
    <row r="3">
      <c r="A3" s="270">
        <v>0.3333333333333333</v>
      </c>
      <c r="B3" s="271"/>
      <c r="C3" s="272">
        <f t="shared" ref="C3:C27" si="1">B3/$E$1</f>
        <v>0</v>
      </c>
      <c r="D3" s="273"/>
      <c r="J3" s="45" t="s">
        <v>1283</v>
      </c>
      <c r="K3" s="34">
        <v>3881.0</v>
      </c>
    </row>
    <row r="4">
      <c r="A4" s="270">
        <v>0.3368055555555556</v>
      </c>
      <c r="B4" s="271"/>
      <c r="C4" s="272">
        <f t="shared" si="1"/>
        <v>0</v>
      </c>
      <c r="D4" s="273"/>
      <c r="F4" s="274">
        <f t="shared" ref="F4:H4" si="2">F12*45%</f>
        <v>104.715</v>
      </c>
      <c r="G4" s="274">
        <f t="shared" si="2"/>
        <v>128.88</v>
      </c>
      <c r="H4" s="274">
        <f t="shared" si="2"/>
        <v>153.045</v>
      </c>
      <c r="J4" s="45" t="s">
        <v>1284</v>
      </c>
      <c r="K4" s="34">
        <v>650.0</v>
      </c>
    </row>
    <row r="5">
      <c r="A5" s="270">
        <v>0.3402777777777778</v>
      </c>
      <c r="B5" s="275"/>
      <c r="C5" s="272">
        <f t="shared" si="1"/>
        <v>0</v>
      </c>
      <c r="D5" s="273"/>
      <c r="F5" s="274"/>
      <c r="G5" s="274"/>
      <c r="H5" s="274"/>
      <c r="J5" s="45" t="s">
        <v>1285</v>
      </c>
      <c r="K5" s="276">
        <v>0.1675</v>
      </c>
    </row>
    <row r="6">
      <c r="A6" s="270">
        <v>0.34375</v>
      </c>
      <c r="B6" s="271"/>
      <c r="C6" s="272">
        <f t="shared" si="1"/>
        <v>0</v>
      </c>
      <c r="D6" s="273"/>
      <c r="F6" s="274"/>
      <c r="G6" s="274"/>
      <c r="H6" s="274"/>
      <c r="J6" s="45" t="s">
        <v>1286</v>
      </c>
      <c r="K6" s="34">
        <v>44.0</v>
      </c>
    </row>
    <row r="7">
      <c r="A7" s="270">
        <v>0.3472222222222222</v>
      </c>
      <c r="B7" s="271"/>
      <c r="C7" s="272">
        <f t="shared" si="1"/>
        <v>0</v>
      </c>
      <c r="D7" s="273"/>
      <c r="F7" s="274"/>
      <c r="G7" s="274"/>
      <c r="H7" s="274"/>
      <c r="J7" s="45" t="s">
        <v>1287</v>
      </c>
      <c r="K7" s="276">
        <v>0.0113</v>
      </c>
    </row>
    <row r="8">
      <c r="A8" s="270">
        <v>0.3506944444444444</v>
      </c>
      <c r="B8" s="271"/>
      <c r="C8" s="272">
        <f t="shared" si="1"/>
        <v>0</v>
      </c>
      <c r="D8" s="273"/>
      <c r="F8" s="274"/>
      <c r="G8" s="274"/>
      <c r="H8" s="274"/>
      <c r="J8" s="45" t="s">
        <v>1288</v>
      </c>
      <c r="K8" s="276">
        <v>0.0677</v>
      </c>
    </row>
    <row r="9">
      <c r="A9" s="270">
        <v>0.3541666666666667</v>
      </c>
      <c r="B9" s="271"/>
      <c r="C9" s="272">
        <f t="shared" si="1"/>
        <v>0</v>
      </c>
      <c r="D9" s="273"/>
      <c r="F9" s="274"/>
      <c r="G9" s="274"/>
      <c r="H9" s="274"/>
    </row>
    <row r="10">
      <c r="A10" s="270">
        <v>0.3576388888888889</v>
      </c>
      <c r="B10" s="271"/>
      <c r="C10" s="272">
        <f t="shared" si="1"/>
        <v>0</v>
      </c>
      <c r="D10" s="273"/>
      <c r="F10" s="274"/>
      <c r="G10" s="274"/>
      <c r="H10" s="274"/>
    </row>
    <row r="11">
      <c r="A11" s="270">
        <v>0.3611111111111111</v>
      </c>
      <c r="B11" s="271"/>
      <c r="C11" s="272">
        <f t="shared" si="1"/>
        <v>0</v>
      </c>
      <c r="D11" s="273"/>
      <c r="F11" s="274"/>
      <c r="G11" s="274"/>
      <c r="H11" s="274"/>
    </row>
    <row r="12">
      <c r="A12" s="270">
        <v>0.3645833333333333</v>
      </c>
      <c r="B12" s="271"/>
      <c r="C12" s="272">
        <f t="shared" si="1"/>
        <v>0</v>
      </c>
      <c r="D12" s="277"/>
      <c r="F12" s="274">
        <f>E1*13%</f>
        <v>232.7</v>
      </c>
      <c r="G12" s="274">
        <f>E1*16%</f>
        <v>286.4</v>
      </c>
      <c r="H12" s="274">
        <f>E1*19%</f>
        <v>340.1</v>
      </c>
      <c r="J12" s="45" t="s">
        <v>1289</v>
      </c>
    </row>
    <row r="13">
      <c r="A13" s="270">
        <v>0.3680555555555556</v>
      </c>
      <c r="B13" s="271"/>
      <c r="C13" s="272">
        <f t="shared" si="1"/>
        <v>0</v>
      </c>
      <c r="D13" s="273"/>
      <c r="J13" s="45" t="s">
        <v>1283</v>
      </c>
      <c r="K13" s="34">
        <v>2818.0</v>
      </c>
    </row>
    <row r="14">
      <c r="A14" s="270">
        <v>0.3715277777777778</v>
      </c>
      <c r="B14" s="271"/>
      <c r="C14" s="272">
        <f t="shared" si="1"/>
        <v>0</v>
      </c>
      <c r="D14" s="273"/>
      <c r="J14" s="45" t="s">
        <v>1284</v>
      </c>
      <c r="K14" s="278">
        <v>477.0</v>
      </c>
    </row>
    <row r="15">
      <c r="A15" s="270">
        <v>0.375</v>
      </c>
      <c r="B15" s="271"/>
      <c r="C15" s="272">
        <f t="shared" si="1"/>
        <v>0</v>
      </c>
      <c r="D15" s="273"/>
      <c r="J15" s="45" t="s">
        <v>1285</v>
      </c>
      <c r="K15" s="276">
        <v>0.1693</v>
      </c>
    </row>
    <row r="16">
      <c r="A16" s="270">
        <v>0.3784722222222222</v>
      </c>
      <c r="B16" s="271"/>
      <c r="C16" s="272">
        <f t="shared" si="1"/>
        <v>0</v>
      </c>
      <c r="D16" s="273"/>
      <c r="J16" s="45" t="s">
        <v>1286</v>
      </c>
      <c r="K16" s="34">
        <v>33.0</v>
      </c>
    </row>
    <row r="17">
      <c r="A17" s="270">
        <v>0.3819444444444444</v>
      </c>
      <c r="B17" s="271"/>
      <c r="C17" s="272">
        <f t="shared" si="1"/>
        <v>0</v>
      </c>
      <c r="D17" s="273"/>
      <c r="J17" s="45" t="s">
        <v>1287</v>
      </c>
      <c r="K17" s="276">
        <v>0.0117</v>
      </c>
    </row>
    <row r="18">
      <c r="A18" s="270">
        <v>0.3854166666666667</v>
      </c>
      <c r="B18" s="271"/>
      <c r="C18" s="272">
        <f t="shared" si="1"/>
        <v>0</v>
      </c>
      <c r="D18" s="279"/>
      <c r="J18" s="45" t="s">
        <v>1288</v>
      </c>
      <c r="K18" s="276">
        <v>0.0692</v>
      </c>
    </row>
    <row r="19">
      <c r="A19" s="270">
        <v>0.3888888888888889</v>
      </c>
      <c r="B19" s="271"/>
      <c r="C19" s="272">
        <f t="shared" si="1"/>
        <v>0</v>
      </c>
      <c r="D19" s="279"/>
    </row>
    <row r="20">
      <c r="A20" s="270">
        <v>0.3923611111111111</v>
      </c>
      <c r="B20" s="271"/>
      <c r="C20" s="272">
        <f t="shared" si="1"/>
        <v>0</v>
      </c>
      <c r="D20" s="279"/>
      <c r="J20" s="45" t="s">
        <v>1290</v>
      </c>
      <c r="K20" s="280">
        <f>K24*497</f>
        <v>6981.6572</v>
      </c>
    </row>
    <row r="21">
      <c r="A21" s="270">
        <v>0.3958333333333333</v>
      </c>
      <c r="B21" s="271"/>
      <c r="C21" s="272">
        <f t="shared" si="1"/>
        <v>0</v>
      </c>
      <c r="D21" s="279"/>
      <c r="J21" s="45" t="s">
        <v>1283</v>
      </c>
      <c r="K21" s="34">
        <v>1790.0</v>
      </c>
    </row>
    <row r="22">
      <c r="A22" s="270">
        <v>0.3993055555555556</v>
      </c>
      <c r="B22" s="271"/>
      <c r="C22" s="272">
        <f t="shared" si="1"/>
        <v>0</v>
      </c>
      <c r="D22" s="281"/>
      <c r="J22" s="45" t="s">
        <v>1284</v>
      </c>
      <c r="K22" s="278">
        <v>203.0</v>
      </c>
    </row>
    <row r="23">
      <c r="A23" s="270">
        <v>0.4027777777777778</v>
      </c>
      <c r="B23" s="271"/>
      <c r="C23" s="272">
        <f t="shared" si="1"/>
        <v>0</v>
      </c>
      <c r="D23" s="281"/>
      <c r="J23" s="45" t="s">
        <v>1285</v>
      </c>
      <c r="K23" s="276">
        <f>K22/K21</f>
        <v>0.1134078212</v>
      </c>
    </row>
    <row r="24">
      <c r="A24" s="270">
        <v>0.40625</v>
      </c>
      <c r="B24" s="271"/>
      <c r="C24" s="272">
        <f t="shared" si="1"/>
        <v>0</v>
      </c>
      <c r="D24" s="281"/>
      <c r="J24" s="45" t="s">
        <v>1286</v>
      </c>
      <c r="K24" s="282">
        <f>K22*K26</f>
        <v>14.0476</v>
      </c>
    </row>
    <row r="25">
      <c r="A25" s="270">
        <v>0.4097222222222222</v>
      </c>
      <c r="B25" s="271"/>
      <c r="C25" s="272">
        <f t="shared" si="1"/>
        <v>0</v>
      </c>
      <c r="D25" s="281"/>
      <c r="J25" s="45" t="s">
        <v>1287</v>
      </c>
      <c r="K25" s="276">
        <v>0.011</v>
      </c>
    </row>
    <row r="26">
      <c r="A26" s="270">
        <v>0.4131944444444444</v>
      </c>
      <c r="B26" s="283"/>
      <c r="C26" s="272">
        <f t="shared" si="1"/>
        <v>0</v>
      </c>
      <c r="D26" s="281"/>
      <c r="J26" s="45" t="s">
        <v>1288</v>
      </c>
      <c r="K26" s="276">
        <v>0.0692</v>
      </c>
    </row>
    <row r="27">
      <c r="A27" s="270">
        <v>0.4166666666666667</v>
      </c>
      <c r="B27" s="283"/>
      <c r="C27" s="272">
        <f t="shared" si="1"/>
        <v>0</v>
      </c>
      <c r="D27" s="281"/>
    </row>
    <row r="28">
      <c r="A28" s="270">
        <v>0.4201388888888889</v>
      </c>
      <c r="B28" s="283"/>
      <c r="C28" s="284"/>
      <c r="D28" s="281"/>
    </row>
    <row r="29">
      <c r="A29" s="270">
        <v>0.4236111111111111</v>
      </c>
      <c r="B29" s="283"/>
      <c r="C29" s="281"/>
      <c r="D29" s="281"/>
    </row>
    <row r="30">
      <c r="A30" s="270">
        <v>0.4270833333333333</v>
      </c>
      <c r="B30" s="283"/>
      <c r="C30" s="281"/>
      <c r="D30" s="281"/>
    </row>
    <row r="31">
      <c r="A31" s="270">
        <v>0.4305555555555556</v>
      </c>
      <c r="B31" s="283"/>
      <c r="C31" s="281"/>
      <c r="D31" s="281"/>
    </row>
    <row r="32">
      <c r="A32" s="270">
        <v>0.4340277777777778</v>
      </c>
      <c r="B32" s="283"/>
      <c r="C32" s="281"/>
      <c r="D32" s="281"/>
    </row>
    <row r="33">
      <c r="A33" s="270">
        <v>0.4375</v>
      </c>
      <c r="B33" s="283"/>
      <c r="C33" s="281"/>
      <c r="D33" s="281"/>
    </row>
    <row r="34">
      <c r="A34" s="270">
        <v>0.4409722222222222</v>
      </c>
      <c r="B34" s="283"/>
      <c r="C34" s="281"/>
      <c r="D34" s="281"/>
    </row>
    <row r="35">
      <c r="A35" s="270">
        <v>0.4444444444444444</v>
      </c>
      <c r="B35" s="283"/>
      <c r="C35" s="281"/>
      <c r="D35" s="281"/>
    </row>
    <row r="36">
      <c r="A36" s="270">
        <v>0.4479166666666667</v>
      </c>
      <c r="B36" s="283"/>
      <c r="C36" s="281"/>
      <c r="D36" s="281"/>
    </row>
    <row r="37">
      <c r="A37" s="270">
        <v>0.4513888888888889</v>
      </c>
      <c r="B37" s="283"/>
      <c r="C37" s="281"/>
      <c r="D37" s="281"/>
    </row>
    <row r="38">
      <c r="A38" s="270">
        <v>0.4548611111111111</v>
      </c>
      <c r="B38" s="283"/>
      <c r="C38" s="281"/>
      <c r="D38" s="281"/>
    </row>
    <row r="39">
      <c r="B39" s="285"/>
    </row>
    <row r="40">
      <c r="B40" s="285"/>
    </row>
    <row r="41">
      <c r="B41" s="285"/>
    </row>
    <row r="42">
      <c r="B42" s="285"/>
    </row>
    <row r="43">
      <c r="B43" s="285"/>
    </row>
    <row r="44">
      <c r="B44" s="285"/>
    </row>
    <row r="45">
      <c r="B45" s="285"/>
    </row>
    <row r="46">
      <c r="B46" s="285"/>
    </row>
    <row r="47">
      <c r="B47" s="285"/>
    </row>
    <row r="48">
      <c r="B48" s="285"/>
    </row>
    <row r="49">
      <c r="B49" s="285"/>
    </row>
    <row r="50">
      <c r="B50" s="285"/>
    </row>
    <row r="51">
      <c r="B51" s="285"/>
    </row>
    <row r="52">
      <c r="B52" s="285"/>
    </row>
    <row r="53">
      <c r="B53" s="285"/>
    </row>
    <row r="54">
      <c r="B54" s="285"/>
    </row>
    <row r="55">
      <c r="B55" s="285"/>
    </row>
    <row r="56">
      <c r="B56" s="285"/>
    </row>
    <row r="57">
      <c r="B57" s="285"/>
    </row>
    <row r="58">
      <c r="B58" s="285"/>
    </row>
    <row r="59">
      <c r="B59" s="285"/>
    </row>
    <row r="60">
      <c r="B60" s="285"/>
    </row>
    <row r="61">
      <c r="B61" s="285"/>
    </row>
    <row r="62">
      <c r="B62" s="285"/>
    </row>
    <row r="63">
      <c r="B63" s="285"/>
    </row>
    <row r="64">
      <c r="B64" s="285"/>
    </row>
    <row r="65">
      <c r="B65" s="285"/>
    </row>
    <row r="66">
      <c r="B66" s="285"/>
    </row>
    <row r="67">
      <c r="B67" s="285"/>
    </row>
    <row r="68">
      <c r="B68" s="285"/>
    </row>
    <row r="69">
      <c r="B69" s="285"/>
    </row>
    <row r="70">
      <c r="B70" s="285"/>
    </row>
    <row r="71">
      <c r="B71" s="285"/>
    </row>
    <row r="72">
      <c r="B72" s="285"/>
    </row>
    <row r="73">
      <c r="B73" s="285"/>
    </row>
    <row r="74">
      <c r="B74" s="285"/>
    </row>
    <row r="75">
      <c r="B75" s="285"/>
    </row>
    <row r="76">
      <c r="B76" s="285"/>
    </row>
    <row r="77">
      <c r="B77" s="285"/>
    </row>
    <row r="78">
      <c r="B78" s="285"/>
    </row>
    <row r="79">
      <c r="B79" s="285"/>
    </row>
    <row r="80">
      <c r="B80" s="285"/>
    </row>
    <row r="81">
      <c r="B81" s="285"/>
    </row>
    <row r="82">
      <c r="B82" s="285"/>
    </row>
    <row r="83">
      <c r="B83" s="285"/>
    </row>
    <row r="84">
      <c r="B84" s="285"/>
    </row>
    <row r="85">
      <c r="B85" s="285"/>
    </row>
    <row r="86">
      <c r="B86" s="285"/>
    </row>
    <row r="87">
      <c r="B87" s="285"/>
    </row>
    <row r="88">
      <c r="B88" s="285"/>
    </row>
    <row r="89">
      <c r="B89" s="285"/>
    </row>
    <row r="90">
      <c r="B90" s="285"/>
    </row>
    <row r="91">
      <c r="B91" s="285"/>
    </row>
    <row r="92">
      <c r="B92" s="285"/>
    </row>
    <row r="93">
      <c r="B93" s="285"/>
    </row>
    <row r="94">
      <c r="B94" s="285"/>
    </row>
    <row r="95">
      <c r="B95" s="285"/>
    </row>
    <row r="96">
      <c r="B96" s="285"/>
    </row>
    <row r="97">
      <c r="B97" s="285"/>
    </row>
    <row r="98">
      <c r="B98" s="285"/>
    </row>
    <row r="99">
      <c r="B99" s="285"/>
    </row>
    <row r="100">
      <c r="B100" s="285"/>
    </row>
    <row r="101">
      <c r="B101" s="285"/>
    </row>
    <row r="102">
      <c r="B102" s="285"/>
    </row>
    <row r="103">
      <c r="B103" s="285"/>
    </row>
    <row r="104">
      <c r="B104" s="285"/>
    </row>
    <row r="105">
      <c r="B105" s="285"/>
    </row>
    <row r="106">
      <c r="B106" s="285"/>
    </row>
    <row r="107">
      <c r="B107" s="285"/>
    </row>
    <row r="108">
      <c r="B108" s="285"/>
    </row>
    <row r="109">
      <c r="B109" s="285"/>
    </row>
    <row r="110">
      <c r="B110" s="285"/>
    </row>
    <row r="111">
      <c r="B111" s="285"/>
    </row>
    <row r="112">
      <c r="B112" s="285"/>
    </row>
    <row r="113">
      <c r="B113" s="285"/>
    </row>
    <row r="114">
      <c r="B114" s="285"/>
    </row>
    <row r="115">
      <c r="B115" s="285"/>
    </row>
    <row r="116">
      <c r="B116" s="285"/>
    </row>
    <row r="117">
      <c r="B117" s="285"/>
    </row>
    <row r="118">
      <c r="B118" s="285"/>
    </row>
    <row r="119">
      <c r="B119" s="285"/>
    </row>
    <row r="120">
      <c r="B120" s="285"/>
    </row>
    <row r="121">
      <c r="B121" s="285"/>
    </row>
    <row r="122">
      <c r="B122" s="285"/>
    </row>
    <row r="123">
      <c r="B123" s="285"/>
    </row>
    <row r="124">
      <c r="B124" s="285"/>
    </row>
    <row r="125">
      <c r="B125" s="285"/>
    </row>
    <row r="126">
      <c r="B126" s="285"/>
    </row>
    <row r="127">
      <c r="B127" s="285"/>
    </row>
    <row r="128">
      <c r="B128" s="285"/>
    </row>
    <row r="129">
      <c r="B129" s="285"/>
    </row>
    <row r="130">
      <c r="B130" s="285"/>
    </row>
    <row r="131">
      <c r="B131" s="285"/>
    </row>
    <row r="132">
      <c r="B132" s="285"/>
    </row>
    <row r="133">
      <c r="B133" s="285"/>
    </row>
    <row r="134">
      <c r="B134" s="285"/>
    </row>
    <row r="135">
      <c r="B135" s="285"/>
    </row>
    <row r="136">
      <c r="B136" s="285"/>
    </row>
    <row r="137">
      <c r="B137" s="285"/>
    </row>
    <row r="138">
      <c r="B138" s="285"/>
    </row>
    <row r="139">
      <c r="B139" s="285"/>
    </row>
    <row r="140">
      <c r="B140" s="285"/>
    </row>
    <row r="141">
      <c r="B141" s="285"/>
    </row>
    <row r="142">
      <c r="B142" s="285"/>
    </row>
    <row r="143">
      <c r="B143" s="285"/>
    </row>
    <row r="144">
      <c r="B144" s="285"/>
    </row>
    <row r="145">
      <c r="B145" s="285"/>
    </row>
    <row r="146">
      <c r="B146" s="285"/>
    </row>
    <row r="147">
      <c r="B147" s="285"/>
    </row>
    <row r="148">
      <c r="B148" s="285"/>
    </row>
    <row r="149">
      <c r="B149" s="285"/>
    </row>
    <row r="150">
      <c r="B150" s="285"/>
    </row>
    <row r="151">
      <c r="B151" s="285"/>
    </row>
    <row r="152">
      <c r="B152" s="285"/>
    </row>
    <row r="153">
      <c r="B153" s="285"/>
    </row>
    <row r="154">
      <c r="B154" s="285"/>
    </row>
    <row r="155">
      <c r="B155" s="285"/>
    </row>
    <row r="156">
      <c r="B156" s="285"/>
    </row>
    <row r="157">
      <c r="B157" s="285"/>
    </row>
    <row r="158">
      <c r="B158" s="285"/>
    </row>
    <row r="159">
      <c r="B159" s="285"/>
    </row>
    <row r="160">
      <c r="B160" s="285"/>
    </row>
    <row r="161">
      <c r="B161" s="285"/>
    </row>
    <row r="162">
      <c r="B162" s="285"/>
    </row>
    <row r="163">
      <c r="B163" s="285"/>
    </row>
    <row r="164">
      <c r="B164" s="285"/>
    </row>
    <row r="165">
      <c r="B165" s="285"/>
    </row>
    <row r="166">
      <c r="B166" s="285"/>
    </row>
    <row r="167">
      <c r="B167" s="285"/>
    </row>
    <row r="168">
      <c r="B168" s="285"/>
    </row>
    <row r="169">
      <c r="B169" s="285"/>
    </row>
    <row r="170">
      <c r="B170" s="285"/>
    </row>
    <row r="171">
      <c r="B171" s="285"/>
    </row>
    <row r="172">
      <c r="B172" s="285"/>
    </row>
    <row r="173">
      <c r="B173" s="285"/>
    </row>
    <row r="174">
      <c r="B174" s="285"/>
    </row>
    <row r="175">
      <c r="B175" s="285"/>
    </row>
    <row r="176">
      <c r="B176" s="285"/>
    </row>
    <row r="177">
      <c r="B177" s="285"/>
    </row>
    <row r="178">
      <c r="B178" s="285"/>
    </row>
    <row r="179">
      <c r="B179" s="285"/>
    </row>
    <row r="180">
      <c r="B180" s="285"/>
    </row>
    <row r="181">
      <c r="B181" s="285"/>
    </row>
    <row r="182">
      <c r="B182" s="285"/>
    </row>
    <row r="183">
      <c r="B183" s="285"/>
    </row>
    <row r="184">
      <c r="B184" s="285"/>
    </row>
    <row r="185">
      <c r="B185" s="285"/>
    </row>
    <row r="186">
      <c r="B186" s="285"/>
    </row>
    <row r="187">
      <c r="B187" s="285"/>
    </row>
    <row r="188">
      <c r="B188" s="285"/>
    </row>
    <row r="189">
      <c r="B189" s="285"/>
    </row>
    <row r="190">
      <c r="B190" s="285"/>
    </row>
    <row r="191">
      <c r="B191" s="285"/>
    </row>
    <row r="192">
      <c r="B192" s="285"/>
    </row>
    <row r="193">
      <c r="B193" s="285"/>
    </row>
    <row r="194">
      <c r="B194" s="285"/>
    </row>
    <row r="195">
      <c r="B195" s="285"/>
    </row>
    <row r="196">
      <c r="B196" s="285"/>
    </row>
    <row r="197">
      <c r="B197" s="285"/>
    </row>
    <row r="198">
      <c r="B198" s="285"/>
    </row>
    <row r="199">
      <c r="B199" s="285"/>
    </row>
    <row r="200">
      <c r="B200" s="285"/>
    </row>
    <row r="201">
      <c r="B201" s="285"/>
    </row>
    <row r="202">
      <c r="B202" s="285"/>
    </row>
    <row r="203">
      <c r="B203" s="285"/>
    </row>
    <row r="204">
      <c r="B204" s="285"/>
    </row>
    <row r="205">
      <c r="B205" s="285"/>
    </row>
    <row r="206">
      <c r="B206" s="285"/>
    </row>
    <row r="207">
      <c r="B207" s="285"/>
    </row>
    <row r="208">
      <c r="B208" s="285"/>
    </row>
    <row r="209">
      <c r="B209" s="285"/>
    </row>
    <row r="210">
      <c r="B210" s="285"/>
    </row>
    <row r="211">
      <c r="B211" s="285"/>
    </row>
    <row r="212">
      <c r="B212" s="285"/>
    </row>
    <row r="213">
      <c r="B213" s="285"/>
    </row>
    <row r="214">
      <c r="B214" s="285"/>
    </row>
    <row r="215">
      <c r="B215" s="285"/>
    </row>
    <row r="216">
      <c r="B216" s="285"/>
    </row>
    <row r="217">
      <c r="B217" s="285"/>
    </row>
    <row r="218">
      <c r="B218" s="285"/>
    </row>
    <row r="219">
      <c r="B219" s="285"/>
    </row>
    <row r="220">
      <c r="B220" s="285"/>
    </row>
    <row r="221">
      <c r="B221" s="285"/>
    </row>
    <row r="222">
      <c r="B222" s="285"/>
    </row>
    <row r="223">
      <c r="B223" s="285"/>
    </row>
    <row r="224">
      <c r="B224" s="285"/>
    </row>
    <row r="225">
      <c r="B225" s="285"/>
    </row>
    <row r="226">
      <c r="B226" s="285"/>
    </row>
    <row r="227">
      <c r="B227" s="285"/>
    </row>
    <row r="228">
      <c r="B228" s="285"/>
    </row>
    <row r="229">
      <c r="B229" s="285"/>
    </row>
    <row r="230">
      <c r="B230" s="285"/>
    </row>
    <row r="231">
      <c r="B231" s="285"/>
    </row>
    <row r="232">
      <c r="B232" s="285"/>
    </row>
    <row r="233">
      <c r="B233" s="285"/>
    </row>
    <row r="234">
      <c r="B234" s="285"/>
    </row>
    <row r="235">
      <c r="B235" s="285"/>
    </row>
    <row r="236">
      <c r="B236" s="285"/>
    </row>
    <row r="237">
      <c r="B237" s="285"/>
    </row>
    <row r="238">
      <c r="B238" s="285"/>
    </row>
    <row r="239">
      <c r="B239" s="285"/>
    </row>
    <row r="240">
      <c r="B240" s="285"/>
    </row>
    <row r="241">
      <c r="B241" s="285"/>
    </row>
    <row r="242">
      <c r="B242" s="285"/>
    </row>
    <row r="243">
      <c r="B243" s="285"/>
    </row>
    <row r="244">
      <c r="B244" s="285"/>
    </row>
    <row r="245">
      <c r="B245" s="285"/>
    </row>
    <row r="246">
      <c r="B246" s="285"/>
    </row>
    <row r="247">
      <c r="B247" s="285"/>
    </row>
    <row r="248">
      <c r="B248" s="285"/>
    </row>
    <row r="249">
      <c r="B249" s="285"/>
    </row>
    <row r="250">
      <c r="B250" s="285"/>
    </row>
    <row r="251">
      <c r="B251" s="285"/>
    </row>
    <row r="252">
      <c r="B252" s="285"/>
    </row>
    <row r="253">
      <c r="B253" s="285"/>
    </row>
    <row r="254">
      <c r="B254" s="285"/>
    </row>
    <row r="255">
      <c r="B255" s="285"/>
    </row>
    <row r="256">
      <c r="B256" s="285"/>
    </row>
    <row r="257">
      <c r="B257" s="285"/>
    </row>
    <row r="258">
      <c r="B258" s="285"/>
    </row>
    <row r="259">
      <c r="B259" s="285"/>
    </row>
    <row r="260">
      <c r="B260" s="285"/>
    </row>
    <row r="261">
      <c r="B261" s="285"/>
    </row>
    <row r="262">
      <c r="B262" s="285"/>
    </row>
    <row r="263">
      <c r="B263" s="285"/>
    </row>
    <row r="264">
      <c r="B264" s="285"/>
    </row>
    <row r="265">
      <c r="B265" s="285"/>
    </row>
    <row r="266">
      <c r="B266" s="285"/>
    </row>
    <row r="267">
      <c r="B267" s="285"/>
    </row>
    <row r="268">
      <c r="B268" s="285"/>
    </row>
    <row r="269">
      <c r="B269" s="285"/>
    </row>
    <row r="270">
      <c r="B270" s="285"/>
    </row>
    <row r="271">
      <c r="B271" s="285"/>
    </row>
    <row r="272">
      <c r="B272" s="285"/>
    </row>
    <row r="273">
      <c r="B273" s="285"/>
    </row>
    <row r="274">
      <c r="B274" s="285"/>
    </row>
    <row r="275">
      <c r="B275" s="285"/>
    </row>
    <row r="276">
      <c r="B276" s="285"/>
    </row>
    <row r="277">
      <c r="B277" s="285"/>
    </row>
    <row r="278">
      <c r="B278" s="285"/>
    </row>
    <row r="279">
      <c r="B279" s="285"/>
    </row>
    <row r="280">
      <c r="B280" s="285"/>
    </row>
    <row r="281">
      <c r="B281" s="285"/>
    </row>
    <row r="282">
      <c r="B282" s="285"/>
    </row>
    <row r="283">
      <c r="B283" s="285"/>
    </row>
    <row r="284">
      <c r="B284" s="285"/>
    </row>
    <row r="285">
      <c r="B285" s="285"/>
    </row>
    <row r="286">
      <c r="B286" s="285"/>
    </row>
    <row r="287">
      <c r="B287" s="285"/>
    </row>
    <row r="288">
      <c r="B288" s="285"/>
    </row>
    <row r="289">
      <c r="B289" s="285"/>
    </row>
    <row r="290">
      <c r="B290" s="285"/>
    </row>
    <row r="291">
      <c r="B291" s="285"/>
    </row>
    <row r="292">
      <c r="B292" s="285"/>
    </row>
    <row r="293">
      <c r="B293" s="285"/>
    </row>
    <row r="294">
      <c r="B294" s="285"/>
    </row>
    <row r="295">
      <c r="B295" s="285"/>
    </row>
    <row r="296">
      <c r="B296" s="285"/>
    </row>
    <row r="297">
      <c r="B297" s="285"/>
    </row>
    <row r="298">
      <c r="B298" s="285"/>
    </row>
    <row r="299">
      <c r="B299" s="285"/>
    </row>
    <row r="300">
      <c r="B300" s="285"/>
    </row>
    <row r="301">
      <c r="B301" s="285"/>
    </row>
    <row r="302">
      <c r="B302" s="285"/>
    </row>
    <row r="303">
      <c r="B303" s="285"/>
    </row>
    <row r="304">
      <c r="B304" s="285"/>
    </row>
    <row r="305">
      <c r="B305" s="285"/>
    </row>
    <row r="306">
      <c r="B306" s="285"/>
    </row>
    <row r="307">
      <c r="B307" s="285"/>
    </row>
    <row r="308">
      <c r="B308" s="285"/>
    </row>
    <row r="309">
      <c r="B309" s="285"/>
    </row>
    <row r="310">
      <c r="B310" s="285"/>
    </row>
    <row r="311">
      <c r="B311" s="285"/>
    </row>
    <row r="312">
      <c r="B312" s="285"/>
    </row>
    <row r="313">
      <c r="B313" s="285"/>
    </row>
    <row r="314">
      <c r="B314" s="285"/>
    </row>
    <row r="315">
      <c r="B315" s="285"/>
    </row>
    <row r="316">
      <c r="B316" s="285"/>
    </row>
    <row r="317">
      <c r="B317" s="285"/>
    </row>
    <row r="318">
      <c r="B318" s="285"/>
    </row>
    <row r="319">
      <c r="B319" s="285"/>
    </row>
    <row r="320">
      <c r="B320" s="285"/>
    </row>
    <row r="321">
      <c r="B321" s="285"/>
    </row>
    <row r="322">
      <c r="B322" s="285"/>
    </row>
    <row r="323">
      <c r="B323" s="285"/>
    </row>
    <row r="324">
      <c r="B324" s="285"/>
    </row>
    <row r="325">
      <c r="B325" s="285"/>
    </row>
    <row r="326">
      <c r="B326" s="285"/>
    </row>
    <row r="327">
      <c r="B327" s="285"/>
    </row>
    <row r="328">
      <c r="B328" s="285"/>
    </row>
    <row r="329">
      <c r="B329" s="285"/>
    </row>
    <row r="330">
      <c r="B330" s="285"/>
    </row>
    <row r="331">
      <c r="B331" s="285"/>
    </row>
    <row r="332">
      <c r="B332" s="285"/>
    </row>
    <row r="333">
      <c r="B333" s="285"/>
    </row>
    <row r="334">
      <c r="B334" s="285"/>
    </row>
    <row r="335">
      <c r="B335" s="285"/>
    </row>
    <row r="336">
      <c r="B336" s="285"/>
    </row>
    <row r="337">
      <c r="B337" s="285"/>
    </row>
    <row r="338">
      <c r="B338" s="285"/>
    </row>
    <row r="339">
      <c r="B339" s="285"/>
    </row>
    <row r="340">
      <c r="B340" s="285"/>
    </row>
    <row r="341">
      <c r="B341" s="285"/>
    </row>
    <row r="342">
      <c r="B342" s="285"/>
    </row>
    <row r="343">
      <c r="B343" s="285"/>
    </row>
    <row r="344">
      <c r="B344" s="285"/>
    </row>
    <row r="345">
      <c r="B345" s="285"/>
    </row>
    <row r="346">
      <c r="B346" s="285"/>
    </row>
    <row r="347">
      <c r="B347" s="285"/>
    </row>
    <row r="348">
      <c r="B348" s="285"/>
    </row>
    <row r="349">
      <c r="B349" s="285"/>
    </row>
    <row r="350">
      <c r="B350" s="285"/>
    </row>
    <row r="351">
      <c r="B351" s="285"/>
    </row>
    <row r="352">
      <c r="B352" s="285"/>
    </row>
    <row r="353">
      <c r="B353" s="285"/>
    </row>
    <row r="354">
      <c r="B354" s="285"/>
    </row>
    <row r="355">
      <c r="B355" s="285"/>
    </row>
    <row r="356">
      <c r="B356" s="285"/>
    </row>
    <row r="357">
      <c r="B357" s="285"/>
    </row>
    <row r="358">
      <c r="B358" s="285"/>
    </row>
    <row r="359">
      <c r="B359" s="285"/>
    </row>
    <row r="360">
      <c r="B360" s="285"/>
    </row>
    <row r="361">
      <c r="B361" s="285"/>
    </row>
    <row r="362">
      <c r="B362" s="285"/>
    </row>
    <row r="363">
      <c r="B363" s="285"/>
    </row>
    <row r="364">
      <c r="B364" s="285"/>
    </row>
    <row r="365">
      <c r="B365" s="285"/>
    </row>
    <row r="366">
      <c r="B366" s="285"/>
    </row>
    <row r="367">
      <c r="B367" s="285"/>
    </row>
    <row r="368">
      <c r="B368" s="285"/>
    </row>
    <row r="369">
      <c r="B369" s="285"/>
    </row>
    <row r="370">
      <c r="B370" s="285"/>
    </row>
    <row r="371">
      <c r="B371" s="285"/>
    </row>
    <row r="372">
      <c r="B372" s="285"/>
    </row>
    <row r="373">
      <c r="B373" s="285"/>
    </row>
    <row r="374">
      <c r="B374" s="285"/>
    </row>
    <row r="375">
      <c r="B375" s="285"/>
    </row>
    <row r="376">
      <c r="B376" s="285"/>
    </row>
    <row r="377">
      <c r="B377" s="285"/>
    </row>
    <row r="378">
      <c r="B378" s="285"/>
    </row>
    <row r="379">
      <c r="B379" s="285"/>
    </row>
    <row r="380">
      <c r="B380" s="285"/>
    </row>
    <row r="381">
      <c r="B381" s="285"/>
    </row>
    <row r="382">
      <c r="B382" s="285"/>
    </row>
    <row r="383">
      <c r="B383" s="285"/>
    </row>
    <row r="384">
      <c r="B384" s="285"/>
    </row>
    <row r="385">
      <c r="B385" s="285"/>
    </row>
    <row r="386">
      <c r="B386" s="285"/>
    </row>
    <row r="387">
      <c r="B387" s="285"/>
    </row>
    <row r="388">
      <c r="B388" s="285"/>
    </row>
    <row r="389">
      <c r="B389" s="285"/>
    </row>
    <row r="390">
      <c r="B390" s="285"/>
    </row>
    <row r="391">
      <c r="B391" s="285"/>
    </row>
    <row r="392">
      <c r="B392" s="285"/>
    </row>
    <row r="393">
      <c r="B393" s="285"/>
    </row>
    <row r="394">
      <c r="B394" s="285"/>
    </row>
    <row r="395">
      <c r="B395" s="285"/>
    </row>
    <row r="396">
      <c r="B396" s="285"/>
    </row>
    <row r="397">
      <c r="B397" s="285"/>
    </row>
    <row r="398">
      <c r="B398" s="285"/>
    </row>
    <row r="399">
      <c r="B399" s="285"/>
    </row>
    <row r="400">
      <c r="B400" s="285"/>
    </row>
    <row r="401">
      <c r="B401" s="285"/>
    </row>
    <row r="402">
      <c r="B402" s="285"/>
    </row>
    <row r="403">
      <c r="B403" s="285"/>
    </row>
    <row r="404">
      <c r="B404" s="285"/>
    </row>
    <row r="405">
      <c r="B405" s="285"/>
    </row>
    <row r="406">
      <c r="B406" s="285"/>
    </row>
    <row r="407">
      <c r="B407" s="285"/>
    </row>
    <row r="408">
      <c r="B408" s="285"/>
    </row>
    <row r="409">
      <c r="B409" s="285"/>
    </row>
    <row r="410">
      <c r="B410" s="285"/>
    </row>
    <row r="411">
      <c r="B411" s="285"/>
    </row>
    <row r="412">
      <c r="B412" s="285"/>
    </row>
    <row r="413">
      <c r="B413" s="285"/>
    </row>
    <row r="414">
      <c r="B414" s="285"/>
    </row>
    <row r="415">
      <c r="B415" s="285"/>
    </row>
    <row r="416">
      <c r="B416" s="285"/>
    </row>
    <row r="417">
      <c r="B417" s="285"/>
    </row>
    <row r="418">
      <c r="B418" s="285"/>
    </row>
    <row r="419">
      <c r="B419" s="285"/>
    </row>
    <row r="420">
      <c r="B420" s="285"/>
    </row>
    <row r="421">
      <c r="B421" s="285"/>
    </row>
    <row r="422">
      <c r="B422" s="285"/>
    </row>
    <row r="423">
      <c r="B423" s="285"/>
    </row>
    <row r="424">
      <c r="B424" s="285"/>
    </row>
    <row r="425">
      <c r="B425" s="285"/>
    </row>
    <row r="426">
      <c r="B426" s="285"/>
    </row>
    <row r="427">
      <c r="B427" s="285"/>
    </row>
    <row r="428">
      <c r="B428" s="285"/>
    </row>
    <row r="429">
      <c r="B429" s="285"/>
    </row>
    <row r="430">
      <c r="B430" s="285"/>
    </row>
    <row r="431">
      <c r="B431" s="285"/>
    </row>
    <row r="432">
      <c r="B432" s="285"/>
    </row>
    <row r="433">
      <c r="B433" s="285"/>
    </row>
    <row r="434">
      <c r="B434" s="285"/>
    </row>
    <row r="435">
      <c r="B435" s="285"/>
    </row>
    <row r="436">
      <c r="B436" s="285"/>
    </row>
    <row r="437">
      <c r="B437" s="285"/>
    </row>
    <row r="438">
      <c r="B438" s="285"/>
    </row>
    <row r="439">
      <c r="B439" s="285"/>
    </row>
    <row r="440">
      <c r="B440" s="285"/>
    </row>
    <row r="441">
      <c r="B441" s="285"/>
    </row>
    <row r="442">
      <c r="B442" s="285"/>
    </row>
    <row r="443">
      <c r="B443" s="285"/>
    </row>
    <row r="444">
      <c r="B444" s="285"/>
    </row>
    <row r="445">
      <c r="B445" s="285"/>
    </row>
    <row r="446">
      <c r="B446" s="285"/>
    </row>
    <row r="447">
      <c r="B447" s="285"/>
    </row>
    <row r="448">
      <c r="B448" s="285"/>
    </row>
    <row r="449">
      <c r="B449" s="285"/>
    </row>
    <row r="450">
      <c r="B450" s="285"/>
    </row>
    <row r="451">
      <c r="B451" s="285"/>
    </row>
    <row r="452">
      <c r="B452" s="285"/>
    </row>
    <row r="453">
      <c r="B453" s="285"/>
    </row>
    <row r="454">
      <c r="B454" s="285"/>
    </row>
    <row r="455">
      <c r="B455" s="285"/>
    </row>
    <row r="456">
      <c r="B456" s="285"/>
    </row>
    <row r="457">
      <c r="B457" s="285"/>
    </row>
    <row r="458">
      <c r="B458" s="285"/>
    </row>
    <row r="459">
      <c r="B459" s="285"/>
    </row>
    <row r="460">
      <c r="B460" s="285"/>
    </row>
    <row r="461">
      <c r="B461" s="285"/>
    </row>
    <row r="462">
      <c r="B462" s="285"/>
    </row>
    <row r="463">
      <c r="B463" s="285"/>
    </row>
    <row r="464">
      <c r="B464" s="285"/>
    </row>
    <row r="465">
      <c r="B465" s="285"/>
    </row>
    <row r="466">
      <c r="B466" s="285"/>
    </row>
    <row r="467">
      <c r="B467" s="285"/>
    </row>
    <row r="468">
      <c r="B468" s="285"/>
    </row>
    <row r="469">
      <c r="B469" s="285"/>
    </row>
    <row r="470">
      <c r="B470" s="285"/>
    </row>
    <row r="471">
      <c r="B471" s="285"/>
    </row>
    <row r="472">
      <c r="B472" s="285"/>
    </row>
    <row r="473">
      <c r="B473" s="285"/>
    </row>
    <row r="474">
      <c r="B474" s="285"/>
    </row>
    <row r="475">
      <c r="B475" s="285"/>
    </row>
    <row r="476">
      <c r="B476" s="285"/>
    </row>
    <row r="477">
      <c r="B477" s="285"/>
    </row>
    <row r="478">
      <c r="B478" s="285"/>
    </row>
    <row r="479">
      <c r="B479" s="285"/>
    </row>
    <row r="480">
      <c r="B480" s="285"/>
    </row>
    <row r="481">
      <c r="B481" s="285"/>
    </row>
    <row r="482">
      <c r="B482" s="285"/>
    </row>
    <row r="483">
      <c r="B483" s="285"/>
    </row>
    <row r="484">
      <c r="B484" s="285"/>
    </row>
    <row r="485">
      <c r="B485" s="285"/>
    </row>
    <row r="486">
      <c r="B486" s="285"/>
    </row>
    <row r="487">
      <c r="B487" s="285"/>
    </row>
    <row r="488">
      <c r="B488" s="285"/>
    </row>
    <row r="489">
      <c r="B489" s="285"/>
    </row>
    <row r="490">
      <c r="B490" s="285"/>
    </row>
    <row r="491">
      <c r="B491" s="285"/>
    </row>
    <row r="492">
      <c r="B492" s="285"/>
    </row>
    <row r="493">
      <c r="B493" s="285"/>
    </row>
    <row r="494">
      <c r="B494" s="285"/>
    </row>
    <row r="495">
      <c r="B495" s="285"/>
    </row>
    <row r="496">
      <c r="B496" s="285"/>
    </row>
    <row r="497">
      <c r="B497" s="285"/>
    </row>
    <row r="498">
      <c r="B498" s="285"/>
    </row>
    <row r="499">
      <c r="B499" s="285"/>
    </row>
    <row r="500">
      <c r="B500" s="285"/>
    </row>
    <row r="501">
      <c r="B501" s="285"/>
    </row>
    <row r="502">
      <c r="B502" s="285"/>
    </row>
    <row r="503">
      <c r="B503" s="285"/>
    </row>
    <row r="504">
      <c r="B504" s="285"/>
    </row>
    <row r="505">
      <c r="B505" s="285"/>
    </row>
    <row r="506">
      <c r="B506" s="285"/>
    </row>
    <row r="507">
      <c r="B507" s="285"/>
    </row>
    <row r="508">
      <c r="B508" s="285"/>
    </row>
    <row r="509">
      <c r="B509" s="285"/>
    </row>
    <row r="510">
      <c r="B510" s="285"/>
    </row>
    <row r="511">
      <c r="B511" s="285"/>
    </row>
    <row r="512">
      <c r="B512" s="285"/>
    </row>
    <row r="513">
      <c r="B513" s="285"/>
    </row>
    <row r="514">
      <c r="B514" s="285"/>
    </row>
    <row r="515">
      <c r="B515" s="285"/>
    </row>
    <row r="516">
      <c r="B516" s="285"/>
    </row>
    <row r="517">
      <c r="B517" s="285"/>
    </row>
    <row r="518">
      <c r="B518" s="285"/>
    </row>
    <row r="519">
      <c r="B519" s="285"/>
    </row>
    <row r="520">
      <c r="B520" s="285"/>
    </row>
    <row r="521">
      <c r="B521" s="285"/>
    </row>
    <row r="522">
      <c r="B522" s="285"/>
    </row>
    <row r="523">
      <c r="B523" s="285"/>
    </row>
    <row r="524">
      <c r="B524" s="285"/>
    </row>
    <row r="525">
      <c r="B525" s="285"/>
    </row>
    <row r="526">
      <c r="B526" s="285"/>
    </row>
    <row r="527">
      <c r="B527" s="285"/>
    </row>
    <row r="528">
      <c r="B528" s="285"/>
    </row>
    <row r="529">
      <c r="B529" s="285"/>
    </row>
    <row r="530">
      <c r="B530" s="285"/>
    </row>
    <row r="531">
      <c r="B531" s="285"/>
    </row>
    <row r="532">
      <c r="B532" s="285"/>
    </row>
    <row r="533">
      <c r="B533" s="285"/>
    </row>
    <row r="534">
      <c r="B534" s="285"/>
    </row>
    <row r="535">
      <c r="B535" s="285"/>
    </row>
    <row r="536">
      <c r="B536" s="285"/>
    </row>
    <row r="537">
      <c r="B537" s="285"/>
    </row>
    <row r="538">
      <c r="B538" s="285"/>
    </row>
    <row r="539">
      <c r="B539" s="285"/>
    </row>
    <row r="540">
      <c r="B540" s="285"/>
    </row>
    <row r="541">
      <c r="B541" s="285"/>
    </row>
    <row r="542">
      <c r="B542" s="285"/>
    </row>
    <row r="543">
      <c r="B543" s="285"/>
    </row>
    <row r="544">
      <c r="B544" s="285"/>
    </row>
    <row r="545">
      <c r="B545" s="285"/>
    </row>
    <row r="546">
      <c r="B546" s="285"/>
    </row>
    <row r="547">
      <c r="B547" s="285"/>
    </row>
    <row r="548">
      <c r="B548" s="285"/>
    </row>
    <row r="549">
      <c r="B549" s="285"/>
    </row>
    <row r="550">
      <c r="B550" s="285"/>
    </row>
    <row r="551">
      <c r="B551" s="285"/>
    </row>
    <row r="552">
      <c r="B552" s="285"/>
    </row>
    <row r="553">
      <c r="B553" s="285"/>
    </row>
    <row r="554">
      <c r="B554" s="285"/>
    </row>
    <row r="555">
      <c r="B555" s="285"/>
    </row>
    <row r="556">
      <c r="B556" s="285"/>
    </row>
    <row r="557">
      <c r="B557" s="285"/>
    </row>
    <row r="558">
      <c r="B558" s="285"/>
    </row>
    <row r="559">
      <c r="B559" s="285"/>
    </row>
    <row r="560">
      <c r="B560" s="285"/>
    </row>
    <row r="561">
      <c r="B561" s="285"/>
    </row>
    <row r="562">
      <c r="B562" s="285"/>
    </row>
    <row r="563">
      <c r="B563" s="285"/>
    </row>
    <row r="564">
      <c r="B564" s="285"/>
    </row>
    <row r="565">
      <c r="B565" s="285"/>
    </row>
    <row r="566">
      <c r="B566" s="285"/>
    </row>
    <row r="567">
      <c r="B567" s="285"/>
    </row>
    <row r="568">
      <c r="B568" s="285"/>
    </row>
    <row r="569">
      <c r="B569" s="285"/>
    </row>
    <row r="570">
      <c r="B570" s="285"/>
    </row>
    <row r="571">
      <c r="B571" s="285"/>
    </row>
    <row r="572">
      <c r="B572" s="285"/>
    </row>
    <row r="573">
      <c r="B573" s="285"/>
    </row>
    <row r="574">
      <c r="B574" s="285"/>
    </row>
    <row r="575">
      <c r="B575" s="285"/>
    </row>
    <row r="576">
      <c r="B576" s="285"/>
    </row>
    <row r="577">
      <c r="B577" s="285"/>
    </row>
    <row r="578">
      <c r="B578" s="285"/>
    </row>
    <row r="579">
      <c r="B579" s="285"/>
    </row>
    <row r="580">
      <c r="B580" s="285"/>
    </row>
    <row r="581">
      <c r="B581" s="285"/>
    </row>
    <row r="582">
      <c r="B582" s="285"/>
    </row>
    <row r="583">
      <c r="B583" s="285"/>
    </row>
    <row r="584">
      <c r="B584" s="285"/>
    </row>
    <row r="585">
      <c r="B585" s="285"/>
    </row>
    <row r="586">
      <c r="B586" s="285"/>
    </row>
    <row r="587">
      <c r="B587" s="285"/>
    </row>
    <row r="588">
      <c r="B588" s="285"/>
    </row>
    <row r="589">
      <c r="B589" s="285"/>
    </row>
    <row r="590">
      <c r="B590" s="285"/>
    </row>
    <row r="591">
      <c r="B591" s="285"/>
    </row>
    <row r="592">
      <c r="B592" s="285"/>
    </row>
    <row r="593">
      <c r="B593" s="285"/>
    </row>
    <row r="594">
      <c r="B594" s="285"/>
    </row>
    <row r="595">
      <c r="B595" s="285"/>
    </row>
    <row r="596">
      <c r="B596" s="285"/>
    </row>
    <row r="597">
      <c r="B597" s="285"/>
    </row>
    <row r="598">
      <c r="B598" s="285"/>
    </row>
    <row r="599">
      <c r="B599" s="285"/>
    </row>
    <row r="600">
      <c r="B600" s="285"/>
    </row>
    <row r="601">
      <c r="B601" s="285"/>
    </row>
    <row r="602">
      <c r="B602" s="285"/>
    </row>
    <row r="603">
      <c r="B603" s="285"/>
    </row>
    <row r="604">
      <c r="B604" s="285"/>
    </row>
    <row r="605">
      <c r="B605" s="285"/>
    </row>
    <row r="606">
      <c r="B606" s="285"/>
    </row>
    <row r="607">
      <c r="B607" s="285"/>
    </row>
    <row r="608">
      <c r="B608" s="285"/>
    </row>
    <row r="609">
      <c r="B609" s="285"/>
    </row>
    <row r="610">
      <c r="B610" s="285"/>
    </row>
    <row r="611">
      <c r="B611" s="285"/>
    </row>
    <row r="612">
      <c r="B612" s="285"/>
    </row>
    <row r="613">
      <c r="B613" s="285"/>
    </row>
    <row r="614">
      <c r="B614" s="285"/>
    </row>
    <row r="615">
      <c r="B615" s="285"/>
    </row>
    <row r="616">
      <c r="B616" s="285"/>
    </row>
    <row r="617">
      <c r="B617" s="285"/>
    </row>
    <row r="618">
      <c r="B618" s="285"/>
    </row>
    <row r="619">
      <c r="B619" s="285"/>
    </row>
    <row r="620">
      <c r="B620" s="285"/>
    </row>
    <row r="621">
      <c r="B621" s="285"/>
    </row>
    <row r="622">
      <c r="B622" s="285"/>
    </row>
    <row r="623">
      <c r="B623" s="285"/>
    </row>
    <row r="624">
      <c r="B624" s="285"/>
    </row>
    <row r="625">
      <c r="B625" s="285"/>
    </row>
    <row r="626">
      <c r="B626" s="285"/>
    </row>
    <row r="627">
      <c r="B627" s="285"/>
    </row>
    <row r="628">
      <c r="B628" s="285"/>
    </row>
    <row r="629">
      <c r="B629" s="285"/>
    </row>
    <row r="630">
      <c r="B630" s="285"/>
    </row>
    <row r="631">
      <c r="B631" s="285"/>
    </row>
    <row r="632">
      <c r="B632" s="285"/>
    </row>
    <row r="633">
      <c r="B633" s="285"/>
    </row>
    <row r="634">
      <c r="B634" s="285"/>
    </row>
    <row r="635">
      <c r="B635" s="285"/>
    </row>
    <row r="636">
      <c r="B636" s="285"/>
    </row>
    <row r="637">
      <c r="B637" s="285"/>
    </row>
    <row r="638">
      <c r="B638" s="285"/>
    </row>
    <row r="639">
      <c r="B639" s="285"/>
    </row>
    <row r="640">
      <c r="B640" s="285"/>
    </row>
    <row r="641">
      <c r="B641" s="285"/>
    </row>
    <row r="642">
      <c r="B642" s="285"/>
    </row>
    <row r="643">
      <c r="B643" s="285"/>
    </row>
    <row r="644">
      <c r="B644" s="285"/>
    </row>
    <row r="645">
      <c r="B645" s="285"/>
    </row>
    <row r="646">
      <c r="B646" s="285"/>
    </row>
    <row r="647">
      <c r="B647" s="285"/>
    </row>
    <row r="648">
      <c r="B648" s="285"/>
    </row>
    <row r="649">
      <c r="B649" s="285"/>
    </row>
    <row r="650">
      <c r="B650" s="285"/>
    </row>
    <row r="651">
      <c r="B651" s="285"/>
    </row>
    <row r="652">
      <c r="B652" s="285"/>
    </row>
    <row r="653">
      <c r="B653" s="285"/>
    </row>
    <row r="654">
      <c r="B654" s="285"/>
    </row>
    <row r="655">
      <c r="B655" s="285"/>
    </row>
    <row r="656">
      <c r="B656" s="285"/>
    </row>
    <row r="657">
      <c r="B657" s="285"/>
    </row>
    <row r="658">
      <c r="B658" s="285"/>
    </row>
    <row r="659">
      <c r="B659" s="285"/>
    </row>
    <row r="660">
      <c r="B660" s="285"/>
    </row>
    <row r="661">
      <c r="B661" s="285"/>
    </row>
    <row r="662">
      <c r="B662" s="285"/>
    </row>
    <row r="663">
      <c r="B663" s="285"/>
    </row>
    <row r="664">
      <c r="B664" s="285"/>
    </row>
    <row r="665">
      <c r="B665" s="285"/>
    </row>
    <row r="666">
      <c r="B666" s="285"/>
    </row>
    <row r="667">
      <c r="B667" s="285"/>
    </row>
    <row r="668">
      <c r="B668" s="285"/>
    </row>
    <row r="669">
      <c r="B669" s="285"/>
    </row>
    <row r="670">
      <c r="B670" s="285"/>
    </row>
    <row r="671">
      <c r="B671" s="285"/>
    </row>
    <row r="672">
      <c r="B672" s="285"/>
    </row>
    <row r="673">
      <c r="B673" s="285"/>
    </row>
    <row r="674">
      <c r="B674" s="285"/>
    </row>
    <row r="675">
      <c r="B675" s="285"/>
    </row>
    <row r="676">
      <c r="B676" s="285"/>
    </row>
    <row r="677">
      <c r="B677" s="285"/>
    </row>
    <row r="678">
      <c r="B678" s="285"/>
    </row>
    <row r="679">
      <c r="B679" s="285"/>
    </row>
    <row r="680">
      <c r="B680" s="285"/>
    </row>
    <row r="681">
      <c r="B681" s="285"/>
    </row>
    <row r="682">
      <c r="B682" s="285"/>
    </row>
    <row r="683">
      <c r="B683" s="285"/>
    </row>
    <row r="684">
      <c r="B684" s="285"/>
    </row>
    <row r="685">
      <c r="B685" s="285"/>
    </row>
    <row r="686">
      <c r="B686" s="285"/>
    </row>
    <row r="687">
      <c r="B687" s="285"/>
    </row>
    <row r="688">
      <c r="B688" s="285"/>
    </row>
    <row r="689">
      <c r="B689" s="285"/>
    </row>
    <row r="690">
      <c r="B690" s="285"/>
    </row>
    <row r="691">
      <c r="B691" s="285"/>
    </row>
    <row r="692">
      <c r="B692" s="285"/>
    </row>
    <row r="693">
      <c r="B693" s="285"/>
    </row>
    <row r="694">
      <c r="B694" s="285"/>
    </row>
    <row r="695">
      <c r="B695" s="285"/>
    </row>
    <row r="696">
      <c r="B696" s="285"/>
    </row>
    <row r="697">
      <c r="B697" s="285"/>
    </row>
    <row r="698">
      <c r="B698" s="285"/>
    </row>
    <row r="699">
      <c r="B699" s="285"/>
    </row>
    <row r="700">
      <c r="B700" s="285"/>
    </row>
    <row r="701">
      <c r="B701" s="285"/>
    </row>
    <row r="702">
      <c r="B702" s="285"/>
    </row>
    <row r="703">
      <c r="B703" s="285"/>
    </row>
    <row r="704">
      <c r="B704" s="285"/>
    </row>
    <row r="705">
      <c r="B705" s="285"/>
    </row>
    <row r="706">
      <c r="B706" s="285"/>
    </row>
    <row r="707">
      <c r="B707" s="285"/>
    </row>
    <row r="708">
      <c r="B708" s="285"/>
    </row>
    <row r="709">
      <c r="B709" s="285"/>
    </row>
    <row r="710">
      <c r="B710" s="285"/>
    </row>
    <row r="711">
      <c r="B711" s="285"/>
    </row>
    <row r="712">
      <c r="B712" s="285"/>
    </row>
    <row r="713">
      <c r="B713" s="285"/>
    </row>
    <row r="714">
      <c r="B714" s="285"/>
    </row>
    <row r="715">
      <c r="B715" s="285"/>
    </row>
    <row r="716">
      <c r="B716" s="285"/>
    </row>
    <row r="717">
      <c r="B717" s="285"/>
    </row>
    <row r="718">
      <c r="B718" s="285"/>
    </row>
    <row r="719">
      <c r="B719" s="285"/>
    </row>
    <row r="720">
      <c r="B720" s="285"/>
    </row>
    <row r="721">
      <c r="B721" s="285"/>
    </row>
    <row r="722">
      <c r="B722" s="285"/>
    </row>
    <row r="723">
      <c r="B723" s="285"/>
    </row>
    <row r="724">
      <c r="B724" s="285"/>
    </row>
    <row r="725">
      <c r="B725" s="285"/>
    </row>
    <row r="726">
      <c r="B726" s="285"/>
    </row>
    <row r="727">
      <c r="B727" s="285"/>
    </row>
    <row r="728">
      <c r="B728" s="285"/>
    </row>
    <row r="729">
      <c r="B729" s="285"/>
    </row>
    <row r="730">
      <c r="B730" s="285"/>
    </row>
    <row r="731">
      <c r="B731" s="285"/>
    </row>
    <row r="732">
      <c r="B732" s="285"/>
    </row>
    <row r="733">
      <c r="B733" s="285"/>
    </row>
    <row r="734">
      <c r="B734" s="285"/>
    </row>
    <row r="735">
      <c r="B735" s="285"/>
    </row>
    <row r="736">
      <c r="B736" s="285"/>
    </row>
    <row r="737">
      <c r="B737" s="285"/>
    </row>
    <row r="738">
      <c r="B738" s="285"/>
    </row>
    <row r="739">
      <c r="B739" s="285"/>
    </row>
    <row r="740">
      <c r="B740" s="285"/>
    </row>
    <row r="741">
      <c r="B741" s="285"/>
    </row>
    <row r="742">
      <c r="B742" s="285"/>
    </row>
    <row r="743">
      <c r="B743" s="285"/>
    </row>
    <row r="744">
      <c r="B744" s="285"/>
    </row>
    <row r="745">
      <c r="B745" s="285"/>
    </row>
    <row r="746">
      <c r="B746" s="285"/>
    </row>
    <row r="747">
      <c r="B747" s="285"/>
    </row>
    <row r="748">
      <c r="B748" s="285"/>
    </row>
    <row r="749">
      <c r="B749" s="285"/>
    </row>
    <row r="750">
      <c r="B750" s="285"/>
    </row>
    <row r="751">
      <c r="B751" s="285"/>
    </row>
    <row r="752">
      <c r="B752" s="285"/>
    </row>
    <row r="753">
      <c r="B753" s="285"/>
    </row>
    <row r="754">
      <c r="B754" s="285"/>
    </row>
    <row r="755">
      <c r="B755" s="285"/>
    </row>
    <row r="756">
      <c r="B756" s="285"/>
    </row>
    <row r="757">
      <c r="B757" s="285"/>
    </row>
    <row r="758">
      <c r="B758" s="285"/>
    </row>
    <row r="759">
      <c r="B759" s="285"/>
    </row>
    <row r="760">
      <c r="B760" s="285"/>
    </row>
    <row r="761">
      <c r="B761" s="285"/>
    </row>
    <row r="762">
      <c r="B762" s="285"/>
    </row>
    <row r="763">
      <c r="B763" s="285"/>
    </row>
    <row r="764">
      <c r="B764" s="285"/>
    </row>
    <row r="765">
      <c r="B765" s="285"/>
    </row>
    <row r="766">
      <c r="B766" s="285"/>
    </row>
    <row r="767">
      <c r="B767" s="285"/>
    </row>
    <row r="768">
      <c r="B768" s="285"/>
    </row>
    <row r="769">
      <c r="B769" s="285"/>
    </row>
    <row r="770">
      <c r="B770" s="285"/>
    </row>
    <row r="771">
      <c r="B771" s="285"/>
    </row>
    <row r="772">
      <c r="B772" s="285"/>
    </row>
    <row r="773">
      <c r="B773" s="285"/>
    </row>
    <row r="774">
      <c r="B774" s="285"/>
    </row>
    <row r="775">
      <c r="B775" s="285"/>
    </row>
    <row r="776">
      <c r="B776" s="285"/>
    </row>
    <row r="777">
      <c r="B777" s="285"/>
    </row>
    <row r="778">
      <c r="B778" s="285"/>
    </row>
    <row r="779">
      <c r="B779" s="285"/>
    </row>
    <row r="780">
      <c r="B780" s="285"/>
    </row>
    <row r="781">
      <c r="B781" s="285"/>
    </row>
    <row r="782">
      <c r="B782" s="285"/>
    </row>
    <row r="783">
      <c r="B783" s="285"/>
    </row>
    <row r="784">
      <c r="B784" s="285"/>
    </row>
    <row r="785">
      <c r="B785" s="285"/>
    </row>
    <row r="786">
      <c r="B786" s="285"/>
    </row>
    <row r="787">
      <c r="B787" s="285"/>
    </row>
    <row r="788">
      <c r="B788" s="285"/>
    </row>
    <row r="789">
      <c r="B789" s="285"/>
    </row>
    <row r="790">
      <c r="B790" s="285"/>
    </row>
    <row r="791">
      <c r="B791" s="285"/>
    </row>
    <row r="792">
      <c r="B792" s="285"/>
    </row>
    <row r="793">
      <c r="B793" s="285"/>
    </row>
    <row r="794">
      <c r="B794" s="285"/>
    </row>
    <row r="795">
      <c r="B795" s="285"/>
    </row>
    <row r="796">
      <c r="B796" s="285"/>
    </row>
    <row r="797">
      <c r="B797" s="285"/>
    </row>
    <row r="798">
      <c r="B798" s="285"/>
    </row>
    <row r="799">
      <c r="B799" s="285"/>
    </row>
    <row r="800">
      <c r="B800" s="285"/>
    </row>
    <row r="801">
      <c r="B801" s="285"/>
    </row>
    <row r="802">
      <c r="B802" s="285"/>
    </row>
    <row r="803">
      <c r="B803" s="285"/>
    </row>
    <row r="804">
      <c r="B804" s="285"/>
    </row>
    <row r="805">
      <c r="B805" s="285"/>
    </row>
    <row r="806">
      <c r="B806" s="285"/>
    </row>
    <row r="807">
      <c r="B807" s="285"/>
    </row>
    <row r="808">
      <c r="B808" s="285"/>
    </row>
    <row r="809">
      <c r="B809" s="285"/>
    </row>
    <row r="810">
      <c r="B810" s="285"/>
    </row>
    <row r="811">
      <c r="B811" s="285"/>
    </row>
    <row r="812">
      <c r="B812" s="285"/>
    </row>
    <row r="813">
      <c r="B813" s="285"/>
    </row>
    <row r="814">
      <c r="B814" s="285"/>
    </row>
    <row r="815">
      <c r="B815" s="285"/>
    </row>
    <row r="816">
      <c r="B816" s="285"/>
    </row>
    <row r="817">
      <c r="B817" s="285"/>
    </row>
    <row r="818">
      <c r="B818" s="285"/>
    </row>
    <row r="819">
      <c r="B819" s="285"/>
    </row>
    <row r="820">
      <c r="B820" s="285"/>
    </row>
    <row r="821">
      <c r="B821" s="285"/>
    </row>
    <row r="822">
      <c r="B822" s="285"/>
    </row>
    <row r="823">
      <c r="B823" s="285"/>
    </row>
    <row r="824">
      <c r="B824" s="285"/>
    </row>
    <row r="825">
      <c r="B825" s="285"/>
    </row>
    <row r="826">
      <c r="B826" s="285"/>
    </row>
    <row r="827">
      <c r="B827" s="285"/>
    </row>
    <row r="828">
      <c r="B828" s="285"/>
    </row>
    <row r="829">
      <c r="B829" s="285"/>
    </row>
    <row r="830">
      <c r="B830" s="285"/>
    </row>
    <row r="831">
      <c r="B831" s="285"/>
    </row>
    <row r="832">
      <c r="B832" s="285"/>
    </row>
    <row r="833">
      <c r="B833" s="285"/>
    </row>
    <row r="834">
      <c r="B834" s="285"/>
    </row>
    <row r="835">
      <c r="B835" s="285"/>
    </row>
    <row r="836">
      <c r="B836" s="285"/>
    </row>
    <row r="837">
      <c r="B837" s="285"/>
    </row>
    <row r="838">
      <c r="B838" s="285"/>
    </row>
    <row r="839">
      <c r="B839" s="285"/>
    </row>
    <row r="840">
      <c r="B840" s="285"/>
    </row>
    <row r="841">
      <c r="B841" s="285"/>
    </row>
    <row r="842">
      <c r="B842" s="285"/>
    </row>
    <row r="843">
      <c r="B843" s="285"/>
    </row>
    <row r="844">
      <c r="B844" s="285"/>
    </row>
    <row r="845">
      <c r="B845" s="285"/>
    </row>
    <row r="846">
      <c r="B846" s="285"/>
    </row>
    <row r="847">
      <c r="B847" s="285"/>
    </row>
    <row r="848">
      <c r="B848" s="285"/>
    </row>
    <row r="849">
      <c r="B849" s="285"/>
    </row>
    <row r="850">
      <c r="B850" s="285"/>
    </row>
    <row r="851">
      <c r="B851" s="285"/>
    </row>
    <row r="852">
      <c r="B852" s="285"/>
    </row>
    <row r="853">
      <c r="B853" s="285"/>
    </row>
    <row r="854">
      <c r="B854" s="285"/>
    </row>
    <row r="855">
      <c r="B855" s="285"/>
    </row>
    <row r="856">
      <c r="B856" s="285"/>
    </row>
    <row r="857">
      <c r="B857" s="285"/>
    </row>
    <row r="858">
      <c r="B858" s="285"/>
    </row>
    <row r="859">
      <c r="B859" s="285"/>
    </row>
    <row r="860">
      <c r="B860" s="285"/>
    </row>
    <row r="861">
      <c r="B861" s="285"/>
    </row>
    <row r="862">
      <c r="B862" s="285"/>
    </row>
    <row r="863">
      <c r="B863" s="285"/>
    </row>
    <row r="864">
      <c r="B864" s="285"/>
    </row>
    <row r="865">
      <c r="B865" s="285"/>
    </row>
    <row r="866">
      <c r="B866" s="285"/>
    </row>
    <row r="867">
      <c r="B867" s="285"/>
    </row>
    <row r="868">
      <c r="B868" s="285"/>
    </row>
    <row r="869">
      <c r="B869" s="285"/>
    </row>
    <row r="870">
      <c r="B870" s="285"/>
    </row>
    <row r="871">
      <c r="B871" s="285"/>
    </row>
    <row r="872">
      <c r="B872" s="285"/>
    </row>
    <row r="873">
      <c r="B873" s="285"/>
    </row>
    <row r="874">
      <c r="B874" s="285"/>
    </row>
    <row r="875">
      <c r="B875" s="285"/>
    </row>
    <row r="876">
      <c r="B876" s="285"/>
    </row>
    <row r="877">
      <c r="B877" s="285"/>
    </row>
    <row r="878">
      <c r="B878" s="285"/>
    </row>
    <row r="879">
      <c r="B879" s="285"/>
    </row>
    <row r="880">
      <c r="B880" s="285"/>
    </row>
    <row r="881">
      <c r="B881" s="285"/>
    </row>
    <row r="882">
      <c r="B882" s="285"/>
    </row>
    <row r="883">
      <c r="B883" s="285"/>
    </row>
    <row r="884">
      <c r="B884" s="285"/>
    </row>
    <row r="885">
      <c r="B885" s="285"/>
    </row>
    <row r="886">
      <c r="B886" s="285"/>
    </row>
    <row r="887">
      <c r="B887" s="285"/>
    </row>
    <row r="888">
      <c r="B888" s="285"/>
    </row>
    <row r="889">
      <c r="B889" s="285"/>
    </row>
    <row r="890">
      <c r="B890" s="285"/>
    </row>
    <row r="891">
      <c r="B891" s="285"/>
    </row>
    <row r="892">
      <c r="B892" s="285"/>
    </row>
    <row r="893">
      <c r="B893" s="285"/>
    </row>
    <row r="894">
      <c r="B894" s="285"/>
    </row>
    <row r="895">
      <c r="B895" s="285"/>
    </row>
    <row r="896">
      <c r="B896" s="285"/>
    </row>
    <row r="897">
      <c r="B897" s="285"/>
    </row>
    <row r="898">
      <c r="B898" s="285"/>
    </row>
    <row r="899">
      <c r="B899" s="285"/>
    </row>
    <row r="900">
      <c r="B900" s="285"/>
    </row>
    <row r="901">
      <c r="B901" s="285"/>
    </row>
    <row r="902">
      <c r="B902" s="285"/>
    </row>
    <row r="903">
      <c r="B903" s="285"/>
    </row>
    <row r="904">
      <c r="B904" s="285"/>
    </row>
    <row r="905">
      <c r="B905" s="285"/>
    </row>
    <row r="906">
      <c r="B906" s="285"/>
    </row>
    <row r="907">
      <c r="B907" s="285"/>
    </row>
    <row r="908">
      <c r="B908" s="285"/>
    </row>
    <row r="909">
      <c r="B909" s="285"/>
    </row>
    <row r="910">
      <c r="B910" s="285"/>
    </row>
    <row r="911">
      <c r="B911" s="285"/>
    </row>
    <row r="912">
      <c r="B912" s="285"/>
    </row>
    <row r="913">
      <c r="B913" s="285"/>
    </row>
    <row r="914">
      <c r="B914" s="285"/>
    </row>
    <row r="915">
      <c r="B915" s="285"/>
    </row>
    <row r="916">
      <c r="B916" s="285"/>
    </row>
    <row r="917">
      <c r="B917" s="285"/>
    </row>
    <row r="918">
      <c r="B918" s="285"/>
    </row>
    <row r="919">
      <c r="B919" s="285"/>
    </row>
    <row r="920">
      <c r="B920" s="285"/>
    </row>
    <row r="921">
      <c r="B921" s="285"/>
    </row>
    <row r="922">
      <c r="B922" s="285"/>
    </row>
    <row r="923">
      <c r="B923" s="285"/>
    </row>
    <row r="924">
      <c r="B924" s="285"/>
    </row>
    <row r="925">
      <c r="B925" s="285"/>
    </row>
    <row r="926">
      <c r="B926" s="285"/>
    </row>
    <row r="927">
      <c r="B927" s="285"/>
    </row>
    <row r="928">
      <c r="B928" s="285"/>
    </row>
    <row r="929">
      <c r="B929" s="285"/>
    </row>
    <row r="930">
      <c r="B930" s="285"/>
    </row>
    <row r="931">
      <c r="B931" s="285"/>
    </row>
    <row r="932">
      <c r="B932" s="285"/>
    </row>
    <row r="933">
      <c r="B933" s="285"/>
    </row>
    <row r="934">
      <c r="B934" s="285"/>
    </row>
    <row r="935">
      <c r="B935" s="285"/>
    </row>
    <row r="936">
      <c r="B936" s="285"/>
    </row>
    <row r="937">
      <c r="B937" s="285"/>
    </row>
    <row r="938">
      <c r="B938" s="285"/>
    </row>
    <row r="939">
      <c r="B939" s="285"/>
    </row>
    <row r="940">
      <c r="B940" s="285"/>
    </row>
    <row r="941">
      <c r="B941" s="285"/>
    </row>
    <row r="942">
      <c r="B942" s="285"/>
    </row>
    <row r="943">
      <c r="B943" s="285"/>
    </row>
    <row r="944">
      <c r="B944" s="285"/>
    </row>
    <row r="945">
      <c r="B945" s="285"/>
    </row>
    <row r="946">
      <c r="B946" s="285"/>
    </row>
    <row r="947">
      <c r="B947" s="285"/>
    </row>
    <row r="948">
      <c r="B948" s="285"/>
    </row>
    <row r="949">
      <c r="B949" s="285"/>
    </row>
    <row r="950">
      <c r="B950" s="285"/>
    </row>
    <row r="951">
      <c r="B951" s="285"/>
    </row>
    <row r="952">
      <c r="B952" s="285"/>
    </row>
    <row r="953">
      <c r="B953" s="285"/>
    </row>
    <row r="954">
      <c r="B954" s="285"/>
    </row>
    <row r="955">
      <c r="B955" s="285"/>
    </row>
    <row r="956">
      <c r="B956" s="285"/>
    </row>
    <row r="957">
      <c r="B957" s="285"/>
    </row>
    <row r="958">
      <c r="B958" s="285"/>
    </row>
    <row r="959">
      <c r="B959" s="285"/>
    </row>
    <row r="960">
      <c r="B960" s="285"/>
    </row>
    <row r="961">
      <c r="B961" s="285"/>
    </row>
    <row r="962">
      <c r="B962" s="285"/>
    </row>
    <row r="963">
      <c r="B963" s="285"/>
    </row>
    <row r="964">
      <c r="B964" s="285"/>
    </row>
    <row r="965">
      <c r="B965" s="285"/>
    </row>
    <row r="966">
      <c r="B966" s="285"/>
    </row>
    <row r="967">
      <c r="B967" s="285"/>
    </row>
    <row r="968">
      <c r="B968" s="285"/>
    </row>
    <row r="969">
      <c r="B969" s="285"/>
    </row>
    <row r="970">
      <c r="B970" s="285"/>
    </row>
    <row r="971">
      <c r="B971" s="285"/>
    </row>
    <row r="972">
      <c r="B972" s="285"/>
    </row>
    <row r="973">
      <c r="B973" s="285"/>
    </row>
    <row r="974">
      <c r="B974" s="285"/>
    </row>
    <row r="975">
      <c r="B975" s="285"/>
    </row>
    <row r="976">
      <c r="B976" s="285"/>
    </row>
    <row r="977">
      <c r="B977" s="285"/>
    </row>
    <row r="978">
      <c r="B978" s="285"/>
    </row>
    <row r="979">
      <c r="B979" s="285"/>
    </row>
    <row r="980">
      <c r="B980" s="285"/>
    </row>
    <row r="981">
      <c r="B981" s="285"/>
    </row>
    <row r="982">
      <c r="B982" s="285"/>
    </row>
    <row r="983">
      <c r="B983" s="285"/>
    </row>
    <row r="984">
      <c r="B984" s="285"/>
    </row>
    <row r="985">
      <c r="B985" s="285"/>
    </row>
    <row r="986">
      <c r="B986" s="285"/>
    </row>
    <row r="987">
      <c r="B987" s="285"/>
    </row>
    <row r="988">
      <c r="B988" s="285"/>
    </row>
    <row r="989">
      <c r="B989" s="285"/>
    </row>
    <row r="990">
      <c r="B990" s="285"/>
    </row>
    <row r="991">
      <c r="B991" s="285"/>
    </row>
    <row r="992">
      <c r="B992" s="285"/>
    </row>
    <row r="993">
      <c r="B993" s="285"/>
    </row>
    <row r="994">
      <c r="B994" s="285"/>
    </row>
    <row r="995">
      <c r="B995" s="285"/>
    </row>
    <row r="996">
      <c r="B996" s="285"/>
    </row>
    <row r="997">
      <c r="B997" s="285"/>
    </row>
    <row r="998">
      <c r="B998" s="285"/>
    </row>
    <row r="999">
      <c r="B999" s="285"/>
    </row>
    <row r="1000">
      <c r="B1000" s="285"/>
    </row>
  </sheetData>
  <autoFilter ref="$A$2:$D$38"/>
  <mergeCells count="2">
    <mergeCell ref="A1:B1"/>
    <mergeCell ref="F1:H1"/>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25"/>
    <col customWidth="1" min="2" max="2" width="16.63"/>
    <col customWidth="1" min="4" max="4" width="36.0"/>
    <col customWidth="1" min="5" max="5" width="44.88"/>
  </cols>
  <sheetData>
    <row r="1">
      <c r="A1" s="286" t="s">
        <v>1291</v>
      </c>
      <c r="B1" s="286" t="s">
        <v>1292</v>
      </c>
      <c r="C1" s="286" t="s">
        <v>1293</v>
      </c>
      <c r="D1" s="286" t="s">
        <v>1294</v>
      </c>
      <c r="E1" s="286" t="s">
        <v>1295</v>
      </c>
    </row>
    <row r="2">
      <c r="A2" s="286" t="s">
        <v>1296</v>
      </c>
      <c r="B2" s="262"/>
      <c r="C2" s="287">
        <v>1.4014161316E10</v>
      </c>
      <c r="D2" s="286" t="s">
        <v>1297</v>
      </c>
      <c r="E2" s="286" t="s">
        <v>1298</v>
      </c>
    </row>
    <row r="3">
      <c r="A3" s="286" t="s">
        <v>1299</v>
      </c>
      <c r="B3" s="262" t="s">
        <v>1300</v>
      </c>
      <c r="C3" s="287">
        <v>1.8136704362E10</v>
      </c>
      <c r="D3" s="286" t="s">
        <v>1301</v>
      </c>
      <c r="E3" s="286" t="s">
        <v>1298</v>
      </c>
    </row>
    <row r="4">
      <c r="A4" s="286" t="s">
        <v>1302</v>
      </c>
      <c r="B4" s="262"/>
      <c r="C4" s="287">
        <v>1.3236142018E10</v>
      </c>
      <c r="D4" s="286" t="s">
        <v>1303</v>
      </c>
      <c r="E4" s="286" t="s">
        <v>1298</v>
      </c>
    </row>
    <row r="5">
      <c r="A5" s="286" t="s">
        <v>1304</v>
      </c>
      <c r="B5" s="286" t="s">
        <v>1305</v>
      </c>
      <c r="C5" s="287">
        <v>1.8564951736E10</v>
      </c>
      <c r="D5" s="286" t="s">
        <v>1306</v>
      </c>
      <c r="E5" s="286" t="s">
        <v>1307</v>
      </c>
    </row>
    <row r="6">
      <c r="A6" s="286" t="s">
        <v>1308</v>
      </c>
      <c r="B6" s="262"/>
      <c r="C6" s="287">
        <v>1.6239008656E10</v>
      </c>
      <c r="D6" s="286" t="s">
        <v>1309</v>
      </c>
      <c r="E6" s="286" t="s">
        <v>1298</v>
      </c>
    </row>
    <row r="7">
      <c r="A7" s="286" t="s">
        <v>1310</v>
      </c>
      <c r="B7" s="286" t="s">
        <v>1311</v>
      </c>
      <c r="C7" s="287">
        <v>1.432528466E10</v>
      </c>
      <c r="D7" s="286" t="s">
        <v>1312</v>
      </c>
      <c r="E7" s="286" t="s">
        <v>1307</v>
      </c>
    </row>
    <row r="8">
      <c r="A8" s="286" t="s">
        <v>1313</v>
      </c>
      <c r="B8" s="286" t="s">
        <v>1314</v>
      </c>
      <c r="C8" s="287">
        <v>1.408609601E10</v>
      </c>
      <c r="D8" s="286" t="s">
        <v>1315</v>
      </c>
      <c r="E8" s="286" t="s">
        <v>1307</v>
      </c>
    </row>
    <row r="9">
      <c r="A9" s="286" t="s">
        <v>1316</v>
      </c>
      <c r="B9" s="262" t="s">
        <v>1317</v>
      </c>
      <c r="C9" s="287">
        <v>1.3219789582E10</v>
      </c>
      <c r="D9" s="286" t="s">
        <v>1318</v>
      </c>
      <c r="E9" s="286" t="s">
        <v>1298</v>
      </c>
    </row>
    <row r="10">
      <c r="A10" s="286" t="s">
        <v>1319</v>
      </c>
      <c r="B10" s="262" t="s">
        <v>1320</v>
      </c>
      <c r="C10" s="287">
        <v>1.9517418278E10</v>
      </c>
      <c r="D10" s="286" t="s">
        <v>1321</v>
      </c>
      <c r="E10" s="286" t="s">
        <v>1298</v>
      </c>
    </row>
    <row r="11">
      <c r="A11" s="286" t="s">
        <v>1322</v>
      </c>
      <c r="B11" s="286" t="s">
        <v>1323</v>
      </c>
      <c r="C11" s="287">
        <v>1.7206509503E10</v>
      </c>
      <c r="D11" s="286" t="s">
        <v>1324</v>
      </c>
      <c r="E11" s="286" t="s">
        <v>1307</v>
      </c>
    </row>
    <row r="12">
      <c r="A12" s="286" t="s">
        <v>1325</v>
      </c>
      <c r="B12" s="262"/>
      <c r="C12" s="287">
        <v>1.8183908182E10</v>
      </c>
      <c r="D12" s="286" t="s">
        <v>1326</v>
      </c>
      <c r="E12" s="286" t="s">
        <v>1307</v>
      </c>
    </row>
    <row r="13">
      <c r="A13" s="286" t="s">
        <v>1327</v>
      </c>
      <c r="B13" s="262" t="s">
        <v>1328</v>
      </c>
      <c r="C13" s="287">
        <v>1.9092320119E10</v>
      </c>
      <c r="D13" s="286" t="s">
        <v>1329</v>
      </c>
      <c r="E13" s="286" t="s">
        <v>1298</v>
      </c>
    </row>
    <row r="14">
      <c r="A14" s="286" t="s">
        <v>1330</v>
      </c>
      <c r="B14" s="262" t="s">
        <v>1331</v>
      </c>
      <c r="C14" s="287">
        <v>1.7602747186E10</v>
      </c>
      <c r="D14" s="286" t="s">
        <v>1332</v>
      </c>
      <c r="E14" s="286" t="s">
        <v>1298</v>
      </c>
    </row>
    <row r="15">
      <c r="A15" s="286" t="s">
        <v>1333</v>
      </c>
      <c r="B15" s="262"/>
      <c r="C15" s="287">
        <v>1.4054741376E10</v>
      </c>
      <c r="D15" s="286" t="s">
        <v>1334</v>
      </c>
      <c r="E15" s="286" t="s">
        <v>1298</v>
      </c>
    </row>
    <row r="16">
      <c r="A16" s="286" t="s">
        <v>1335</v>
      </c>
      <c r="B16" s="262" t="s">
        <v>1336</v>
      </c>
      <c r="C16" s="287">
        <v>1.8184777876E10</v>
      </c>
      <c r="D16" s="286" t="s">
        <v>1337</v>
      </c>
      <c r="E16" s="286" t="s">
        <v>1298</v>
      </c>
    </row>
    <row r="17">
      <c r="A17" s="286" t="s">
        <v>1338</v>
      </c>
      <c r="B17" s="262" t="s">
        <v>1339</v>
      </c>
      <c r="C17" s="287">
        <v>1.6892487892E10</v>
      </c>
      <c r="D17" s="286" t="s">
        <v>1340</v>
      </c>
      <c r="E17" s="286" t="s">
        <v>1298</v>
      </c>
    </row>
    <row r="18">
      <c r="A18" s="286" t="s">
        <v>1341</v>
      </c>
      <c r="B18" s="262" t="s">
        <v>1342</v>
      </c>
      <c r="C18" s="287">
        <v>1.2248004431E10</v>
      </c>
      <c r="D18" s="286" t="s">
        <v>1343</v>
      </c>
      <c r="E18" s="286" t="s">
        <v>1298</v>
      </c>
    </row>
    <row r="19">
      <c r="A19" s="286" t="s">
        <v>1344</v>
      </c>
      <c r="B19" s="262" t="s">
        <v>1345</v>
      </c>
      <c r="C19" s="287">
        <v>1.5743202358E10</v>
      </c>
      <c r="D19" s="286" t="s">
        <v>1346</v>
      </c>
      <c r="E19" s="286" t="s">
        <v>1298</v>
      </c>
    </row>
    <row r="20">
      <c r="A20" s="286" t="s">
        <v>1347</v>
      </c>
      <c r="B20" s="262" t="s">
        <v>1348</v>
      </c>
      <c r="C20" s="287">
        <v>1.4793650179E10</v>
      </c>
      <c r="D20" s="286" t="s">
        <v>1349</v>
      </c>
      <c r="E20" s="286" t="s">
        <v>1298</v>
      </c>
    </row>
    <row r="21">
      <c r="A21" s="286" t="s">
        <v>1350</v>
      </c>
      <c r="B21" s="262" t="s">
        <v>1351</v>
      </c>
      <c r="C21" s="287">
        <v>1.9516225551E10</v>
      </c>
      <c r="D21" s="286" t="s">
        <v>1352</v>
      </c>
      <c r="E21" s="286" t="s">
        <v>1298</v>
      </c>
    </row>
    <row r="22">
      <c r="A22" s="286" t="s">
        <v>1353</v>
      </c>
      <c r="B22" s="262" t="s">
        <v>1354</v>
      </c>
      <c r="C22" s="287">
        <v>1.7869149931E10</v>
      </c>
      <c r="D22" s="286" t="s">
        <v>1355</v>
      </c>
      <c r="E22" s="286" t="s">
        <v>1298</v>
      </c>
    </row>
    <row r="23">
      <c r="A23" s="286" t="s">
        <v>1356</v>
      </c>
      <c r="B23" s="262" t="s">
        <v>1357</v>
      </c>
      <c r="C23" s="287">
        <v>1.5167909088E10</v>
      </c>
      <c r="D23" s="286" t="s">
        <v>1358</v>
      </c>
      <c r="E23" s="286" t="s">
        <v>1298</v>
      </c>
    </row>
    <row r="24">
      <c r="A24" s="286" t="s">
        <v>1359</v>
      </c>
      <c r="B24" s="262" t="s">
        <v>1360</v>
      </c>
      <c r="C24" s="287">
        <v>1.7043528443E10</v>
      </c>
      <c r="D24" s="286" t="s">
        <v>1361</v>
      </c>
      <c r="E24" s="286" t="s">
        <v>1298</v>
      </c>
    </row>
    <row r="25">
      <c r="A25" s="286" t="s">
        <v>1134</v>
      </c>
      <c r="B25" s="262"/>
      <c r="C25" s="287">
        <v>1.8179389555E10</v>
      </c>
      <c r="D25" s="286" t="s">
        <v>1362</v>
      </c>
      <c r="E25" s="286" t="s">
        <v>1298</v>
      </c>
    </row>
    <row r="26">
      <c r="A26" s="286" t="s">
        <v>1363</v>
      </c>
      <c r="B26" s="262"/>
      <c r="C26" s="287">
        <v>1.9342561402E10</v>
      </c>
      <c r="D26" s="286" t="s">
        <v>1364</v>
      </c>
      <c r="E26" s="286" t="s">
        <v>1298</v>
      </c>
    </row>
    <row r="27">
      <c r="A27" s="286" t="s">
        <v>1365</v>
      </c>
      <c r="B27" s="262" t="s">
        <v>1366</v>
      </c>
      <c r="C27" s="287">
        <v>1.267621573E10</v>
      </c>
      <c r="D27" s="286" t="s">
        <v>1367</v>
      </c>
      <c r="E27" s="286" t="s">
        <v>1298</v>
      </c>
    </row>
    <row r="28">
      <c r="A28" s="286" t="s">
        <v>1368</v>
      </c>
      <c r="B28" s="262" t="s">
        <v>1369</v>
      </c>
      <c r="C28" s="287">
        <v>1.8568958173E10</v>
      </c>
      <c r="D28" s="286" t="s">
        <v>1370</v>
      </c>
      <c r="E28" s="286" t="s">
        <v>1298</v>
      </c>
    </row>
    <row r="29">
      <c r="A29" s="286" t="s">
        <v>1371</v>
      </c>
      <c r="B29" s="286" t="s">
        <v>1372</v>
      </c>
      <c r="C29" s="287">
        <v>1.5627730748E10</v>
      </c>
      <c r="D29" s="286" t="s">
        <v>1373</v>
      </c>
      <c r="E29" s="286" t="s">
        <v>1307</v>
      </c>
    </row>
    <row r="30">
      <c r="A30" s="286" t="s">
        <v>1374</v>
      </c>
      <c r="B30" s="286" t="s">
        <v>1375</v>
      </c>
      <c r="C30" s="287">
        <v>1.2013601116E10</v>
      </c>
      <c r="D30" s="286" t="s">
        <v>1376</v>
      </c>
      <c r="E30" s="286" t="s">
        <v>1307</v>
      </c>
    </row>
    <row r="31">
      <c r="A31" s="286" t="s">
        <v>1377</v>
      </c>
      <c r="B31" s="286" t="s">
        <v>1378</v>
      </c>
      <c r="C31" s="287">
        <v>1.3469005836E10</v>
      </c>
      <c r="D31" s="286" t="s">
        <v>1379</v>
      </c>
      <c r="E31" s="286" t="s">
        <v>1307</v>
      </c>
    </row>
    <row r="32">
      <c r="A32" s="286" t="s">
        <v>1380</v>
      </c>
      <c r="B32" s="286" t="s">
        <v>1381</v>
      </c>
      <c r="C32" s="287">
        <v>1.9146438393E10</v>
      </c>
      <c r="D32" s="286" t="s">
        <v>1382</v>
      </c>
      <c r="E32" s="286" t="s">
        <v>1307</v>
      </c>
    </row>
    <row r="33">
      <c r="A33" s="286" t="s">
        <v>1383</v>
      </c>
      <c r="B33" s="286" t="s">
        <v>1384</v>
      </c>
      <c r="C33" s="287">
        <v>1.7046788025E10</v>
      </c>
      <c r="D33" s="286" t="s">
        <v>1385</v>
      </c>
      <c r="E33" s="286" t="s">
        <v>1307</v>
      </c>
    </row>
    <row r="34">
      <c r="A34" s="286" t="s">
        <v>941</v>
      </c>
      <c r="B34" s="286" t="s">
        <v>1386</v>
      </c>
      <c r="C34" s="287">
        <v>1.2065354259E10</v>
      </c>
      <c r="D34" s="286" t="s">
        <v>1387</v>
      </c>
      <c r="E34" s="286" t="s">
        <v>1307</v>
      </c>
    </row>
    <row r="35">
      <c r="A35" s="286" t="s">
        <v>1388</v>
      </c>
      <c r="C35" s="287">
        <v>1.9296708163E10</v>
      </c>
      <c r="D35" s="286" t="s">
        <v>1389</v>
      </c>
      <c r="E35" s="286" t="s">
        <v>1307</v>
      </c>
    </row>
    <row r="36">
      <c r="A36" s="286" t="s">
        <v>1390</v>
      </c>
      <c r="B36" s="262"/>
      <c r="C36" s="287">
        <v>1.7578409492E10</v>
      </c>
      <c r="D36" s="286" t="s">
        <v>1391</v>
      </c>
      <c r="E36" s="286" t="s">
        <v>1298</v>
      </c>
    </row>
    <row r="37">
      <c r="A37" s="286" t="s">
        <v>1392</v>
      </c>
      <c r="B37" s="262"/>
      <c r="C37" s="287">
        <v>1.2035898241E10</v>
      </c>
      <c r="D37" s="286" t="s">
        <v>1393</v>
      </c>
      <c r="E37" s="286" t="s">
        <v>1298</v>
      </c>
    </row>
    <row r="38">
      <c r="A38" s="286" t="s">
        <v>1394</v>
      </c>
      <c r="B38" s="262" t="s">
        <v>1395</v>
      </c>
      <c r="C38" s="287">
        <v>1.3476443034E10</v>
      </c>
      <c r="D38" s="286" t="s">
        <v>1396</v>
      </c>
      <c r="E38" s="286" t="s">
        <v>1298</v>
      </c>
    </row>
    <row r="39">
      <c r="A39" s="286" t="s">
        <v>1359</v>
      </c>
      <c r="B39" s="286" t="s">
        <v>1357</v>
      </c>
      <c r="C39" s="287">
        <v>1.6262095329E10</v>
      </c>
      <c r="D39" s="286" t="s">
        <v>1397</v>
      </c>
      <c r="E39" s="286" t="s">
        <v>1307</v>
      </c>
    </row>
    <row r="40">
      <c r="A40" s="286" t="s">
        <v>1398</v>
      </c>
      <c r="B40" s="286" t="s">
        <v>1399</v>
      </c>
      <c r="C40" s="287">
        <v>1.3479754149E10</v>
      </c>
      <c r="D40" s="286" t="s">
        <v>1400</v>
      </c>
      <c r="E40" s="286" t="s">
        <v>1307</v>
      </c>
    </row>
    <row r="41">
      <c r="A41" s="286" t="s">
        <v>641</v>
      </c>
      <c r="B41" s="262" t="s">
        <v>1401</v>
      </c>
      <c r="C41" s="287">
        <v>1.7866434297E10</v>
      </c>
      <c r="D41" s="286" t="s">
        <v>1402</v>
      </c>
      <c r="E41" s="286" t="s">
        <v>1298</v>
      </c>
    </row>
    <row r="42">
      <c r="A42" s="286" t="s">
        <v>1403</v>
      </c>
      <c r="B42" s="286" t="s">
        <v>1404</v>
      </c>
      <c r="C42" s="287">
        <v>1.3472396387E10</v>
      </c>
      <c r="D42" s="286" t="s">
        <v>1405</v>
      </c>
      <c r="E42" s="286" t="s">
        <v>1307</v>
      </c>
    </row>
    <row r="43">
      <c r="A43" s="286" t="s">
        <v>1406</v>
      </c>
      <c r="B43" s="262" t="s">
        <v>1407</v>
      </c>
      <c r="C43" s="287">
        <v>1.4077246937E10</v>
      </c>
      <c r="D43" s="286" t="s">
        <v>1408</v>
      </c>
      <c r="E43" s="286" t="s">
        <v>1409</v>
      </c>
    </row>
    <row r="44">
      <c r="A44" s="286" t="s">
        <v>1410</v>
      </c>
      <c r="B44" s="286" t="s">
        <v>1411</v>
      </c>
      <c r="C44" s="287">
        <v>1.7863143336E10</v>
      </c>
      <c r="D44" s="286" t="s">
        <v>1412</v>
      </c>
      <c r="E44" s="286" t="s">
        <v>635</v>
      </c>
    </row>
    <row r="45">
      <c r="A45" s="286" t="s">
        <v>1308</v>
      </c>
      <c r="B45" s="262"/>
      <c r="C45" s="287">
        <v>1.7736141333E10</v>
      </c>
      <c r="D45" s="286" t="s">
        <v>1413</v>
      </c>
      <c r="E45" s="286" t="s">
        <v>1414</v>
      </c>
    </row>
    <row r="46">
      <c r="A46" s="286" t="s">
        <v>1415</v>
      </c>
      <c r="B46" s="262" t="s">
        <v>1416</v>
      </c>
      <c r="C46" s="287">
        <v>1.9514512612E10</v>
      </c>
      <c r="D46" s="286" t="s">
        <v>1417</v>
      </c>
      <c r="E46" s="286" t="s">
        <v>1298</v>
      </c>
    </row>
    <row r="47">
      <c r="A47" s="286" t="s">
        <v>1117</v>
      </c>
      <c r="B47" s="262"/>
      <c r="C47" s="287">
        <v>1.9154711694E10</v>
      </c>
      <c r="D47" s="286" t="s">
        <v>1418</v>
      </c>
      <c r="E47" s="286" t="s">
        <v>1414</v>
      </c>
    </row>
    <row r="48">
      <c r="A48" s="286" t="s">
        <v>1419</v>
      </c>
      <c r="B48" s="262" t="s">
        <v>1420</v>
      </c>
      <c r="C48" s="287">
        <v>1.5748705499E10</v>
      </c>
      <c r="D48" s="286" t="s">
        <v>1421</v>
      </c>
      <c r="E48" s="286" t="s">
        <v>1298</v>
      </c>
    </row>
    <row r="49">
      <c r="A49" s="286" t="s">
        <v>1001</v>
      </c>
      <c r="B49" s="262" t="s">
        <v>1422</v>
      </c>
      <c r="C49" s="287">
        <v>1.5029560086E10</v>
      </c>
      <c r="D49" s="286" t="s">
        <v>1423</v>
      </c>
      <c r="E49" s="286" t="s">
        <v>1409</v>
      </c>
    </row>
    <row r="50">
      <c r="A50" s="286" t="s">
        <v>1134</v>
      </c>
      <c r="B50" s="286" t="s">
        <v>1424</v>
      </c>
      <c r="C50" s="287">
        <v>1.7543997915E10</v>
      </c>
      <c r="D50" s="286" t="s">
        <v>1425</v>
      </c>
      <c r="E50" s="286" t="s">
        <v>1307</v>
      </c>
    </row>
    <row r="51">
      <c r="A51" s="286" t="s">
        <v>1426</v>
      </c>
      <c r="B51" s="286" t="s">
        <v>1427</v>
      </c>
      <c r="C51" s="287">
        <v>1.2012706773E10</v>
      </c>
      <c r="D51" s="286" t="s">
        <v>1428</v>
      </c>
      <c r="E51" s="286" t="s">
        <v>1414</v>
      </c>
    </row>
    <row r="52">
      <c r="A52" s="286" t="s">
        <v>1429</v>
      </c>
      <c r="B52" s="286" t="s">
        <v>1430</v>
      </c>
      <c r="C52" s="287">
        <v>1.7865784886E10</v>
      </c>
      <c r="D52" s="286" t="s">
        <v>1431</v>
      </c>
      <c r="E52" s="286" t="s">
        <v>1307</v>
      </c>
    </row>
    <row r="53">
      <c r="A53" s="286" t="s">
        <v>1432</v>
      </c>
      <c r="B53" s="286" t="s">
        <v>1433</v>
      </c>
      <c r="C53" s="287">
        <v>1.9542145709E10</v>
      </c>
      <c r="D53" s="286" t="s">
        <v>1434</v>
      </c>
      <c r="E53" s="286" t="s">
        <v>1307</v>
      </c>
    </row>
    <row r="54">
      <c r="A54" s="286" t="s">
        <v>1435</v>
      </c>
      <c r="B54" s="262" t="s">
        <v>1436</v>
      </c>
      <c r="C54" s="287">
        <v>1.2392736327E10</v>
      </c>
      <c r="D54" s="286" t="s">
        <v>1437</v>
      </c>
      <c r="E54" s="286" t="s">
        <v>1298</v>
      </c>
    </row>
    <row r="55">
      <c r="A55" s="286" t="s">
        <v>1438</v>
      </c>
      <c r="B55" s="262" t="s">
        <v>1439</v>
      </c>
      <c r="C55" s="287">
        <v>1.5703697209E10</v>
      </c>
      <c r="D55" s="286" t="s">
        <v>1440</v>
      </c>
      <c r="E55" s="286" t="s">
        <v>1298</v>
      </c>
    </row>
    <row r="56">
      <c r="A56" s="286" t="s">
        <v>1441</v>
      </c>
      <c r="B56" s="262" t="s">
        <v>1442</v>
      </c>
      <c r="C56" s="287">
        <v>1.9292711902E10</v>
      </c>
      <c r="D56" s="286" t="s">
        <v>1443</v>
      </c>
      <c r="E56" s="286" t="s">
        <v>1298</v>
      </c>
    </row>
    <row r="57">
      <c r="A57" s="286" t="s">
        <v>1444</v>
      </c>
      <c r="B57" s="286" t="s">
        <v>1445</v>
      </c>
      <c r="C57" s="287">
        <v>1.4157562953E10</v>
      </c>
      <c r="D57" s="286" t="s">
        <v>1446</v>
      </c>
      <c r="E57" s="286" t="s">
        <v>1414</v>
      </c>
    </row>
    <row r="58">
      <c r="A58" s="286" t="s">
        <v>1447</v>
      </c>
      <c r="B58" s="286" t="s">
        <v>1448</v>
      </c>
      <c r="C58" s="287">
        <v>1.2533243177E10</v>
      </c>
      <c r="D58" s="286" t="s">
        <v>1449</v>
      </c>
      <c r="E58" s="286" t="s">
        <v>1414</v>
      </c>
    </row>
    <row r="59">
      <c r="A59" s="286" t="s">
        <v>1450</v>
      </c>
      <c r="B59" s="286" t="s">
        <v>1451</v>
      </c>
      <c r="C59" s="287">
        <v>1.5042237384E10</v>
      </c>
      <c r="D59" s="286" t="s">
        <v>1452</v>
      </c>
      <c r="E59" s="286" t="s">
        <v>1307</v>
      </c>
    </row>
    <row r="60">
      <c r="A60" s="286" t="s">
        <v>1359</v>
      </c>
      <c r="B60" s="262" t="s">
        <v>1453</v>
      </c>
      <c r="C60" s="287">
        <v>1.5167284804E10</v>
      </c>
      <c r="D60" s="286" t="s">
        <v>1454</v>
      </c>
      <c r="E60" s="286" t="s">
        <v>1409</v>
      </c>
    </row>
    <row r="61">
      <c r="A61" s="286" t="s">
        <v>1455</v>
      </c>
      <c r="B61" s="262" t="s">
        <v>1345</v>
      </c>
      <c r="C61" s="287">
        <v>1.8579191141E10</v>
      </c>
      <c r="D61" s="286" t="s">
        <v>1456</v>
      </c>
      <c r="E61" s="286" t="s">
        <v>1298</v>
      </c>
    </row>
    <row r="62">
      <c r="A62" s="286" t="s">
        <v>1457</v>
      </c>
      <c r="B62" s="262" t="s">
        <v>1458</v>
      </c>
      <c r="C62" s="287">
        <v>1.5204145177E10</v>
      </c>
      <c r="D62" s="286" t="s">
        <v>1459</v>
      </c>
      <c r="E62" s="286" t="s">
        <v>1298</v>
      </c>
    </row>
    <row r="63">
      <c r="A63" s="286" t="s">
        <v>1460</v>
      </c>
      <c r="B63" s="262" t="s">
        <v>1461</v>
      </c>
      <c r="C63" s="287">
        <v>1.6464274362E10</v>
      </c>
      <c r="D63" s="286" t="s">
        <v>1462</v>
      </c>
      <c r="E63" s="286" t="s">
        <v>1298</v>
      </c>
    </row>
    <row r="64">
      <c r="A64" s="286" t="s">
        <v>1463</v>
      </c>
      <c r="B64" s="286" t="s">
        <v>1464</v>
      </c>
      <c r="C64" s="287">
        <v>1.6022995508E10</v>
      </c>
      <c r="D64" s="286" t="s">
        <v>620</v>
      </c>
      <c r="E64" s="286" t="s">
        <v>1307</v>
      </c>
    </row>
    <row r="65">
      <c r="A65" s="286" t="s">
        <v>1465</v>
      </c>
      <c r="B65" s="286" t="s">
        <v>1466</v>
      </c>
      <c r="C65" s="287">
        <v>1.5622858595E10</v>
      </c>
      <c r="D65" s="286" t="s">
        <v>1467</v>
      </c>
      <c r="E65" s="286" t="s">
        <v>1414</v>
      </c>
    </row>
    <row r="66">
      <c r="A66" s="286" t="s">
        <v>641</v>
      </c>
      <c r="B66" s="262" t="s">
        <v>1468</v>
      </c>
      <c r="C66" s="287">
        <v>1.9159796548E10</v>
      </c>
      <c r="D66" s="286" t="s">
        <v>1469</v>
      </c>
      <c r="E66" s="286" t="s">
        <v>1298</v>
      </c>
    </row>
    <row r="67">
      <c r="A67" s="286" t="s">
        <v>1470</v>
      </c>
      <c r="B67" s="286" t="s">
        <v>1471</v>
      </c>
      <c r="C67" s="287">
        <v>1.601951431E10</v>
      </c>
      <c r="D67" s="286" t="s">
        <v>1472</v>
      </c>
      <c r="E67" s="286" t="s">
        <v>1414</v>
      </c>
    </row>
    <row r="68">
      <c r="A68" s="286" t="s">
        <v>1338</v>
      </c>
      <c r="B68" s="286" t="s">
        <v>1473</v>
      </c>
      <c r="C68" s="287">
        <v>1.7077125086E10</v>
      </c>
      <c r="D68" s="286" t="s">
        <v>1474</v>
      </c>
      <c r="E68" s="286" t="s">
        <v>1414</v>
      </c>
    </row>
    <row r="69">
      <c r="A69" s="286" t="s">
        <v>1475</v>
      </c>
      <c r="B69" s="286" t="s">
        <v>1476</v>
      </c>
      <c r="C69" s="287">
        <v>1.7079700098E10</v>
      </c>
      <c r="D69" s="286" t="s">
        <v>1477</v>
      </c>
      <c r="E69" s="286" t="s">
        <v>1307</v>
      </c>
    </row>
    <row r="70">
      <c r="A70" s="286" t="s">
        <v>1478</v>
      </c>
      <c r="B70" s="286" t="s">
        <v>1479</v>
      </c>
      <c r="C70" s="287">
        <v>1.6108027769E10</v>
      </c>
      <c r="D70" s="286" t="s">
        <v>1480</v>
      </c>
      <c r="E70" s="286" t="s">
        <v>1307</v>
      </c>
    </row>
    <row r="71">
      <c r="A71" s="286" t="s">
        <v>1481</v>
      </c>
      <c r="B71" s="262"/>
      <c r="C71" s="287">
        <v>1.3235086442E10</v>
      </c>
      <c r="D71" s="286" t="s">
        <v>1482</v>
      </c>
      <c r="E71" s="286" t="s">
        <v>1298</v>
      </c>
    </row>
    <row r="72">
      <c r="A72" s="286" t="s">
        <v>1483</v>
      </c>
      <c r="B72" s="262" t="s">
        <v>1484</v>
      </c>
      <c r="C72" s="287">
        <v>1.6197351425E10</v>
      </c>
      <c r="D72" s="286" t="s">
        <v>1485</v>
      </c>
      <c r="E72" s="286" t="s">
        <v>1409</v>
      </c>
    </row>
    <row r="73">
      <c r="A73" s="286" t="s">
        <v>1486</v>
      </c>
      <c r="B73" s="262" t="s">
        <v>1487</v>
      </c>
      <c r="C73" s="287">
        <v>1.5512755083E10</v>
      </c>
      <c r="D73" s="286" t="s">
        <v>1488</v>
      </c>
      <c r="E73" s="286" t="s">
        <v>1298</v>
      </c>
    </row>
    <row r="74">
      <c r="A74" s="286" t="s">
        <v>1489</v>
      </c>
      <c r="B74" s="262" t="s">
        <v>1490</v>
      </c>
      <c r="C74" s="287">
        <v>1.5624894475E10</v>
      </c>
      <c r="D74" s="286" t="s">
        <v>1491</v>
      </c>
      <c r="E74" s="286" t="s">
        <v>1298</v>
      </c>
    </row>
    <row r="75">
      <c r="A75" s="286" t="s">
        <v>1333</v>
      </c>
      <c r="B75" s="262" t="s">
        <v>1492</v>
      </c>
      <c r="C75" s="287">
        <v>1.9297590401E10</v>
      </c>
      <c r="D75" s="286" t="s">
        <v>1493</v>
      </c>
      <c r="E75" s="286" t="s">
        <v>1409</v>
      </c>
    </row>
    <row r="76">
      <c r="A76" s="286" t="s">
        <v>1494</v>
      </c>
      <c r="B76" s="262" t="s">
        <v>1495</v>
      </c>
      <c r="C76" s="287">
        <v>1.931619735E10</v>
      </c>
      <c r="D76" s="286" t="s">
        <v>1496</v>
      </c>
      <c r="E76" s="286" t="s">
        <v>1298</v>
      </c>
    </row>
    <row r="77">
      <c r="A77" s="286" t="s">
        <v>1465</v>
      </c>
      <c r="C77" s="287">
        <v>5.0259690471E10</v>
      </c>
      <c r="D77" s="286" t="s">
        <v>1497</v>
      </c>
      <c r="E77" s="286" t="s">
        <v>1414</v>
      </c>
    </row>
    <row r="78">
      <c r="A78" s="286" t="s">
        <v>1498</v>
      </c>
      <c r="B78" s="286" t="s">
        <v>1499</v>
      </c>
      <c r="C78" s="287">
        <v>1.8064380208E10</v>
      </c>
      <c r="D78" s="286" t="s">
        <v>1500</v>
      </c>
      <c r="E78" s="286" t="s">
        <v>1307</v>
      </c>
    </row>
    <row r="79">
      <c r="A79" s="286" t="s">
        <v>1501</v>
      </c>
      <c r="B79" s="262"/>
      <c r="C79" s="287">
        <v>1.7204270941E10</v>
      </c>
      <c r="D79" s="286" t="s">
        <v>1502</v>
      </c>
      <c r="E79" s="286" t="s">
        <v>1298</v>
      </c>
    </row>
    <row r="80">
      <c r="A80" s="286" t="s">
        <v>1503</v>
      </c>
      <c r="B80" s="262" t="s">
        <v>1504</v>
      </c>
      <c r="C80" s="287">
        <v>1.7865994243E10</v>
      </c>
      <c r="D80" s="286" t="s">
        <v>1505</v>
      </c>
      <c r="E80" s="286" t="s">
        <v>1298</v>
      </c>
    </row>
    <row r="81">
      <c r="A81" s="286" t="s">
        <v>1506</v>
      </c>
      <c r="B81" s="286" t="s">
        <v>1507</v>
      </c>
      <c r="C81" s="287">
        <v>1.2408937239E10</v>
      </c>
      <c r="D81" s="286" t="s">
        <v>1508</v>
      </c>
      <c r="E81" s="286" t="s">
        <v>1414</v>
      </c>
    </row>
    <row r="82">
      <c r="A82" s="286" t="s">
        <v>1509</v>
      </c>
      <c r="B82" s="286" t="s">
        <v>1510</v>
      </c>
      <c r="C82" s="287">
        <v>1.956678507E10</v>
      </c>
      <c r="D82" s="286" t="s">
        <v>1511</v>
      </c>
      <c r="E82" s="286" t="s">
        <v>1307</v>
      </c>
    </row>
    <row r="83">
      <c r="A83" s="286" t="s">
        <v>1512</v>
      </c>
      <c r="B83" s="286" t="s">
        <v>1471</v>
      </c>
      <c r="C83" s="287">
        <v>1.6827029053E10</v>
      </c>
      <c r="D83" s="286" t="s">
        <v>1513</v>
      </c>
      <c r="E83" s="286" t="s">
        <v>1414</v>
      </c>
    </row>
    <row r="84">
      <c r="A84" s="286" t="s">
        <v>1514</v>
      </c>
      <c r="B84" s="262" t="s">
        <v>1515</v>
      </c>
      <c r="C84" s="287">
        <v>1.7863723422E10</v>
      </c>
      <c r="D84" s="286" t="s">
        <v>1516</v>
      </c>
      <c r="E84" s="286" t="s">
        <v>1298</v>
      </c>
    </row>
    <row r="85">
      <c r="A85" s="286" t="s">
        <v>1517</v>
      </c>
      <c r="B85" s="286" t="s">
        <v>1518</v>
      </c>
      <c r="C85" s="287">
        <v>1.7874030485E10</v>
      </c>
      <c r="D85" s="286" t="s">
        <v>1519</v>
      </c>
      <c r="E85" s="286" t="s">
        <v>1307</v>
      </c>
    </row>
    <row r="86">
      <c r="A86" s="286" t="s">
        <v>1520</v>
      </c>
      <c r="B86" s="286" t="s">
        <v>1521</v>
      </c>
      <c r="C86" s="287">
        <v>1.5613526769E10</v>
      </c>
      <c r="D86" s="286" t="s">
        <v>1522</v>
      </c>
      <c r="E86" s="286" t="s">
        <v>1414</v>
      </c>
    </row>
    <row r="87">
      <c r="A87" s="286" t="s">
        <v>1523</v>
      </c>
      <c r="B87" s="286" t="s">
        <v>1524</v>
      </c>
      <c r="C87" s="287">
        <v>1.5616938344E10</v>
      </c>
      <c r="D87" s="286" t="s">
        <v>1525</v>
      </c>
      <c r="E87" s="286" t="s">
        <v>1414</v>
      </c>
    </row>
    <row r="88">
      <c r="A88" s="286" t="s">
        <v>1526</v>
      </c>
      <c r="B88" s="262" t="s">
        <v>1527</v>
      </c>
      <c r="C88" s="287">
        <v>1.9567394157E10</v>
      </c>
      <c r="D88" s="286" t="s">
        <v>1528</v>
      </c>
      <c r="E88" s="286" t="s">
        <v>1409</v>
      </c>
    </row>
    <row r="89">
      <c r="A89" s="286" t="s">
        <v>1529</v>
      </c>
      <c r="B89" s="262" t="s">
        <v>1530</v>
      </c>
      <c r="C89" s="287">
        <v>1.8188093227E10</v>
      </c>
      <c r="D89" s="286" t="s">
        <v>1531</v>
      </c>
      <c r="E89" s="286" t="s">
        <v>1298</v>
      </c>
    </row>
    <row r="90">
      <c r="A90" s="286" t="s">
        <v>1532</v>
      </c>
      <c r="B90" s="262"/>
      <c r="C90" s="287">
        <v>1.4693635908E10</v>
      </c>
      <c r="D90" s="286" t="s">
        <v>1533</v>
      </c>
      <c r="E90" s="286" t="s">
        <v>1534</v>
      </c>
    </row>
    <row r="91">
      <c r="A91" s="286" t="s">
        <v>1535</v>
      </c>
      <c r="B91" s="262" t="s">
        <v>1536</v>
      </c>
      <c r="C91" s="287">
        <v>1.8608269056E10</v>
      </c>
      <c r="D91" s="286" t="s">
        <v>1537</v>
      </c>
      <c r="E91" s="286" t="s">
        <v>1298</v>
      </c>
    </row>
    <row r="92">
      <c r="A92" s="286" t="s">
        <v>1538</v>
      </c>
      <c r="B92" s="262" t="s">
        <v>1539</v>
      </c>
      <c r="C92" s="287">
        <v>1.4012567742E10</v>
      </c>
      <c r="D92" s="286" t="s">
        <v>1540</v>
      </c>
      <c r="E92" s="286" t="s">
        <v>1298</v>
      </c>
    </row>
    <row r="93">
      <c r="A93" s="286" t="s">
        <v>1541</v>
      </c>
      <c r="B93" s="262" t="s">
        <v>1542</v>
      </c>
      <c r="C93" s="287">
        <v>1.8178937186E10</v>
      </c>
      <c r="D93" s="286" t="s">
        <v>1543</v>
      </c>
      <c r="E93" s="286" t="s">
        <v>1298</v>
      </c>
    </row>
    <row r="94">
      <c r="A94" s="286" t="s">
        <v>1544</v>
      </c>
      <c r="B94" s="262" t="s">
        <v>1545</v>
      </c>
      <c r="C94" s="287">
        <v>1.8489003426E10</v>
      </c>
      <c r="D94" s="286" t="s">
        <v>1546</v>
      </c>
      <c r="E94" s="286" t="s">
        <v>1298</v>
      </c>
    </row>
    <row r="95">
      <c r="A95" s="286" t="s">
        <v>1371</v>
      </c>
      <c r="B95" s="262" t="s">
        <v>1547</v>
      </c>
      <c r="C95" s="287">
        <v>1.8629823842E10</v>
      </c>
      <c r="D95" s="286" t="s">
        <v>1548</v>
      </c>
      <c r="E95" s="286" t="s">
        <v>1298</v>
      </c>
    </row>
    <row r="96">
      <c r="A96" s="286" t="s">
        <v>1549</v>
      </c>
      <c r="B96" s="262" t="s">
        <v>1527</v>
      </c>
      <c r="C96" s="287">
        <v>1.8182331961E10</v>
      </c>
      <c r="D96" s="286" t="s">
        <v>1550</v>
      </c>
      <c r="E96" s="286" t="s">
        <v>1298</v>
      </c>
    </row>
    <row r="97">
      <c r="A97" s="286" t="s">
        <v>1551</v>
      </c>
      <c r="B97" s="286" t="s">
        <v>1552</v>
      </c>
      <c r="C97" s="287">
        <v>1.956732341E10</v>
      </c>
      <c r="D97" s="286" t="s">
        <v>1553</v>
      </c>
      <c r="E97" s="286" t="s">
        <v>1307</v>
      </c>
    </row>
    <row r="98">
      <c r="A98" s="286" t="s">
        <v>1419</v>
      </c>
      <c r="B98" s="262" t="s">
        <v>1554</v>
      </c>
      <c r="C98" s="287">
        <v>1.8587750108E10</v>
      </c>
      <c r="D98" s="286" t="s">
        <v>1555</v>
      </c>
      <c r="E98" s="286" t="s">
        <v>1409</v>
      </c>
    </row>
    <row r="99">
      <c r="A99" s="286" t="s">
        <v>1556</v>
      </c>
      <c r="B99" s="262"/>
      <c r="C99" s="287">
        <v>1.9519070906E10</v>
      </c>
      <c r="D99" s="286" t="s">
        <v>1557</v>
      </c>
      <c r="E99" s="286" t="s">
        <v>1298</v>
      </c>
    </row>
    <row r="100">
      <c r="A100" s="286" t="s">
        <v>1558</v>
      </c>
      <c r="B100" s="262"/>
      <c r="C100" s="287">
        <v>1.3216638412E10</v>
      </c>
      <c r="D100" s="286" t="s">
        <v>1559</v>
      </c>
      <c r="E100" s="286" t="s">
        <v>1414</v>
      </c>
    </row>
    <row r="101">
      <c r="A101" s="286" t="s">
        <v>1560</v>
      </c>
      <c r="B101" s="286" t="s">
        <v>1561</v>
      </c>
      <c r="C101" s="287">
        <v>1.2677537076E10</v>
      </c>
      <c r="D101" s="286" t="s">
        <v>1562</v>
      </c>
      <c r="E101" s="286" t="s">
        <v>1414</v>
      </c>
    </row>
    <row r="102">
      <c r="A102" s="286" t="s">
        <v>1563</v>
      </c>
      <c r="B102" s="262" t="s">
        <v>1564</v>
      </c>
      <c r="C102" s="287">
        <v>1.9542669325E10</v>
      </c>
      <c r="D102" s="286" t="s">
        <v>1565</v>
      </c>
      <c r="E102" s="286" t="s">
        <v>1298</v>
      </c>
    </row>
    <row r="103">
      <c r="A103" s="286" t="s">
        <v>1509</v>
      </c>
      <c r="B103" s="262" t="s">
        <v>1566</v>
      </c>
      <c r="C103" s="287">
        <v>1.9514750782E10</v>
      </c>
      <c r="D103" s="286" t="s">
        <v>1567</v>
      </c>
      <c r="E103" s="286" t="s">
        <v>1298</v>
      </c>
    </row>
    <row r="104">
      <c r="A104" s="286" t="s">
        <v>1568</v>
      </c>
      <c r="B104" s="262" t="s">
        <v>1569</v>
      </c>
      <c r="C104" s="287">
        <v>1.5104725983E10</v>
      </c>
      <c r="D104" s="286" t="s">
        <v>1570</v>
      </c>
      <c r="E104" s="286" t="s">
        <v>1298</v>
      </c>
    </row>
    <row r="105">
      <c r="A105" s="286" t="s">
        <v>1571</v>
      </c>
      <c r="B105" s="286" t="s">
        <v>1572</v>
      </c>
      <c r="C105" s="287">
        <v>1.3466388789E10</v>
      </c>
      <c r="D105" s="286" t="s">
        <v>1573</v>
      </c>
      <c r="E105" s="286" t="s">
        <v>1414</v>
      </c>
    </row>
    <row r="106">
      <c r="A106" s="286" t="s">
        <v>1574</v>
      </c>
      <c r="B106" s="286" t="s">
        <v>1575</v>
      </c>
      <c r="C106" s="287">
        <v>1.3475843129E10</v>
      </c>
      <c r="D106" s="286" t="s">
        <v>1576</v>
      </c>
      <c r="E106" s="286" t="s">
        <v>1577</v>
      </c>
    </row>
    <row r="107">
      <c r="A107" s="286" t="s">
        <v>1578</v>
      </c>
      <c r="B107" s="262" t="s">
        <v>1579</v>
      </c>
      <c r="C107" s="287">
        <v>1.3468995392E10</v>
      </c>
      <c r="D107" s="286" t="s">
        <v>1580</v>
      </c>
      <c r="E107" s="286" t="s">
        <v>1298</v>
      </c>
    </row>
    <row r="108">
      <c r="A108" s="286" t="s">
        <v>1581</v>
      </c>
      <c r="B108" s="262"/>
      <c r="C108" s="287">
        <v>1.4847736972E10</v>
      </c>
      <c r="D108" s="286" t="s">
        <v>1582</v>
      </c>
      <c r="E108" s="286" t="s">
        <v>1414</v>
      </c>
    </row>
    <row r="109">
      <c r="A109" s="286" t="s">
        <v>1583</v>
      </c>
      <c r="B109" s="286" t="s">
        <v>1584</v>
      </c>
      <c r="C109" s="288">
        <v>5.93991E16</v>
      </c>
      <c r="D109" s="286" t="s">
        <v>1585</v>
      </c>
      <c r="E109" s="286" t="s">
        <v>1307</v>
      </c>
    </row>
    <row r="110">
      <c r="A110" s="286" t="s">
        <v>1586</v>
      </c>
      <c r="B110" s="286" t="s">
        <v>1424</v>
      </c>
      <c r="C110" s="287">
        <v>1.352840303E10</v>
      </c>
      <c r="D110" s="286" t="s">
        <v>1587</v>
      </c>
      <c r="E110" s="286" t="s">
        <v>1414</v>
      </c>
    </row>
    <row r="111">
      <c r="A111" s="286" t="s">
        <v>1588</v>
      </c>
      <c r="B111" s="262"/>
      <c r="C111" s="287">
        <v>1.6198231756E10</v>
      </c>
      <c r="D111" s="286" t="s">
        <v>1589</v>
      </c>
      <c r="E111" s="286" t="s">
        <v>1307</v>
      </c>
    </row>
    <row r="112">
      <c r="A112" s="286" t="s">
        <v>1590</v>
      </c>
      <c r="B112" s="262"/>
      <c r="C112" s="287">
        <v>1.3233200133E10</v>
      </c>
      <c r="D112" s="286" t="s">
        <v>1591</v>
      </c>
      <c r="E112" s="286" t="s">
        <v>1298</v>
      </c>
    </row>
    <row r="113">
      <c r="A113" s="286" t="s">
        <v>1592</v>
      </c>
      <c r="B113" s="286" t="s">
        <v>1593</v>
      </c>
      <c r="C113" s="287">
        <v>1.7207650354E10</v>
      </c>
      <c r="D113" s="286" t="s">
        <v>1594</v>
      </c>
      <c r="E113" s="286" t="s">
        <v>1307</v>
      </c>
    </row>
    <row r="114">
      <c r="A114" s="286" t="s">
        <v>1595</v>
      </c>
      <c r="B114" s="262" t="s">
        <v>1596</v>
      </c>
      <c r="C114" s="287">
        <v>1.5044210153E10</v>
      </c>
      <c r="D114" s="286" t="s">
        <v>1597</v>
      </c>
      <c r="E114" s="286" t="s">
        <v>1298</v>
      </c>
    </row>
    <row r="115">
      <c r="A115" s="286" t="s">
        <v>1598</v>
      </c>
      <c r="B115" s="262" t="s">
        <v>1599</v>
      </c>
      <c r="C115" s="287">
        <v>1.3477686967E10</v>
      </c>
      <c r="D115" s="286" t="s">
        <v>1600</v>
      </c>
      <c r="E115" s="286" t="s">
        <v>1409</v>
      </c>
    </row>
    <row r="116">
      <c r="A116" s="286" t="s">
        <v>1501</v>
      </c>
      <c r="B116" s="286" t="s">
        <v>1601</v>
      </c>
      <c r="C116" s="287">
        <v>1.8628236457E10</v>
      </c>
      <c r="D116" s="286" t="s">
        <v>1602</v>
      </c>
      <c r="E116" s="286" t="s">
        <v>1414</v>
      </c>
    </row>
    <row r="117">
      <c r="A117" s="286" t="s">
        <v>1603</v>
      </c>
      <c r="B117" s="262" t="s">
        <v>1604</v>
      </c>
      <c r="C117" s="287">
        <v>1.8084819951E10</v>
      </c>
      <c r="D117" s="286" t="s">
        <v>1605</v>
      </c>
      <c r="E117" s="286" t="s">
        <v>1298</v>
      </c>
    </row>
    <row r="118">
      <c r="A118" s="286" t="s">
        <v>1606</v>
      </c>
      <c r="B118" s="262" t="s">
        <v>1607</v>
      </c>
      <c r="C118" s="287">
        <v>1.9159904904E10</v>
      </c>
      <c r="D118" s="286" t="s">
        <v>1608</v>
      </c>
      <c r="E118" s="286" t="s">
        <v>1298</v>
      </c>
    </row>
    <row r="119">
      <c r="A119" s="286" t="s">
        <v>981</v>
      </c>
      <c r="B119" s="286" t="s">
        <v>1445</v>
      </c>
      <c r="C119" s="287">
        <v>1.6097357425E10</v>
      </c>
      <c r="D119" s="286" t="s">
        <v>1609</v>
      </c>
      <c r="E119" s="286" t="s">
        <v>1534</v>
      </c>
    </row>
    <row r="120">
      <c r="A120" s="286" t="s">
        <v>1610</v>
      </c>
      <c r="B120" s="286" t="s">
        <v>1611</v>
      </c>
      <c r="C120" s="287">
        <v>1.6466393681E10</v>
      </c>
      <c r="D120" s="286" t="s">
        <v>1612</v>
      </c>
      <c r="E120" s="286" t="s">
        <v>1307</v>
      </c>
    </row>
    <row r="121">
      <c r="A121" s="286" t="s">
        <v>981</v>
      </c>
      <c r="B121" s="262" t="s">
        <v>1613</v>
      </c>
      <c r="C121" s="287">
        <v>1.2107401514E10</v>
      </c>
      <c r="D121" s="286" t="s">
        <v>1614</v>
      </c>
      <c r="E121" s="286" t="s">
        <v>1298</v>
      </c>
    </row>
    <row r="122">
      <c r="A122" s="286" t="s">
        <v>1615</v>
      </c>
      <c r="B122" s="262" t="s">
        <v>1616</v>
      </c>
      <c r="C122" s="287">
        <v>1.810492838E10</v>
      </c>
      <c r="D122" s="286" t="s">
        <v>1617</v>
      </c>
      <c r="E122" s="286" t="s">
        <v>1298</v>
      </c>
    </row>
    <row r="123">
      <c r="A123" s="286" t="s">
        <v>1406</v>
      </c>
      <c r="B123" s="286" t="s">
        <v>1618</v>
      </c>
      <c r="C123" s="287">
        <v>1.3368978548E10</v>
      </c>
      <c r="D123" s="286" t="s">
        <v>1619</v>
      </c>
      <c r="E123" s="286" t="s">
        <v>1307</v>
      </c>
    </row>
    <row r="124">
      <c r="A124" s="286" t="s">
        <v>1620</v>
      </c>
      <c r="B124" s="262" t="s">
        <v>1621</v>
      </c>
      <c r="C124" s="287">
        <v>1.2394163473E10</v>
      </c>
      <c r="D124" s="286" t="s">
        <v>1622</v>
      </c>
      <c r="E124" s="286" t="s">
        <v>1298</v>
      </c>
    </row>
    <row r="125">
      <c r="A125" s="286" t="s">
        <v>1394</v>
      </c>
      <c r="B125" s="262" t="s">
        <v>1623</v>
      </c>
      <c r="C125" s="287">
        <v>1.5624810232E10</v>
      </c>
      <c r="D125" s="286" t="s">
        <v>1624</v>
      </c>
      <c r="E125" s="286" t="s">
        <v>1298</v>
      </c>
    </row>
    <row r="126">
      <c r="A126" s="286" t="s">
        <v>1625</v>
      </c>
      <c r="B126" s="262" t="s">
        <v>1626</v>
      </c>
      <c r="C126" s="287">
        <v>1.9136172757E10</v>
      </c>
      <c r="D126" s="286" t="s">
        <v>1627</v>
      </c>
      <c r="E126" s="286" t="s">
        <v>1298</v>
      </c>
    </row>
    <row r="127">
      <c r="A127" s="286" t="s">
        <v>1628</v>
      </c>
      <c r="B127" s="262" t="s">
        <v>1629</v>
      </c>
      <c r="C127" s="287">
        <v>1.5165048567E10</v>
      </c>
      <c r="D127" s="286" t="s">
        <v>1630</v>
      </c>
      <c r="E127" s="286" t="s">
        <v>1409</v>
      </c>
    </row>
    <row r="128">
      <c r="A128" s="286" t="s">
        <v>1631</v>
      </c>
      <c r="B128" s="262" t="s">
        <v>1632</v>
      </c>
      <c r="C128" s="287">
        <v>1.9014389005E10</v>
      </c>
      <c r="D128" s="286" t="s">
        <v>1633</v>
      </c>
      <c r="E128" s="286" t="s">
        <v>1298</v>
      </c>
    </row>
    <row r="129">
      <c r="A129" s="286" t="s">
        <v>1634</v>
      </c>
      <c r="B129" s="262"/>
      <c r="C129" s="287">
        <v>1.5597208113E10</v>
      </c>
      <c r="D129" s="286" t="s">
        <v>1635</v>
      </c>
      <c r="E129" s="286" t="s">
        <v>1298</v>
      </c>
    </row>
    <row r="130">
      <c r="A130" s="286" t="s">
        <v>1636</v>
      </c>
      <c r="B130" s="262" t="s">
        <v>1637</v>
      </c>
      <c r="C130" s="287">
        <v>1.6692147507E10</v>
      </c>
      <c r="D130" s="286" t="s">
        <v>1638</v>
      </c>
      <c r="E130" s="286" t="s">
        <v>1298</v>
      </c>
    </row>
    <row r="131">
      <c r="A131" s="286" t="s">
        <v>1639</v>
      </c>
      <c r="B131" s="286" t="s">
        <v>1331</v>
      </c>
      <c r="C131" s="287">
        <v>1.3108171342E10</v>
      </c>
      <c r="D131" s="286" t="s">
        <v>1640</v>
      </c>
      <c r="E131" s="286" t="s">
        <v>1307</v>
      </c>
    </row>
    <row r="132">
      <c r="A132" s="286" t="s">
        <v>1641</v>
      </c>
      <c r="B132" s="286" t="s">
        <v>1642</v>
      </c>
      <c r="C132" s="287">
        <v>1.4109342179E10</v>
      </c>
      <c r="D132" s="286" t="s">
        <v>1643</v>
      </c>
      <c r="E132" s="286" t="s">
        <v>1307</v>
      </c>
    </row>
    <row r="133">
      <c r="A133" s="286" t="s">
        <v>1644</v>
      </c>
      <c r="B133" s="286" t="s">
        <v>1645</v>
      </c>
      <c r="C133" s="287">
        <v>1.6562031874E10</v>
      </c>
      <c r="D133" s="286" t="s">
        <v>1646</v>
      </c>
      <c r="E133" s="286" t="s">
        <v>1307</v>
      </c>
    </row>
    <row r="134">
      <c r="A134" s="286" t="s">
        <v>1647</v>
      </c>
      <c r="B134" s="262" t="s">
        <v>1648</v>
      </c>
      <c r="C134" s="287">
        <v>1.8139199571E10</v>
      </c>
      <c r="D134" s="286" t="s">
        <v>1649</v>
      </c>
      <c r="E134" s="286" t="s">
        <v>1298</v>
      </c>
    </row>
    <row r="135">
      <c r="A135" s="286" t="s">
        <v>1650</v>
      </c>
      <c r="B135" s="286" t="s">
        <v>1651</v>
      </c>
      <c r="C135" s="287">
        <v>1.9153310747E10</v>
      </c>
      <c r="D135" s="286" t="s">
        <v>1652</v>
      </c>
      <c r="E135" s="286" t="s">
        <v>1307</v>
      </c>
    </row>
    <row r="136">
      <c r="A136" s="286" t="s">
        <v>641</v>
      </c>
      <c r="B136" s="286" t="s">
        <v>1653</v>
      </c>
      <c r="C136" s="287">
        <v>1.6206800785E10</v>
      </c>
      <c r="D136" s="286" t="s">
        <v>1654</v>
      </c>
      <c r="E136" s="286" t="s">
        <v>1414</v>
      </c>
    </row>
    <row r="137">
      <c r="A137" s="286" t="s">
        <v>1655</v>
      </c>
      <c r="B137" s="262" t="s">
        <v>1656</v>
      </c>
      <c r="C137" s="287">
        <v>1.9084463151E10</v>
      </c>
      <c r="D137" s="286" t="s">
        <v>1657</v>
      </c>
      <c r="E137" s="286" t="s">
        <v>1298</v>
      </c>
    </row>
    <row r="138">
      <c r="A138" s="286" t="s">
        <v>1658</v>
      </c>
      <c r="B138" s="262" t="s">
        <v>1659</v>
      </c>
      <c r="C138" s="287">
        <v>1.646737669E10</v>
      </c>
      <c r="D138" s="286" t="s">
        <v>1660</v>
      </c>
      <c r="E138" s="286" t="s">
        <v>1298</v>
      </c>
    </row>
    <row r="139">
      <c r="A139" s="286" t="s">
        <v>589</v>
      </c>
      <c r="B139" s="286" t="s">
        <v>1661</v>
      </c>
      <c r="C139" s="287">
        <v>1.2144148412E10</v>
      </c>
      <c r="D139" s="286" t="s">
        <v>1662</v>
      </c>
      <c r="E139" s="286" t="s">
        <v>1414</v>
      </c>
    </row>
    <row r="140">
      <c r="A140" s="286" t="s">
        <v>1556</v>
      </c>
      <c r="B140" s="262" t="s">
        <v>1663</v>
      </c>
      <c r="C140" s="287">
        <v>1.2406092089E10</v>
      </c>
      <c r="D140" s="286" t="s">
        <v>1664</v>
      </c>
      <c r="E140" s="286" t="s">
        <v>1298</v>
      </c>
    </row>
    <row r="141">
      <c r="A141" s="286" t="s">
        <v>1665</v>
      </c>
      <c r="B141" s="286" t="s">
        <v>1666</v>
      </c>
      <c r="C141" s="287">
        <v>1.3478482699E10</v>
      </c>
      <c r="D141" s="286" t="s">
        <v>1667</v>
      </c>
      <c r="E141" s="286" t="s">
        <v>1307</v>
      </c>
    </row>
    <row r="142">
      <c r="A142" s="286" t="s">
        <v>981</v>
      </c>
      <c r="B142" s="262" t="s">
        <v>1607</v>
      </c>
      <c r="C142" s="287">
        <v>1.909521456E10</v>
      </c>
      <c r="D142" s="286" t="s">
        <v>1668</v>
      </c>
      <c r="E142" s="286" t="s">
        <v>1298</v>
      </c>
    </row>
    <row r="143">
      <c r="A143" s="286" t="s">
        <v>1669</v>
      </c>
      <c r="B143" s="262"/>
      <c r="C143" s="287">
        <v>1.7038321445E10</v>
      </c>
      <c r="D143" s="286" t="s">
        <v>1670</v>
      </c>
      <c r="E143" s="286" t="s">
        <v>1414</v>
      </c>
    </row>
    <row r="144">
      <c r="A144" s="286" t="s">
        <v>1671</v>
      </c>
      <c r="B144" s="262" t="s">
        <v>1536</v>
      </c>
      <c r="C144" s="287">
        <v>1.9564438668E10</v>
      </c>
      <c r="D144" s="286" t="s">
        <v>1672</v>
      </c>
      <c r="E144" s="286" t="s">
        <v>1298</v>
      </c>
    </row>
    <row r="145">
      <c r="A145" s="286" t="s">
        <v>1673</v>
      </c>
      <c r="B145" s="286" t="s">
        <v>1674</v>
      </c>
      <c r="C145" s="287">
        <v>1.7869289865E10</v>
      </c>
      <c r="D145" s="286" t="s">
        <v>1675</v>
      </c>
      <c r="E145" s="286" t="s">
        <v>1414</v>
      </c>
    </row>
    <row r="146">
      <c r="A146" s="286" t="s">
        <v>1676</v>
      </c>
      <c r="B146" s="262" t="s">
        <v>1677</v>
      </c>
      <c r="C146" s="287">
        <v>1.3125388615E10</v>
      </c>
      <c r="D146" s="286" t="s">
        <v>1678</v>
      </c>
      <c r="E146" s="286" t="s">
        <v>1298</v>
      </c>
    </row>
    <row r="147">
      <c r="A147" s="286" t="s">
        <v>941</v>
      </c>
      <c r="B147" s="262" t="s">
        <v>1679</v>
      </c>
      <c r="C147" s="287">
        <v>1.9193950778E10</v>
      </c>
      <c r="D147" s="286" t="s">
        <v>1680</v>
      </c>
      <c r="E147" s="286" t="s">
        <v>1409</v>
      </c>
    </row>
    <row r="148">
      <c r="A148" s="286" t="s">
        <v>1681</v>
      </c>
      <c r="B148" s="262" t="s">
        <v>1466</v>
      </c>
      <c r="C148" s="287">
        <v>1.5054909473E10</v>
      </c>
      <c r="D148" s="286" t="s">
        <v>1682</v>
      </c>
      <c r="E148" s="286" t="s">
        <v>1409</v>
      </c>
    </row>
    <row r="149">
      <c r="A149" s="286" t="s">
        <v>1673</v>
      </c>
      <c r="B149" s="262" t="s">
        <v>1683</v>
      </c>
      <c r="C149" s="287">
        <v>1.5308380415E10</v>
      </c>
      <c r="D149" s="286" t="s">
        <v>1684</v>
      </c>
      <c r="E149" s="286" t="s">
        <v>1298</v>
      </c>
    </row>
    <row r="150">
      <c r="A150" s="286" t="s">
        <v>1574</v>
      </c>
      <c r="B150" s="286" t="s">
        <v>1407</v>
      </c>
      <c r="C150" s="287">
        <v>1.9789563162E10</v>
      </c>
      <c r="D150" s="286" t="s">
        <v>1685</v>
      </c>
      <c r="E150" s="286" t="s">
        <v>1307</v>
      </c>
    </row>
    <row r="151">
      <c r="A151" s="286" t="s">
        <v>1171</v>
      </c>
      <c r="B151" s="286" t="s">
        <v>1569</v>
      </c>
      <c r="C151" s="287">
        <v>1.5512540172E10</v>
      </c>
      <c r="D151" s="286" t="s">
        <v>1686</v>
      </c>
      <c r="E151" s="286" t="s">
        <v>1307</v>
      </c>
    </row>
    <row r="152">
      <c r="A152" s="286" t="s">
        <v>1687</v>
      </c>
      <c r="B152" s="262" t="s">
        <v>1688</v>
      </c>
      <c r="C152" s="287">
        <v>1.3302617763E10</v>
      </c>
      <c r="D152" s="286" t="s">
        <v>1689</v>
      </c>
      <c r="E152" s="286" t="s">
        <v>1298</v>
      </c>
    </row>
    <row r="153">
      <c r="A153" s="286" t="s">
        <v>1676</v>
      </c>
      <c r="B153" s="262" t="s">
        <v>1690</v>
      </c>
      <c r="C153" s="287">
        <v>1.9545497151E10</v>
      </c>
      <c r="D153" s="286" t="s">
        <v>1691</v>
      </c>
      <c r="E153" s="286" t="s">
        <v>1409</v>
      </c>
    </row>
    <row r="154">
      <c r="A154" s="286" t="s">
        <v>1692</v>
      </c>
      <c r="B154" s="262"/>
      <c r="C154" s="287">
        <v>1.6788980719E10</v>
      </c>
      <c r="D154" s="286" t="s">
        <v>1693</v>
      </c>
      <c r="E154" s="286" t="s">
        <v>1298</v>
      </c>
    </row>
    <row r="155">
      <c r="A155" s="286" t="s">
        <v>1694</v>
      </c>
      <c r="B155" s="262" t="s">
        <v>1695</v>
      </c>
      <c r="C155" s="287">
        <v>1.3473535273E10</v>
      </c>
      <c r="D155" s="286" t="s">
        <v>1696</v>
      </c>
      <c r="E155" s="286" t="s">
        <v>1298</v>
      </c>
    </row>
    <row r="156">
      <c r="A156" s="286" t="s">
        <v>1697</v>
      </c>
      <c r="B156" s="262" t="s">
        <v>1698</v>
      </c>
      <c r="C156" s="287">
        <v>1.3473588519E10</v>
      </c>
      <c r="D156" s="286" t="s">
        <v>1699</v>
      </c>
      <c r="E156" s="286" t="s">
        <v>1298</v>
      </c>
    </row>
    <row r="157">
      <c r="A157" s="286" t="s">
        <v>1700</v>
      </c>
      <c r="B157" s="262" t="s">
        <v>1701</v>
      </c>
      <c r="C157" s="287">
        <v>1.8056021861E10</v>
      </c>
      <c r="D157" s="286" t="s">
        <v>1702</v>
      </c>
      <c r="E157" s="286" t="s">
        <v>1298</v>
      </c>
    </row>
    <row r="158">
      <c r="A158" s="286" t="s">
        <v>1703</v>
      </c>
      <c r="B158" s="262" t="s">
        <v>1527</v>
      </c>
      <c r="C158" s="287">
        <v>1.9713301124E10</v>
      </c>
      <c r="D158" s="286" t="s">
        <v>1704</v>
      </c>
      <c r="E158" s="286" t="s">
        <v>1298</v>
      </c>
    </row>
    <row r="159">
      <c r="A159" s="286" t="s">
        <v>1117</v>
      </c>
      <c r="B159" s="262" t="s">
        <v>1705</v>
      </c>
      <c r="C159" s="287">
        <v>1.7797173654E10</v>
      </c>
      <c r="D159" s="286" t="s">
        <v>1706</v>
      </c>
      <c r="E159" s="286" t="s">
        <v>1298</v>
      </c>
    </row>
    <row r="160">
      <c r="A160" s="286" t="s">
        <v>1707</v>
      </c>
      <c r="B160" s="262" t="s">
        <v>1708</v>
      </c>
      <c r="C160" s="287">
        <v>1.7864683546E10</v>
      </c>
      <c r="D160" s="286" t="s">
        <v>1709</v>
      </c>
      <c r="E160" s="286" t="s">
        <v>1298</v>
      </c>
    </row>
    <row r="161">
      <c r="A161" s="286" t="s">
        <v>1710</v>
      </c>
      <c r="B161" s="262" t="s">
        <v>1711</v>
      </c>
      <c r="C161" s="287">
        <v>1.8474066844E10</v>
      </c>
      <c r="D161" s="286" t="s">
        <v>1712</v>
      </c>
      <c r="E161" s="286" t="s">
        <v>1409</v>
      </c>
    </row>
    <row r="162">
      <c r="A162" s="286" t="s">
        <v>1713</v>
      </c>
      <c r="B162" s="262" t="s">
        <v>1714</v>
      </c>
      <c r="C162" s="287">
        <v>1.9152968643E10</v>
      </c>
      <c r="D162" s="286" t="s">
        <v>1715</v>
      </c>
      <c r="E162" s="286" t="s">
        <v>1409</v>
      </c>
    </row>
    <row r="163">
      <c r="A163" s="286" t="s">
        <v>1716</v>
      </c>
      <c r="B163" s="262" t="s">
        <v>1366</v>
      </c>
      <c r="C163" s="287">
        <v>1.313995669E10</v>
      </c>
      <c r="D163" s="286" t="s">
        <v>1717</v>
      </c>
      <c r="E163" s="286" t="s">
        <v>1298</v>
      </c>
    </row>
    <row r="164">
      <c r="A164" s="286" t="s">
        <v>981</v>
      </c>
      <c r="B164" s="262" t="s">
        <v>1718</v>
      </c>
      <c r="C164" s="287">
        <v>1.4058821835E10</v>
      </c>
      <c r="D164" s="286" t="s">
        <v>1719</v>
      </c>
      <c r="E164" s="286" t="s">
        <v>1298</v>
      </c>
    </row>
    <row r="165">
      <c r="A165" s="286" t="s">
        <v>1720</v>
      </c>
      <c r="B165" s="262"/>
      <c r="C165" s="287">
        <v>1.3057418719E10</v>
      </c>
      <c r="D165" s="286" t="s">
        <v>1721</v>
      </c>
      <c r="E165" s="286" t="s">
        <v>1307</v>
      </c>
    </row>
    <row r="166">
      <c r="A166" s="286" t="s">
        <v>1722</v>
      </c>
      <c r="B166" s="262" t="s">
        <v>1723</v>
      </c>
      <c r="C166" s="287">
        <v>1.3235294239E10</v>
      </c>
      <c r="D166" s="286" t="s">
        <v>1724</v>
      </c>
      <c r="E166" s="286" t="s">
        <v>1298</v>
      </c>
    </row>
    <row r="167">
      <c r="A167" s="286" t="s">
        <v>1725</v>
      </c>
      <c r="B167" s="286" t="s">
        <v>1726</v>
      </c>
      <c r="C167" s="287">
        <v>1.6783574135E10</v>
      </c>
      <c r="D167" s="286" t="s">
        <v>1727</v>
      </c>
      <c r="E167" s="286" t="s">
        <v>1577</v>
      </c>
    </row>
    <row r="168">
      <c r="A168" s="286" t="s">
        <v>1728</v>
      </c>
      <c r="B168" s="286" t="s">
        <v>1729</v>
      </c>
      <c r="C168" s="287">
        <v>1.4323416834E10</v>
      </c>
      <c r="D168" s="286" t="s">
        <v>1730</v>
      </c>
      <c r="E168" s="286" t="s">
        <v>1307</v>
      </c>
    </row>
    <row r="169">
      <c r="A169" s="286" t="s">
        <v>1731</v>
      </c>
      <c r="B169" s="262"/>
      <c r="C169" s="287">
        <v>1.9195231626E10</v>
      </c>
      <c r="D169" s="286" t="s">
        <v>1732</v>
      </c>
      <c r="E169" s="286" t="s">
        <v>1307</v>
      </c>
    </row>
    <row r="170">
      <c r="A170" s="286" t="s">
        <v>1733</v>
      </c>
      <c r="B170" s="286" t="s">
        <v>1734</v>
      </c>
      <c r="C170" s="287">
        <v>1.6197077455E10</v>
      </c>
      <c r="D170" s="286" t="s">
        <v>1735</v>
      </c>
      <c r="E170" s="286" t="s">
        <v>1307</v>
      </c>
    </row>
    <row r="171">
      <c r="A171" s="286" t="s">
        <v>1736</v>
      </c>
      <c r="B171" s="286" t="s">
        <v>1357</v>
      </c>
      <c r="C171" s="287">
        <v>1.3053457634E10</v>
      </c>
      <c r="D171" s="286" t="s">
        <v>1737</v>
      </c>
      <c r="E171" s="286" t="s">
        <v>1738</v>
      </c>
    </row>
    <row r="172">
      <c r="A172" s="286" t="s">
        <v>1739</v>
      </c>
      <c r="B172" s="262" t="s">
        <v>1740</v>
      </c>
      <c r="C172" s="287">
        <v>1.6822215375E10</v>
      </c>
      <c r="D172" s="286" t="s">
        <v>1741</v>
      </c>
      <c r="E172" s="286" t="s">
        <v>1409</v>
      </c>
    </row>
    <row r="173">
      <c r="A173" s="286" t="s">
        <v>1344</v>
      </c>
      <c r="B173" s="262" t="s">
        <v>1742</v>
      </c>
      <c r="C173" s="287">
        <v>1.9152616123E10</v>
      </c>
      <c r="D173" s="286" t="s">
        <v>1743</v>
      </c>
      <c r="E173" s="286" t="s">
        <v>1409</v>
      </c>
    </row>
    <row r="174">
      <c r="A174" s="286" t="s">
        <v>1744</v>
      </c>
      <c r="B174" s="286" t="s">
        <v>1745</v>
      </c>
      <c r="C174" s="287">
        <v>1.5623774681E10</v>
      </c>
      <c r="D174" s="286" t="s">
        <v>1746</v>
      </c>
      <c r="E174" s="286" t="s">
        <v>1307</v>
      </c>
    </row>
    <row r="175">
      <c r="A175" s="286" t="s">
        <v>1747</v>
      </c>
      <c r="B175" s="262" t="s">
        <v>1748</v>
      </c>
      <c r="C175" s="287">
        <v>1.5106043945E10</v>
      </c>
      <c r="D175" s="286" t="s">
        <v>1749</v>
      </c>
      <c r="E175" s="286" t="s">
        <v>1298</v>
      </c>
    </row>
    <row r="176">
      <c r="A176" s="286" t="s">
        <v>1750</v>
      </c>
      <c r="B176" s="262" t="s">
        <v>1751</v>
      </c>
      <c r="C176" s="287">
        <v>1.9563420428E10</v>
      </c>
      <c r="D176" s="286" t="s">
        <v>1752</v>
      </c>
      <c r="E176" s="286" t="s">
        <v>1298</v>
      </c>
    </row>
    <row r="177">
      <c r="A177" s="286" t="s">
        <v>981</v>
      </c>
      <c r="B177" s="262" t="s">
        <v>1753</v>
      </c>
      <c r="C177" s="287">
        <v>1.9293075825E10</v>
      </c>
      <c r="D177" s="286" t="s">
        <v>1754</v>
      </c>
      <c r="E177" s="286" t="s">
        <v>1409</v>
      </c>
    </row>
    <row r="178">
      <c r="A178" s="286" t="s">
        <v>1755</v>
      </c>
      <c r="B178" s="262" t="s">
        <v>1554</v>
      </c>
      <c r="C178" s="287">
        <v>1.2679095E10</v>
      </c>
      <c r="D178" s="286" t="s">
        <v>1756</v>
      </c>
      <c r="E178" s="286" t="s">
        <v>1298</v>
      </c>
    </row>
    <row r="179">
      <c r="A179" s="286" t="s">
        <v>1757</v>
      </c>
      <c r="C179" s="287">
        <v>1.7013000639E10</v>
      </c>
      <c r="D179" s="286" t="s">
        <v>1758</v>
      </c>
      <c r="E179" s="286" t="s">
        <v>1307</v>
      </c>
    </row>
    <row r="180">
      <c r="A180" s="286" t="s">
        <v>1759</v>
      </c>
      <c r="B180" s="262"/>
      <c r="C180" s="287">
        <v>1.7867102856E10</v>
      </c>
      <c r="D180" s="286" t="s">
        <v>1760</v>
      </c>
      <c r="E180" s="286" t="s">
        <v>1738</v>
      </c>
    </row>
    <row r="181">
      <c r="A181" s="286" t="s">
        <v>1581</v>
      </c>
      <c r="B181" s="262" t="s">
        <v>1761</v>
      </c>
      <c r="C181" s="287">
        <v>1.2814613546E10</v>
      </c>
      <c r="D181" s="286" t="s">
        <v>1762</v>
      </c>
      <c r="E181" s="286" t="s">
        <v>1298</v>
      </c>
    </row>
    <row r="182">
      <c r="A182" s="286" t="s">
        <v>1763</v>
      </c>
      <c r="B182" s="262" t="s">
        <v>1764</v>
      </c>
      <c r="C182" s="287">
        <v>1.9158927274E10</v>
      </c>
      <c r="D182" s="286" t="s">
        <v>1765</v>
      </c>
      <c r="E182" s="286" t="s">
        <v>1298</v>
      </c>
    </row>
    <row r="183">
      <c r="A183" s="286" t="s">
        <v>1766</v>
      </c>
      <c r="B183" s="262"/>
      <c r="C183" s="287">
        <v>1.5512636552E10</v>
      </c>
      <c r="D183" s="286" t="s">
        <v>1767</v>
      </c>
      <c r="E183" s="286" t="s">
        <v>1307</v>
      </c>
    </row>
    <row r="184">
      <c r="A184" s="286" t="s">
        <v>1768</v>
      </c>
      <c r="B184" s="262"/>
      <c r="C184" s="287">
        <v>1.8328339017E10</v>
      </c>
      <c r="D184" s="286" t="s">
        <v>1769</v>
      </c>
      <c r="E184" s="286" t="s">
        <v>1307</v>
      </c>
    </row>
    <row r="185">
      <c r="A185" s="286" t="s">
        <v>1356</v>
      </c>
      <c r="B185" s="262" t="s">
        <v>1770</v>
      </c>
      <c r="C185" s="287">
        <v>1.2024217985E10</v>
      </c>
      <c r="D185" s="286" t="s">
        <v>1771</v>
      </c>
      <c r="E185" s="286" t="s">
        <v>1298</v>
      </c>
    </row>
    <row r="186">
      <c r="A186" s="286" t="s">
        <v>1772</v>
      </c>
      <c r="B186" s="262" t="s">
        <v>1471</v>
      </c>
      <c r="C186" s="287">
        <v>1.7875571306E10</v>
      </c>
      <c r="D186" s="286" t="s">
        <v>1773</v>
      </c>
      <c r="E186" s="286" t="s">
        <v>1298</v>
      </c>
    </row>
    <row r="187">
      <c r="A187" s="286" t="s">
        <v>1774</v>
      </c>
      <c r="B187" s="262" t="s">
        <v>1775</v>
      </c>
      <c r="C187" s="287">
        <v>1.9174440237E10</v>
      </c>
      <c r="D187" s="286" t="s">
        <v>1776</v>
      </c>
      <c r="E187" s="286" t="s">
        <v>1409</v>
      </c>
    </row>
    <row r="188">
      <c r="A188" s="286" t="s">
        <v>1581</v>
      </c>
      <c r="B188" s="286" t="s">
        <v>1777</v>
      </c>
      <c r="C188" s="287">
        <v>1.956309314E10</v>
      </c>
      <c r="D188" s="286" t="s">
        <v>1778</v>
      </c>
      <c r="E188" s="286" t="s">
        <v>1307</v>
      </c>
    </row>
    <row r="189">
      <c r="A189" s="286" t="s">
        <v>1779</v>
      </c>
      <c r="B189" s="262" t="s">
        <v>1780</v>
      </c>
      <c r="C189" s="287">
        <v>1.2012837627E10</v>
      </c>
      <c r="D189" s="286" t="s">
        <v>1781</v>
      </c>
      <c r="E189" s="286" t="s">
        <v>1298</v>
      </c>
    </row>
    <row r="190">
      <c r="A190" s="286" t="s">
        <v>1681</v>
      </c>
      <c r="B190" s="286" t="s">
        <v>1782</v>
      </c>
      <c r="C190" s="287">
        <v>1.3059885648E10</v>
      </c>
      <c r="D190" s="286" t="s">
        <v>1783</v>
      </c>
      <c r="E190" s="286" t="s">
        <v>1307</v>
      </c>
    </row>
    <row r="191">
      <c r="A191" s="286" t="s">
        <v>1784</v>
      </c>
      <c r="B191" s="286" t="s">
        <v>1430</v>
      </c>
      <c r="C191" s="287">
        <v>1.714612802E10</v>
      </c>
      <c r="D191" s="286" t="s">
        <v>1785</v>
      </c>
      <c r="E191" s="286" t="s">
        <v>1307</v>
      </c>
    </row>
    <row r="192">
      <c r="A192" s="286" t="s">
        <v>1558</v>
      </c>
      <c r="B192" s="262" t="s">
        <v>1786</v>
      </c>
      <c r="C192" s="287">
        <v>1.4077731589E10</v>
      </c>
      <c r="D192" s="286" t="s">
        <v>1787</v>
      </c>
      <c r="E192" s="286" t="s">
        <v>1298</v>
      </c>
    </row>
    <row r="193">
      <c r="A193" s="286" t="s">
        <v>1788</v>
      </c>
      <c r="B193" s="262" t="s">
        <v>1789</v>
      </c>
      <c r="C193" s="287">
        <v>1.8329432866E10</v>
      </c>
      <c r="D193" s="286" t="s">
        <v>1790</v>
      </c>
      <c r="E193" s="286" t="s">
        <v>1298</v>
      </c>
    </row>
    <row r="194">
      <c r="A194" s="286" t="s">
        <v>1359</v>
      </c>
      <c r="B194" s="262" t="s">
        <v>1791</v>
      </c>
      <c r="C194" s="287">
        <v>1.5205853935E10</v>
      </c>
      <c r="D194" s="286" t="s">
        <v>1792</v>
      </c>
      <c r="E194" s="286" t="s">
        <v>1298</v>
      </c>
    </row>
    <row r="195">
      <c r="A195" s="286" t="s">
        <v>1793</v>
      </c>
      <c r="B195" s="286" t="s">
        <v>1794</v>
      </c>
      <c r="C195" s="287">
        <v>1.7188444201E10</v>
      </c>
      <c r="D195" s="286" t="s">
        <v>1795</v>
      </c>
      <c r="E195" s="286" t="s">
        <v>1307</v>
      </c>
    </row>
    <row r="196">
      <c r="A196" s="286" t="s">
        <v>1796</v>
      </c>
      <c r="B196" s="262" t="s">
        <v>1797</v>
      </c>
      <c r="C196" s="287">
        <v>1.8436930575E10</v>
      </c>
      <c r="D196" s="286" t="s">
        <v>1798</v>
      </c>
      <c r="E196" s="286" t="s">
        <v>1298</v>
      </c>
    </row>
    <row r="197">
      <c r="A197" s="286" t="s">
        <v>1799</v>
      </c>
      <c r="B197" s="262" t="s">
        <v>1471</v>
      </c>
      <c r="C197" s="287">
        <v>1.7252467043E10</v>
      </c>
      <c r="D197" s="286" t="s">
        <v>1800</v>
      </c>
      <c r="E197" s="286" t="s">
        <v>1298</v>
      </c>
    </row>
    <row r="198">
      <c r="A198" s="286" t="s">
        <v>1316</v>
      </c>
      <c r="B198" s="286" t="s">
        <v>1518</v>
      </c>
      <c r="C198" s="287">
        <v>1.6146027302E10</v>
      </c>
      <c r="D198" s="286" t="s">
        <v>1801</v>
      </c>
      <c r="E198" s="286" t="s">
        <v>1307</v>
      </c>
    </row>
    <row r="199">
      <c r="A199" s="286" t="s">
        <v>1802</v>
      </c>
      <c r="B199" s="262" t="s">
        <v>1803</v>
      </c>
      <c r="C199" s="287">
        <v>1.2397786459E10</v>
      </c>
      <c r="D199" s="286" t="s">
        <v>1804</v>
      </c>
      <c r="E199" s="286" t="s">
        <v>1298</v>
      </c>
    </row>
    <row r="200">
      <c r="A200" s="286" t="s">
        <v>1805</v>
      </c>
      <c r="B200" s="262" t="s">
        <v>1806</v>
      </c>
      <c r="C200" s="287">
        <v>1.5593971045E10</v>
      </c>
      <c r="D200" s="286" t="s">
        <v>1807</v>
      </c>
      <c r="E200" s="286" t="s">
        <v>1298</v>
      </c>
    </row>
    <row r="201">
      <c r="A201" s="286" t="s">
        <v>1808</v>
      </c>
      <c r="B201" s="262"/>
      <c r="C201" s="287">
        <v>1.3478886758E10</v>
      </c>
      <c r="D201" s="286" t="s">
        <v>1809</v>
      </c>
      <c r="E201" s="286" t="s">
        <v>1307</v>
      </c>
    </row>
    <row r="202">
      <c r="A202" s="286" t="s">
        <v>1810</v>
      </c>
      <c r="B202" s="262" t="s">
        <v>1811</v>
      </c>
      <c r="C202" s="287">
        <v>1.5129947731E10</v>
      </c>
      <c r="D202" s="286" t="s">
        <v>1812</v>
      </c>
      <c r="E202" s="286" t="s">
        <v>1298</v>
      </c>
    </row>
    <row r="203">
      <c r="A203" s="286" t="s">
        <v>545</v>
      </c>
      <c r="B203" s="262" t="s">
        <v>1813</v>
      </c>
      <c r="C203" s="287">
        <v>1.8139970466E10</v>
      </c>
      <c r="D203" s="286" t="s">
        <v>1814</v>
      </c>
      <c r="E203" s="286" t="s">
        <v>1409</v>
      </c>
    </row>
    <row r="204">
      <c r="A204" s="286" t="s">
        <v>1815</v>
      </c>
      <c r="B204" s="262" t="s">
        <v>1345</v>
      </c>
      <c r="C204" s="287">
        <v>1.8163160774E10</v>
      </c>
      <c r="D204" s="286" t="s">
        <v>1816</v>
      </c>
      <c r="E204" s="286" t="s">
        <v>1298</v>
      </c>
    </row>
    <row r="205">
      <c r="A205" s="286" t="s">
        <v>1817</v>
      </c>
      <c r="B205" s="262" t="s">
        <v>1818</v>
      </c>
      <c r="C205" s="287">
        <v>1.3213309741E10</v>
      </c>
      <c r="D205" s="286" t="s">
        <v>1819</v>
      </c>
      <c r="E205" s="286" t="s">
        <v>1298</v>
      </c>
    </row>
    <row r="206">
      <c r="A206" s="286" t="s">
        <v>579</v>
      </c>
      <c r="B206" s="286" t="s">
        <v>1820</v>
      </c>
      <c r="C206" s="287">
        <v>1.7862461925E10</v>
      </c>
      <c r="D206" s="286" t="s">
        <v>1821</v>
      </c>
      <c r="E206" s="286" t="s">
        <v>1307</v>
      </c>
    </row>
    <row r="207">
      <c r="A207" s="286" t="s">
        <v>1822</v>
      </c>
      <c r="B207" s="262" t="s">
        <v>1701</v>
      </c>
      <c r="C207" s="287">
        <v>1.561693721E10</v>
      </c>
      <c r="D207" s="286" t="s">
        <v>1823</v>
      </c>
      <c r="E207" s="286" t="s">
        <v>1409</v>
      </c>
    </row>
    <row r="208">
      <c r="A208" s="286" t="s">
        <v>1733</v>
      </c>
      <c r="B208" s="262" t="s">
        <v>1569</v>
      </c>
      <c r="C208" s="287">
        <v>1.8483309779E10</v>
      </c>
      <c r="D208" s="286" t="s">
        <v>1824</v>
      </c>
      <c r="E208" s="286" t="s">
        <v>1298</v>
      </c>
    </row>
    <row r="209">
      <c r="A209" s="286" t="s">
        <v>1171</v>
      </c>
      <c r="B209" s="262"/>
      <c r="C209" s="287">
        <v>1.7322376999E10</v>
      </c>
      <c r="D209" s="286" t="s">
        <v>1825</v>
      </c>
      <c r="E209" s="286" t="s">
        <v>1298</v>
      </c>
    </row>
    <row r="210">
      <c r="A210" s="286" t="s">
        <v>1826</v>
      </c>
      <c r="B210" s="262" t="s">
        <v>1827</v>
      </c>
      <c r="C210" s="287">
        <v>1.7815357192E10</v>
      </c>
      <c r="D210" s="286" t="s">
        <v>1828</v>
      </c>
      <c r="E210" s="286" t="s">
        <v>1409</v>
      </c>
    </row>
    <row r="211">
      <c r="A211" s="286" t="s">
        <v>653</v>
      </c>
      <c r="B211" s="262" t="s">
        <v>1536</v>
      </c>
      <c r="C211" s="287">
        <v>1.346539441E10</v>
      </c>
      <c r="D211" s="286" t="s">
        <v>1829</v>
      </c>
      <c r="E211" s="286" t="s">
        <v>1409</v>
      </c>
    </row>
    <row r="212">
      <c r="A212" s="286" t="s">
        <v>1830</v>
      </c>
      <c r="B212" s="286" t="s">
        <v>1372</v>
      </c>
      <c r="C212" s="287">
        <v>1.6308161198E10</v>
      </c>
      <c r="D212" s="286" t="s">
        <v>1831</v>
      </c>
      <c r="E212" s="286" t="s">
        <v>1307</v>
      </c>
    </row>
    <row r="213">
      <c r="A213" s="286" t="s">
        <v>1631</v>
      </c>
      <c r="B213" s="262" t="s">
        <v>1832</v>
      </c>
      <c r="C213" s="287">
        <v>1.2109092975E10</v>
      </c>
      <c r="D213" s="286" t="s">
        <v>1833</v>
      </c>
      <c r="E213" s="286" t="s">
        <v>1298</v>
      </c>
    </row>
    <row r="214">
      <c r="A214" s="286" t="s">
        <v>1834</v>
      </c>
      <c r="B214" s="262" t="s">
        <v>1356</v>
      </c>
      <c r="C214" s="287">
        <v>1.5102605412E10</v>
      </c>
      <c r="D214" s="286" t="s">
        <v>1835</v>
      </c>
      <c r="E214" s="286" t="s">
        <v>1298</v>
      </c>
    </row>
    <row r="215">
      <c r="A215" s="286" t="s">
        <v>579</v>
      </c>
      <c r="B215" s="262" t="s">
        <v>1407</v>
      </c>
      <c r="C215" s="287">
        <v>1.4322315858E10</v>
      </c>
      <c r="D215" s="286" t="s">
        <v>1836</v>
      </c>
      <c r="E215" s="286" t="s">
        <v>1298</v>
      </c>
    </row>
    <row r="216">
      <c r="A216" s="286" t="s">
        <v>1837</v>
      </c>
      <c r="B216" s="262" t="s">
        <v>1471</v>
      </c>
      <c r="C216" s="287">
        <v>1.3127340579E10</v>
      </c>
      <c r="D216" s="286" t="s">
        <v>1838</v>
      </c>
      <c r="E216" s="286" t="s">
        <v>1298</v>
      </c>
    </row>
    <row r="217">
      <c r="A217" s="286" t="s">
        <v>1839</v>
      </c>
      <c r="B217" s="286" t="s">
        <v>1840</v>
      </c>
      <c r="C217" s="287">
        <v>1.6022838475E10</v>
      </c>
      <c r="D217" s="286" t="s">
        <v>1841</v>
      </c>
      <c r="E217" s="286" t="s">
        <v>1307</v>
      </c>
    </row>
    <row r="218">
      <c r="A218" s="286" t="s">
        <v>1509</v>
      </c>
      <c r="B218" s="286" t="s">
        <v>1354</v>
      </c>
      <c r="C218" s="287">
        <v>1.9124776477E10</v>
      </c>
      <c r="D218" s="286" t="s">
        <v>1842</v>
      </c>
      <c r="E218" s="286" t="s">
        <v>1307</v>
      </c>
    </row>
    <row r="219">
      <c r="A219" s="286" t="s">
        <v>1843</v>
      </c>
      <c r="B219" s="262" t="s">
        <v>1844</v>
      </c>
      <c r="C219" s="287">
        <v>1.8622829282E10</v>
      </c>
      <c r="D219" s="286" t="s">
        <v>1845</v>
      </c>
      <c r="E219" s="286" t="s">
        <v>1409</v>
      </c>
    </row>
    <row r="220">
      <c r="A220" s="286" t="s">
        <v>1694</v>
      </c>
      <c r="B220" s="286" t="s">
        <v>1846</v>
      </c>
      <c r="C220" s="287">
        <v>1.3128631719E10</v>
      </c>
      <c r="D220" s="286" t="s">
        <v>1847</v>
      </c>
      <c r="E220" s="286" t="s">
        <v>1848</v>
      </c>
    </row>
    <row r="221">
      <c r="A221" s="286" t="s">
        <v>1849</v>
      </c>
      <c r="B221" s="262"/>
      <c r="C221" s="287">
        <v>1.6196479865E10</v>
      </c>
      <c r="D221" s="286" t="s">
        <v>1850</v>
      </c>
      <c r="E221" s="286" t="s">
        <v>1298</v>
      </c>
    </row>
    <row r="222">
      <c r="A222" s="286" t="s">
        <v>1851</v>
      </c>
      <c r="B222" s="262" t="s">
        <v>1852</v>
      </c>
      <c r="C222" s="287">
        <v>1.9563241612E10</v>
      </c>
      <c r="D222" s="286" t="s">
        <v>1853</v>
      </c>
      <c r="E222" s="286" t="s">
        <v>1409</v>
      </c>
    </row>
    <row r="223">
      <c r="A223" s="286" t="s">
        <v>1854</v>
      </c>
      <c r="B223" s="262"/>
      <c r="C223" s="287">
        <v>1.8484671671E10</v>
      </c>
      <c r="D223" s="286" t="s">
        <v>1855</v>
      </c>
      <c r="E223" s="286" t="s">
        <v>1298</v>
      </c>
    </row>
    <row r="224">
      <c r="A224" s="286" t="s">
        <v>1856</v>
      </c>
      <c r="B224" s="262" t="s">
        <v>1659</v>
      </c>
      <c r="C224" s="287">
        <v>1.3617399811E10</v>
      </c>
      <c r="D224" s="286" t="s">
        <v>1857</v>
      </c>
      <c r="E224" s="286" t="s">
        <v>1298</v>
      </c>
    </row>
    <row r="225">
      <c r="A225" s="286" t="s">
        <v>981</v>
      </c>
      <c r="B225" s="286" t="s">
        <v>1858</v>
      </c>
      <c r="C225" s="287">
        <v>1.3473031136E10</v>
      </c>
      <c r="D225" s="286" t="s">
        <v>1859</v>
      </c>
      <c r="E225" s="286" t="s">
        <v>1860</v>
      </c>
    </row>
    <row r="226">
      <c r="A226" s="286" t="s">
        <v>1861</v>
      </c>
      <c r="B226" s="286" t="s">
        <v>1862</v>
      </c>
      <c r="C226" s="287">
        <v>1.8326527604E10</v>
      </c>
      <c r="D226" s="286" t="s">
        <v>1863</v>
      </c>
      <c r="E226" s="286" t="s">
        <v>1307</v>
      </c>
    </row>
    <row r="227">
      <c r="A227" s="286" t="s">
        <v>1864</v>
      </c>
      <c r="B227" s="262" t="s">
        <v>1865</v>
      </c>
      <c r="C227" s="287">
        <v>1.9176518423E10</v>
      </c>
      <c r="D227" s="286" t="s">
        <v>1866</v>
      </c>
      <c r="E227" s="286" t="s">
        <v>1409</v>
      </c>
    </row>
    <row r="228">
      <c r="A228" s="286" t="s">
        <v>1403</v>
      </c>
      <c r="B228" s="286" t="s">
        <v>1867</v>
      </c>
      <c r="C228" s="287">
        <v>1.646714409E10</v>
      </c>
      <c r="D228" s="286" t="s">
        <v>1868</v>
      </c>
      <c r="E228" s="286" t="s">
        <v>1534</v>
      </c>
    </row>
    <row r="229">
      <c r="A229" s="286" t="s">
        <v>1869</v>
      </c>
      <c r="B229" s="286" t="s">
        <v>1870</v>
      </c>
      <c r="C229" s="287">
        <v>1.5128223908E10</v>
      </c>
      <c r="D229" s="286" t="s">
        <v>1871</v>
      </c>
      <c r="E229" s="286" t="s">
        <v>1307</v>
      </c>
    </row>
    <row r="230">
      <c r="A230" s="286" t="s">
        <v>1872</v>
      </c>
      <c r="B230" s="262"/>
      <c r="C230" s="287">
        <v>1.9708226739E10</v>
      </c>
      <c r="D230" s="286" t="s">
        <v>1873</v>
      </c>
      <c r="E230" s="286" t="s">
        <v>1298</v>
      </c>
    </row>
    <row r="231">
      <c r="A231" s="286" t="s">
        <v>1302</v>
      </c>
      <c r="B231" s="262" t="s">
        <v>1345</v>
      </c>
      <c r="C231" s="287">
        <v>1.7863992741E10</v>
      </c>
      <c r="D231" s="286" t="s">
        <v>1874</v>
      </c>
      <c r="E231" s="286" t="s">
        <v>1409</v>
      </c>
    </row>
    <row r="232">
      <c r="A232" s="286" t="s">
        <v>1615</v>
      </c>
      <c r="B232" s="262" t="s">
        <v>1430</v>
      </c>
      <c r="C232" s="287">
        <v>1.4704069915E10</v>
      </c>
      <c r="D232" s="286" t="s">
        <v>1875</v>
      </c>
      <c r="E232" s="286" t="s">
        <v>1298</v>
      </c>
    </row>
    <row r="233">
      <c r="A233" s="286" t="s">
        <v>1876</v>
      </c>
      <c r="B233" s="262" t="s">
        <v>1811</v>
      </c>
      <c r="C233" s="287">
        <v>1.2404632635E10</v>
      </c>
      <c r="D233" s="286" t="s">
        <v>1877</v>
      </c>
      <c r="E233" s="286" t="s">
        <v>1298</v>
      </c>
    </row>
    <row r="234">
      <c r="A234" s="286" t="s">
        <v>1581</v>
      </c>
      <c r="B234" s="286" t="s">
        <v>1878</v>
      </c>
      <c r="C234" s="287">
        <v>1.7704804621E10</v>
      </c>
      <c r="D234" s="286" t="s">
        <v>1879</v>
      </c>
      <c r="E234" s="286" t="s">
        <v>1307</v>
      </c>
    </row>
    <row r="235">
      <c r="A235" s="286" t="s">
        <v>1880</v>
      </c>
      <c r="B235" s="262" t="s">
        <v>1470</v>
      </c>
      <c r="C235" s="287">
        <v>1.4702703551E10</v>
      </c>
      <c r="D235" s="286" t="s">
        <v>1881</v>
      </c>
      <c r="E235" s="286" t="s">
        <v>1298</v>
      </c>
    </row>
    <row r="236">
      <c r="A236" s="286" t="s">
        <v>1882</v>
      </c>
      <c r="B236" s="262" t="s">
        <v>1883</v>
      </c>
      <c r="C236" s="287">
        <v>1.2147358009E10</v>
      </c>
      <c r="D236" s="286" t="s">
        <v>1884</v>
      </c>
      <c r="E236" s="286" t="s">
        <v>1409</v>
      </c>
    </row>
    <row r="237">
      <c r="A237" s="286" t="s">
        <v>1636</v>
      </c>
      <c r="B237" s="286" t="s">
        <v>1885</v>
      </c>
      <c r="C237" s="287">
        <v>1.8326464939E10</v>
      </c>
      <c r="D237" s="286" t="s">
        <v>1886</v>
      </c>
      <c r="E237" s="286" t="s">
        <v>1887</v>
      </c>
    </row>
    <row r="238">
      <c r="A238" s="286" t="s">
        <v>1509</v>
      </c>
      <c r="B238" s="262" t="s">
        <v>1888</v>
      </c>
      <c r="C238" s="287">
        <v>1.9738707036E10</v>
      </c>
      <c r="D238" s="286" t="s">
        <v>1889</v>
      </c>
      <c r="E238" s="286" t="s">
        <v>1298</v>
      </c>
    </row>
    <row r="239">
      <c r="A239" s="286" t="s">
        <v>1890</v>
      </c>
      <c r="B239" s="286" t="s">
        <v>1891</v>
      </c>
      <c r="C239" s="287">
        <v>1.203943323E10</v>
      </c>
      <c r="D239" s="286" t="s">
        <v>1892</v>
      </c>
      <c r="E239" s="286" t="s">
        <v>1307</v>
      </c>
    </row>
    <row r="240">
      <c r="A240" s="286" t="s">
        <v>981</v>
      </c>
      <c r="B240" s="262"/>
      <c r="C240" s="287">
        <v>1.845538116E10</v>
      </c>
      <c r="D240" s="286" t="s">
        <v>1893</v>
      </c>
      <c r="E240" s="286" t="s">
        <v>1298</v>
      </c>
    </row>
    <row r="241">
      <c r="A241" s="286" t="s">
        <v>1894</v>
      </c>
      <c r="B241" s="262" t="s">
        <v>1895</v>
      </c>
      <c r="C241" s="287">
        <v>1.9412737707E10</v>
      </c>
      <c r="D241" s="286" t="s">
        <v>1896</v>
      </c>
      <c r="E241" s="286" t="s">
        <v>1298</v>
      </c>
    </row>
    <row r="242">
      <c r="A242" s="286" t="s">
        <v>1636</v>
      </c>
      <c r="B242" s="286" t="s">
        <v>1897</v>
      </c>
      <c r="C242" s="287">
        <v>1.8328836618E10</v>
      </c>
      <c r="D242" s="286" t="s">
        <v>1898</v>
      </c>
      <c r="E242" s="286" t="s">
        <v>1307</v>
      </c>
    </row>
    <row r="243">
      <c r="A243" s="286" t="s">
        <v>1503</v>
      </c>
      <c r="B243" s="262" t="s">
        <v>1899</v>
      </c>
      <c r="C243" s="287">
        <v>1.3162524237E10</v>
      </c>
      <c r="D243" s="286" t="s">
        <v>1900</v>
      </c>
      <c r="E243" s="286" t="s">
        <v>1298</v>
      </c>
    </row>
    <row r="244">
      <c r="A244" s="286" t="s">
        <v>1901</v>
      </c>
      <c r="B244" s="262" t="s">
        <v>1902</v>
      </c>
      <c r="C244" s="287">
        <v>1.9415248741E10</v>
      </c>
      <c r="D244" s="286" t="s">
        <v>1903</v>
      </c>
      <c r="E244" s="286" t="s">
        <v>1409</v>
      </c>
    </row>
    <row r="245">
      <c r="A245" s="286" t="s">
        <v>981</v>
      </c>
      <c r="B245" s="262" t="s">
        <v>1904</v>
      </c>
      <c r="C245" s="287">
        <v>1.346755915E10</v>
      </c>
      <c r="D245" s="286" t="s">
        <v>1905</v>
      </c>
      <c r="E245" s="286" t="s">
        <v>1409</v>
      </c>
    </row>
    <row r="246">
      <c r="A246" s="286" t="s">
        <v>1906</v>
      </c>
      <c r="B246" s="286" t="s">
        <v>1554</v>
      </c>
      <c r="C246" s="287">
        <v>1.214298928E10</v>
      </c>
      <c r="D246" s="286" t="s">
        <v>1907</v>
      </c>
      <c r="E246" s="286" t="s">
        <v>1307</v>
      </c>
    </row>
    <row r="247">
      <c r="A247" s="286" t="s">
        <v>1908</v>
      </c>
      <c r="B247" s="262" t="s">
        <v>1909</v>
      </c>
      <c r="C247" s="287">
        <v>1.7189260687E10</v>
      </c>
      <c r="D247" s="286" t="s">
        <v>1910</v>
      </c>
      <c r="E247" s="286" t="s">
        <v>1298</v>
      </c>
    </row>
    <row r="248">
      <c r="A248" s="286" t="s">
        <v>1911</v>
      </c>
      <c r="B248" s="262" t="s">
        <v>1912</v>
      </c>
      <c r="C248" s="287">
        <v>1.9167537917E10</v>
      </c>
      <c r="D248" s="286" t="s">
        <v>1913</v>
      </c>
      <c r="E248" s="286" t="s">
        <v>1298</v>
      </c>
    </row>
    <row r="249">
      <c r="A249" s="286" t="s">
        <v>1509</v>
      </c>
      <c r="B249" s="262" t="s">
        <v>1914</v>
      </c>
      <c r="C249" s="287">
        <v>1.915875258E10</v>
      </c>
      <c r="D249" s="286" t="s">
        <v>1915</v>
      </c>
      <c r="E249" s="286" t="s">
        <v>1298</v>
      </c>
    </row>
    <row r="250">
      <c r="A250" s="286" t="s">
        <v>1916</v>
      </c>
      <c r="B250" s="262"/>
      <c r="C250" s="287">
        <v>1.7143188585E10</v>
      </c>
      <c r="D250" s="286" t="s">
        <v>1917</v>
      </c>
      <c r="E250" s="286" t="s">
        <v>1307</v>
      </c>
    </row>
    <row r="251">
      <c r="A251" s="286" t="s">
        <v>1918</v>
      </c>
      <c r="B251" s="286" t="s">
        <v>1430</v>
      </c>
      <c r="C251" s="287">
        <v>1.5623875035E10</v>
      </c>
      <c r="D251" s="286" t="s">
        <v>1919</v>
      </c>
      <c r="E251" s="286" t="s">
        <v>1307</v>
      </c>
    </row>
    <row r="252">
      <c r="A252" s="286" t="s">
        <v>1920</v>
      </c>
      <c r="B252" s="286" t="s">
        <v>1921</v>
      </c>
      <c r="C252" s="287">
        <v>1.2248446367E10</v>
      </c>
      <c r="D252" s="286" t="s">
        <v>1922</v>
      </c>
      <c r="E252" s="286" t="s">
        <v>1307</v>
      </c>
    </row>
    <row r="253">
      <c r="A253" s="286" t="s">
        <v>1655</v>
      </c>
      <c r="B253" s="262" t="s">
        <v>1923</v>
      </c>
      <c r="C253" s="287">
        <v>1.2092143705E10</v>
      </c>
      <c r="D253" s="286" t="s">
        <v>1924</v>
      </c>
      <c r="E253" s="286" t="s">
        <v>1409</v>
      </c>
    </row>
    <row r="254">
      <c r="A254" s="286" t="s">
        <v>1925</v>
      </c>
      <c r="B254" s="286" t="s">
        <v>1926</v>
      </c>
      <c r="C254" s="287">
        <v>1.4143649678E10</v>
      </c>
      <c r="D254" s="286" t="s">
        <v>1927</v>
      </c>
      <c r="E254" s="286" t="s">
        <v>1307</v>
      </c>
    </row>
    <row r="255">
      <c r="A255" s="286" t="s">
        <v>1568</v>
      </c>
      <c r="B255" s="286" t="s">
        <v>1928</v>
      </c>
      <c r="C255" s="287">
        <v>1.4129612008E10</v>
      </c>
      <c r="D255" s="286" t="s">
        <v>1929</v>
      </c>
      <c r="E255" s="286" t="s">
        <v>1860</v>
      </c>
    </row>
    <row r="256">
      <c r="A256" s="286" t="s">
        <v>1930</v>
      </c>
      <c r="B256" s="286" t="s">
        <v>1931</v>
      </c>
      <c r="C256" s="287">
        <v>1.6178663001E10</v>
      </c>
      <c r="D256" s="286" t="s">
        <v>1932</v>
      </c>
      <c r="E256" s="286" t="s">
        <v>1307</v>
      </c>
    </row>
    <row r="257">
      <c r="A257" s="286" t="s">
        <v>1933</v>
      </c>
      <c r="B257" s="262" t="s">
        <v>1554</v>
      </c>
      <c r="C257" s="287">
        <v>1.3239214165E10</v>
      </c>
      <c r="D257" s="286" t="s">
        <v>1934</v>
      </c>
      <c r="E257" s="286" t="s">
        <v>1409</v>
      </c>
    </row>
    <row r="258">
      <c r="A258" s="286" t="s">
        <v>1134</v>
      </c>
      <c r="B258" s="262" t="s">
        <v>1935</v>
      </c>
      <c r="C258" s="287">
        <v>1.8176485959E10</v>
      </c>
      <c r="D258" s="286" t="s">
        <v>1936</v>
      </c>
      <c r="E258" s="286" t="s">
        <v>1298</v>
      </c>
    </row>
    <row r="259">
      <c r="A259" s="286" t="s">
        <v>1937</v>
      </c>
      <c r="B259" s="262" t="s">
        <v>1938</v>
      </c>
      <c r="C259" s="287">
        <v>1.9144943651E10</v>
      </c>
      <c r="D259" s="286" t="s">
        <v>1939</v>
      </c>
      <c r="E259" s="286" t="s">
        <v>1298</v>
      </c>
    </row>
    <row r="260">
      <c r="A260" s="286" t="s">
        <v>1392</v>
      </c>
      <c r="B260" s="262" t="s">
        <v>1940</v>
      </c>
      <c r="C260" s="287">
        <v>1.6314329664E10</v>
      </c>
      <c r="D260" s="286" t="s">
        <v>1941</v>
      </c>
      <c r="E260" s="286" t="s">
        <v>1298</v>
      </c>
    </row>
    <row r="261">
      <c r="A261" s="286" t="s">
        <v>1441</v>
      </c>
      <c r="B261" s="262" t="s">
        <v>1942</v>
      </c>
      <c r="C261" s="287">
        <v>1.786760109E10</v>
      </c>
      <c r="D261" s="286" t="s">
        <v>1943</v>
      </c>
      <c r="E261" s="286" t="s">
        <v>1298</v>
      </c>
    </row>
    <row r="262">
      <c r="A262" s="286" t="s">
        <v>1944</v>
      </c>
      <c r="B262" s="262" t="s">
        <v>1945</v>
      </c>
      <c r="C262" s="287">
        <v>1.8506030236E10</v>
      </c>
      <c r="D262" s="286" t="s">
        <v>1946</v>
      </c>
      <c r="E262" s="286" t="s">
        <v>1298</v>
      </c>
    </row>
    <row r="263">
      <c r="A263" s="286" t="s">
        <v>1947</v>
      </c>
      <c r="B263" s="262" t="s">
        <v>1931</v>
      </c>
      <c r="C263" s="287">
        <v>1.6466452703E10</v>
      </c>
      <c r="D263" s="286" t="s">
        <v>1948</v>
      </c>
      <c r="E263" s="286" t="s">
        <v>1298</v>
      </c>
    </row>
    <row r="264">
      <c r="A264" s="286" t="s">
        <v>1949</v>
      </c>
      <c r="B264" s="286" t="s">
        <v>1950</v>
      </c>
      <c r="C264" s="287">
        <v>1.8329556955E10</v>
      </c>
      <c r="D264" s="286" t="s">
        <v>1951</v>
      </c>
      <c r="E264" s="286" t="s">
        <v>1307</v>
      </c>
    </row>
    <row r="265">
      <c r="A265" s="286" t="s">
        <v>1952</v>
      </c>
      <c r="B265" s="286" t="s">
        <v>1761</v>
      </c>
      <c r="C265" s="287">
        <v>1.9564221659E10</v>
      </c>
      <c r="D265" s="286" t="s">
        <v>1953</v>
      </c>
      <c r="E265" s="286" t="s">
        <v>1307</v>
      </c>
    </row>
    <row r="266">
      <c r="A266" s="286" t="s">
        <v>1954</v>
      </c>
      <c r="B266" s="262" t="s">
        <v>1955</v>
      </c>
      <c r="C266" s="287">
        <v>1.8648879774E10</v>
      </c>
      <c r="D266" s="286" t="s">
        <v>1956</v>
      </c>
      <c r="E266" s="286" t="s">
        <v>1298</v>
      </c>
    </row>
    <row r="267">
      <c r="A267" s="286" t="s">
        <v>1952</v>
      </c>
      <c r="B267" s="262" t="s">
        <v>1596</v>
      </c>
      <c r="C267" s="287">
        <v>1.4795316843E10</v>
      </c>
      <c r="D267" s="286" t="s">
        <v>1957</v>
      </c>
      <c r="E267" s="286" t="s">
        <v>1298</v>
      </c>
    </row>
    <row r="268">
      <c r="A268" s="286" t="s">
        <v>1958</v>
      </c>
      <c r="B268" s="262"/>
      <c r="C268" s="287">
        <v>1.3059755301E10</v>
      </c>
      <c r="D268" s="286" t="s">
        <v>1959</v>
      </c>
      <c r="E268" s="286" t="s">
        <v>1534</v>
      </c>
    </row>
    <row r="269">
      <c r="A269" s="286" t="s">
        <v>1839</v>
      </c>
      <c r="B269" s="262" t="s">
        <v>1328</v>
      </c>
      <c r="C269" s="287">
        <v>1.2137969052E10</v>
      </c>
      <c r="D269" s="286" t="s">
        <v>1960</v>
      </c>
      <c r="E269" s="286" t="s">
        <v>1409</v>
      </c>
    </row>
    <row r="270">
      <c r="A270" s="286" t="s">
        <v>1961</v>
      </c>
      <c r="B270" s="262"/>
      <c r="C270" s="287">
        <v>1.5624430939E10</v>
      </c>
      <c r="D270" s="286" t="s">
        <v>1962</v>
      </c>
      <c r="E270" s="286" t="s">
        <v>1307</v>
      </c>
    </row>
    <row r="271">
      <c r="A271" s="286" t="s">
        <v>1134</v>
      </c>
      <c r="B271" s="262" t="s">
        <v>1651</v>
      </c>
      <c r="C271" s="287">
        <v>1.9563226688E10</v>
      </c>
      <c r="D271" s="286" t="s">
        <v>1139</v>
      </c>
      <c r="E271" s="286" t="s">
        <v>1298</v>
      </c>
    </row>
    <row r="272">
      <c r="A272" s="286" t="s">
        <v>1963</v>
      </c>
      <c r="B272" s="286" t="s">
        <v>1964</v>
      </c>
      <c r="C272" s="287">
        <v>1.3363825704E10</v>
      </c>
      <c r="D272" s="286" t="s">
        <v>1965</v>
      </c>
      <c r="E272" s="286" t="s">
        <v>1534</v>
      </c>
    </row>
    <row r="273">
      <c r="A273" s="286" t="s">
        <v>1966</v>
      </c>
      <c r="B273" s="262" t="s">
        <v>1967</v>
      </c>
      <c r="C273" s="287">
        <v>1.8329010928E10</v>
      </c>
      <c r="D273" s="286" t="s">
        <v>1968</v>
      </c>
      <c r="E273" s="286" t="s">
        <v>1298</v>
      </c>
    </row>
    <row r="274">
      <c r="A274" s="286" t="s">
        <v>1969</v>
      </c>
      <c r="B274" s="286" t="s">
        <v>1970</v>
      </c>
      <c r="C274" s="287">
        <v>1.7543641813E10</v>
      </c>
      <c r="D274" s="286" t="s">
        <v>1971</v>
      </c>
      <c r="E274" s="286" t="s">
        <v>1307</v>
      </c>
    </row>
    <row r="275">
      <c r="A275" s="286" t="s">
        <v>1972</v>
      </c>
      <c r="B275" s="262" t="s">
        <v>1973</v>
      </c>
      <c r="C275" s="287">
        <v>1.9084045743E10</v>
      </c>
      <c r="D275" s="286" t="s">
        <v>1974</v>
      </c>
      <c r="E275" s="286" t="s">
        <v>1298</v>
      </c>
    </row>
    <row r="276">
      <c r="A276" s="286" t="s">
        <v>1975</v>
      </c>
      <c r="B276" s="286" t="s">
        <v>1344</v>
      </c>
      <c r="C276" s="287">
        <v>1.4152350663E10</v>
      </c>
      <c r="D276" s="286" t="s">
        <v>1976</v>
      </c>
      <c r="E276" s="286" t="s">
        <v>1307</v>
      </c>
    </row>
    <row r="277">
      <c r="A277" s="286" t="s">
        <v>1344</v>
      </c>
      <c r="B277" s="286" t="s">
        <v>1977</v>
      </c>
      <c r="C277" s="287">
        <v>1.3123832338E10</v>
      </c>
      <c r="D277" s="286" t="s">
        <v>1978</v>
      </c>
      <c r="E277" s="286" t="s">
        <v>1307</v>
      </c>
    </row>
    <row r="278">
      <c r="A278" s="286" t="s">
        <v>1979</v>
      </c>
      <c r="B278" s="286" t="s">
        <v>1980</v>
      </c>
      <c r="C278" s="287">
        <v>1.2104345141E10</v>
      </c>
      <c r="D278" s="286" t="s">
        <v>1981</v>
      </c>
      <c r="E278" s="286" t="s">
        <v>1307</v>
      </c>
    </row>
    <row r="279">
      <c r="A279" s="286" t="s">
        <v>545</v>
      </c>
      <c r="B279" s="286" t="s">
        <v>1982</v>
      </c>
      <c r="C279" s="287">
        <v>1.7135182265E10</v>
      </c>
      <c r="D279" s="286" t="s">
        <v>1983</v>
      </c>
      <c r="E279" s="286" t="s">
        <v>1307</v>
      </c>
    </row>
    <row r="280">
      <c r="A280" s="286" t="s">
        <v>1984</v>
      </c>
      <c r="B280" s="286" t="s">
        <v>1596</v>
      </c>
      <c r="C280" s="287">
        <v>1.872308561E10</v>
      </c>
      <c r="D280" s="286" t="s">
        <v>1985</v>
      </c>
      <c r="E280" s="286" t="s">
        <v>1307</v>
      </c>
    </row>
    <row r="281">
      <c r="A281" s="286" t="s">
        <v>1650</v>
      </c>
      <c r="B281" s="262" t="s">
        <v>1986</v>
      </c>
      <c r="C281" s="287">
        <v>1.9285098756E10</v>
      </c>
      <c r="D281" s="286" t="s">
        <v>1987</v>
      </c>
      <c r="E281" s="286" t="s">
        <v>1298</v>
      </c>
    </row>
    <row r="282">
      <c r="A282" s="286" t="s">
        <v>1988</v>
      </c>
      <c r="B282" s="262" t="s">
        <v>1989</v>
      </c>
      <c r="C282" s="287">
        <v>1.5612945269E10</v>
      </c>
      <c r="D282" s="286" t="s">
        <v>1990</v>
      </c>
      <c r="E282" s="286" t="s">
        <v>1298</v>
      </c>
    </row>
    <row r="283">
      <c r="A283" s="286" t="s">
        <v>1991</v>
      </c>
      <c r="B283" s="286" t="s">
        <v>1992</v>
      </c>
      <c r="C283" s="287">
        <v>1.954888833E10</v>
      </c>
      <c r="D283" s="286" t="s">
        <v>1993</v>
      </c>
      <c r="E283" s="262"/>
    </row>
    <row r="284">
      <c r="A284" s="286" t="s">
        <v>1994</v>
      </c>
      <c r="B284" s="262" t="s">
        <v>1995</v>
      </c>
      <c r="C284" s="287">
        <v>1.405693119E10</v>
      </c>
      <c r="D284" s="286" t="s">
        <v>1996</v>
      </c>
      <c r="E284" s="286" t="s">
        <v>1298</v>
      </c>
    </row>
    <row r="285">
      <c r="A285" s="286" t="s">
        <v>1722</v>
      </c>
      <c r="B285" s="262" t="s">
        <v>1997</v>
      </c>
      <c r="C285" s="287">
        <v>1.4439244879E10</v>
      </c>
      <c r="D285" s="286" t="s">
        <v>1998</v>
      </c>
      <c r="E285" s="286" t="s">
        <v>1298</v>
      </c>
    </row>
    <row r="286">
      <c r="A286" s="286" t="s">
        <v>1100</v>
      </c>
      <c r="B286" s="262" t="s">
        <v>1999</v>
      </c>
      <c r="C286" s="287">
        <v>1.760244508E10</v>
      </c>
      <c r="D286" s="286" t="s">
        <v>2000</v>
      </c>
      <c r="E286" s="286" t="s">
        <v>1298</v>
      </c>
    </row>
    <row r="287">
      <c r="A287" s="286" t="s">
        <v>2001</v>
      </c>
      <c r="B287" s="262" t="s">
        <v>2002</v>
      </c>
      <c r="C287" s="287">
        <v>1.626295052E10</v>
      </c>
      <c r="D287" s="286" t="s">
        <v>2003</v>
      </c>
      <c r="E287" s="286" t="s">
        <v>1298</v>
      </c>
    </row>
    <row r="288">
      <c r="A288" s="286" t="s">
        <v>2004</v>
      </c>
      <c r="B288" s="286" t="s">
        <v>2005</v>
      </c>
      <c r="C288" s="287">
        <v>1.2106353496E10</v>
      </c>
      <c r="D288" s="286" t="s">
        <v>2006</v>
      </c>
      <c r="E288" s="286" t="s">
        <v>1307</v>
      </c>
    </row>
    <row r="289">
      <c r="A289" s="286" t="s">
        <v>2007</v>
      </c>
      <c r="B289" s="262" t="s">
        <v>1791</v>
      </c>
      <c r="C289" s="287">
        <v>1.7203775705E10</v>
      </c>
      <c r="D289" s="286" t="s">
        <v>2008</v>
      </c>
      <c r="E289" s="286" t="s">
        <v>1409</v>
      </c>
    </row>
    <row r="290">
      <c r="A290" s="286" t="s">
        <v>1406</v>
      </c>
      <c r="B290" s="262" t="s">
        <v>1407</v>
      </c>
      <c r="C290" s="287">
        <v>1.4696504033E10</v>
      </c>
      <c r="D290" s="286" t="s">
        <v>2009</v>
      </c>
      <c r="E290" s="286" t="s">
        <v>1409</v>
      </c>
    </row>
    <row r="291">
      <c r="A291" s="286" t="s">
        <v>1506</v>
      </c>
      <c r="B291" s="262" t="s">
        <v>2010</v>
      </c>
      <c r="C291" s="287">
        <v>1.813362273E10</v>
      </c>
      <c r="D291" s="286" t="s">
        <v>2011</v>
      </c>
      <c r="E291" s="286" t="s">
        <v>1298</v>
      </c>
    </row>
    <row r="292">
      <c r="A292" s="286" t="s">
        <v>2012</v>
      </c>
      <c r="B292" s="262"/>
      <c r="C292" s="287">
        <v>1.7865995841E10</v>
      </c>
      <c r="D292" s="286" t="s">
        <v>2013</v>
      </c>
      <c r="E292" s="286" t="s">
        <v>1298</v>
      </c>
    </row>
    <row r="293">
      <c r="A293" s="286" t="s">
        <v>1299</v>
      </c>
      <c r="B293" s="262" t="s">
        <v>2014</v>
      </c>
      <c r="C293" s="287">
        <v>1.561502948E10</v>
      </c>
      <c r="D293" s="286" t="s">
        <v>2015</v>
      </c>
      <c r="E293" s="286" t="s">
        <v>1298</v>
      </c>
    </row>
    <row r="294">
      <c r="A294" s="286" t="s">
        <v>1984</v>
      </c>
      <c r="B294" s="286" t="s">
        <v>2016</v>
      </c>
      <c r="C294" s="287">
        <v>1.2023949693E10</v>
      </c>
      <c r="D294" s="286" t="s">
        <v>2017</v>
      </c>
      <c r="E294" s="286" t="s">
        <v>1534</v>
      </c>
    </row>
    <row r="295">
      <c r="A295" s="286" t="s">
        <v>2018</v>
      </c>
      <c r="B295" s="262" t="s">
        <v>2019</v>
      </c>
      <c r="C295" s="287">
        <v>1.8474521986E10</v>
      </c>
      <c r="D295" s="286" t="s">
        <v>2020</v>
      </c>
      <c r="E295" s="286" t="s">
        <v>1298</v>
      </c>
    </row>
    <row r="296">
      <c r="A296" s="286" t="s">
        <v>2021</v>
      </c>
      <c r="B296" s="286" t="s">
        <v>2022</v>
      </c>
      <c r="C296" s="287">
        <v>1.4054431848E10</v>
      </c>
      <c r="D296" s="286" t="s">
        <v>2023</v>
      </c>
      <c r="E296" s="286" t="s">
        <v>1307</v>
      </c>
    </row>
    <row r="297">
      <c r="A297" s="286" t="s">
        <v>2024</v>
      </c>
      <c r="B297" s="286" t="s">
        <v>2025</v>
      </c>
      <c r="C297" s="287">
        <v>1.6307425313E10</v>
      </c>
      <c r="D297" s="286" t="s">
        <v>2026</v>
      </c>
      <c r="E297" s="286" t="s">
        <v>1307</v>
      </c>
    </row>
    <row r="298">
      <c r="A298" s="286" t="s">
        <v>1308</v>
      </c>
      <c r="B298" s="262"/>
      <c r="C298" s="287">
        <v>1.5592153536E10</v>
      </c>
      <c r="D298" s="286" t="s">
        <v>2027</v>
      </c>
      <c r="E298" s="286" t="s">
        <v>1307</v>
      </c>
    </row>
    <row r="299">
      <c r="A299" s="286" t="s">
        <v>2028</v>
      </c>
      <c r="B299" s="262" t="s">
        <v>2029</v>
      </c>
      <c r="C299" s="287">
        <v>1.786694363E10</v>
      </c>
      <c r="D299" s="286" t="s">
        <v>2030</v>
      </c>
      <c r="E299" s="286" t="s">
        <v>1298</v>
      </c>
    </row>
    <row r="300">
      <c r="A300" s="286" t="s">
        <v>1556</v>
      </c>
      <c r="B300" s="262"/>
      <c r="C300" s="287">
        <v>1.5752002329E10</v>
      </c>
      <c r="D300" s="286" t="s">
        <v>2031</v>
      </c>
      <c r="E300" s="286" t="s">
        <v>1307</v>
      </c>
    </row>
    <row r="301">
      <c r="A301" s="286" t="s">
        <v>2032</v>
      </c>
      <c r="B301" s="262"/>
      <c r="C301" s="287">
        <v>1.7145850928E10</v>
      </c>
      <c r="D301" s="286" t="s">
        <v>2033</v>
      </c>
      <c r="E301" s="286" t="s">
        <v>2034</v>
      </c>
    </row>
    <row r="302">
      <c r="A302" s="286" t="s">
        <v>2035</v>
      </c>
      <c r="B302" s="262" t="s">
        <v>2036</v>
      </c>
      <c r="C302" s="287">
        <v>1.7176217881E10</v>
      </c>
      <c r="D302" s="286" t="s">
        <v>2037</v>
      </c>
      <c r="E302" s="286" t="s">
        <v>1409</v>
      </c>
    </row>
    <row r="303">
      <c r="A303" s="286" t="s">
        <v>2038</v>
      </c>
      <c r="B303" s="286" t="s">
        <v>2039</v>
      </c>
      <c r="C303" s="287">
        <v>1.9294667419E10</v>
      </c>
      <c r="D303" s="286" t="s">
        <v>2040</v>
      </c>
      <c r="E303" s="286" t="s">
        <v>1307</v>
      </c>
    </row>
    <row r="304">
      <c r="A304" s="286" t="s">
        <v>1933</v>
      </c>
      <c r="B304" s="286" t="s">
        <v>2041</v>
      </c>
      <c r="C304" s="287">
        <v>1.7547790929E10</v>
      </c>
      <c r="D304" s="286" t="s">
        <v>2042</v>
      </c>
      <c r="E304" s="286" t="s">
        <v>1860</v>
      </c>
    </row>
    <row r="305">
      <c r="A305" s="286" t="s">
        <v>2043</v>
      </c>
      <c r="B305" s="262" t="s">
        <v>2044</v>
      </c>
      <c r="C305" s="287">
        <v>1.6238889814E10</v>
      </c>
      <c r="D305" s="286" t="s">
        <v>2045</v>
      </c>
      <c r="E305" s="286" t="s">
        <v>1409</v>
      </c>
    </row>
    <row r="306">
      <c r="A306" s="286" t="s">
        <v>1072</v>
      </c>
      <c r="B306" s="262" t="s">
        <v>1401</v>
      </c>
      <c r="C306" s="288">
        <v>5.28677E16</v>
      </c>
      <c r="D306" s="286" t="s">
        <v>2046</v>
      </c>
      <c r="E306" s="286" t="s">
        <v>1298</v>
      </c>
    </row>
    <row r="307">
      <c r="A307" s="286" t="s">
        <v>2047</v>
      </c>
      <c r="B307" s="262" t="s">
        <v>2048</v>
      </c>
      <c r="C307" s="287">
        <v>1.8134682993E10</v>
      </c>
      <c r="D307" s="286" t="s">
        <v>2049</v>
      </c>
      <c r="E307" s="286" t="s">
        <v>1409</v>
      </c>
    </row>
    <row r="308">
      <c r="A308" s="286" t="s">
        <v>2050</v>
      </c>
      <c r="B308" s="286" t="s">
        <v>2051</v>
      </c>
      <c r="C308" s="287">
        <v>1.8573905466E10</v>
      </c>
      <c r="D308" s="286" t="s">
        <v>2052</v>
      </c>
      <c r="E308" s="286" t="s">
        <v>1307</v>
      </c>
    </row>
    <row r="309">
      <c r="A309" s="286" t="s">
        <v>1344</v>
      </c>
      <c r="B309" s="262" t="s">
        <v>2053</v>
      </c>
      <c r="C309" s="287">
        <v>1.6614213857E10</v>
      </c>
      <c r="D309" s="286" t="s">
        <v>2054</v>
      </c>
      <c r="E309" s="286" t="s">
        <v>1298</v>
      </c>
    </row>
    <row r="310">
      <c r="A310" s="286" t="s">
        <v>1671</v>
      </c>
      <c r="B310" s="262" t="s">
        <v>1407</v>
      </c>
      <c r="C310" s="287">
        <v>1.4692261558E10</v>
      </c>
      <c r="D310" s="286" t="s">
        <v>2055</v>
      </c>
      <c r="E310" s="286" t="s">
        <v>1298</v>
      </c>
    </row>
    <row r="311">
      <c r="A311" s="286" t="s">
        <v>1918</v>
      </c>
      <c r="B311" s="262" t="s">
        <v>2056</v>
      </c>
      <c r="C311" s="287">
        <v>1.786523387E10</v>
      </c>
      <c r="D311" s="286" t="s">
        <v>2057</v>
      </c>
      <c r="E311" s="286" t="s">
        <v>1298</v>
      </c>
    </row>
    <row r="312">
      <c r="A312" s="286" t="s">
        <v>2058</v>
      </c>
      <c r="B312" s="262"/>
      <c r="C312" s="287">
        <v>1.4846649717E10</v>
      </c>
      <c r="D312" s="286" t="s">
        <v>2059</v>
      </c>
      <c r="E312" s="286" t="s">
        <v>1298</v>
      </c>
    </row>
    <row r="313">
      <c r="A313" s="286" t="s">
        <v>2060</v>
      </c>
      <c r="B313" s="262" t="s">
        <v>2061</v>
      </c>
      <c r="C313" s="287">
        <v>1.8043516316E10</v>
      </c>
      <c r="D313" s="286" t="s">
        <v>2062</v>
      </c>
      <c r="E313" s="286" t="s">
        <v>1409</v>
      </c>
    </row>
    <row r="314">
      <c r="A314" s="286" t="s">
        <v>1802</v>
      </c>
      <c r="B314" s="286" t="s">
        <v>1372</v>
      </c>
      <c r="C314" s="287">
        <v>1.3234505497E10</v>
      </c>
      <c r="D314" s="286" t="s">
        <v>2063</v>
      </c>
      <c r="E314" s="286" t="s">
        <v>1307</v>
      </c>
    </row>
    <row r="315">
      <c r="A315" s="286" t="s">
        <v>2064</v>
      </c>
      <c r="B315" s="262" t="s">
        <v>2065</v>
      </c>
      <c r="C315" s="287">
        <v>1.8134076199E10</v>
      </c>
      <c r="D315" s="286" t="s">
        <v>2066</v>
      </c>
      <c r="E315" s="286" t="s">
        <v>1409</v>
      </c>
    </row>
    <row r="316">
      <c r="A316" s="286" t="s">
        <v>2067</v>
      </c>
      <c r="B316" s="262" t="s">
        <v>2022</v>
      </c>
      <c r="C316" s="287">
        <v>1.5613869071E10</v>
      </c>
      <c r="D316" s="286" t="s">
        <v>2068</v>
      </c>
      <c r="E316" s="286" t="s">
        <v>1298</v>
      </c>
    </row>
    <row r="317">
      <c r="A317" s="286" t="s">
        <v>2069</v>
      </c>
      <c r="B317" s="262" t="s">
        <v>1688</v>
      </c>
      <c r="C317" s="287">
        <v>1.7163167044E10</v>
      </c>
      <c r="D317" s="286" t="s">
        <v>2070</v>
      </c>
      <c r="E317" s="286" t="s">
        <v>1409</v>
      </c>
    </row>
    <row r="318">
      <c r="A318" s="286" t="s">
        <v>1779</v>
      </c>
      <c r="B318" s="262" t="s">
        <v>2071</v>
      </c>
      <c r="C318" s="287">
        <v>1.7752013963E10</v>
      </c>
      <c r="D318" s="286" t="s">
        <v>2072</v>
      </c>
      <c r="E318" s="286" t="s">
        <v>1298</v>
      </c>
    </row>
    <row r="319">
      <c r="A319" s="286" t="s">
        <v>2073</v>
      </c>
      <c r="B319" s="262" t="s">
        <v>2074</v>
      </c>
      <c r="C319" s="287">
        <v>1.719627743E10</v>
      </c>
      <c r="D319" s="286" t="s">
        <v>2075</v>
      </c>
      <c r="E319" s="286" t="s">
        <v>1298</v>
      </c>
    </row>
    <row r="320">
      <c r="A320" s="286" t="s">
        <v>2076</v>
      </c>
      <c r="B320" s="286" t="s">
        <v>2077</v>
      </c>
      <c r="C320" s="287">
        <v>1.5129095334E10</v>
      </c>
      <c r="D320" s="286" t="s">
        <v>2078</v>
      </c>
      <c r="E320" s="286" t="s">
        <v>1307</v>
      </c>
    </row>
    <row r="321">
      <c r="A321" s="286" t="s">
        <v>2079</v>
      </c>
      <c r="B321" s="262"/>
      <c r="C321" s="287">
        <v>1.9152165891E10</v>
      </c>
      <c r="D321" s="286" t="s">
        <v>2080</v>
      </c>
      <c r="E321" s="286" t="s">
        <v>1409</v>
      </c>
    </row>
    <row r="322">
      <c r="A322" s="286" t="s">
        <v>2081</v>
      </c>
      <c r="B322" s="286" t="s">
        <v>2082</v>
      </c>
      <c r="C322" s="287">
        <v>1.3472904017E10</v>
      </c>
      <c r="D322" s="286" t="s">
        <v>2083</v>
      </c>
      <c r="E322" s="286" t="s">
        <v>1307</v>
      </c>
    </row>
    <row r="323">
      <c r="A323" s="286" t="s">
        <v>2084</v>
      </c>
      <c r="B323" s="286" t="s">
        <v>2085</v>
      </c>
      <c r="C323" s="287">
        <v>5.184169194E9</v>
      </c>
      <c r="D323" s="286" t="s">
        <v>2086</v>
      </c>
      <c r="E323" s="286" t="s">
        <v>1307</v>
      </c>
    </row>
    <row r="324">
      <c r="A324" s="286" t="s">
        <v>2087</v>
      </c>
      <c r="B324" s="262" t="s">
        <v>2005</v>
      </c>
      <c r="C324" s="287">
        <v>1.2254072926E10</v>
      </c>
      <c r="D324" s="286" t="s">
        <v>2088</v>
      </c>
      <c r="E324" s="286" t="s">
        <v>1298</v>
      </c>
    </row>
    <row r="325">
      <c r="A325" s="286" t="s">
        <v>2089</v>
      </c>
      <c r="B325" s="262" t="s">
        <v>2090</v>
      </c>
      <c r="C325" s="287">
        <v>1.8623906707E10</v>
      </c>
      <c r="D325" s="286" t="s">
        <v>2091</v>
      </c>
      <c r="E325" s="286" t="s">
        <v>1298</v>
      </c>
    </row>
    <row r="326">
      <c r="A326" s="286" t="s">
        <v>2092</v>
      </c>
      <c r="B326" s="262" t="s">
        <v>1430</v>
      </c>
      <c r="C326" s="287">
        <v>1.9565340598E10</v>
      </c>
      <c r="D326" s="286" t="s">
        <v>2093</v>
      </c>
      <c r="E326" s="286" t="s">
        <v>1298</v>
      </c>
    </row>
    <row r="327">
      <c r="A327" s="286" t="s">
        <v>2094</v>
      </c>
      <c r="B327" s="262" t="s">
        <v>2095</v>
      </c>
      <c r="C327" s="287">
        <v>1.4708344398E10</v>
      </c>
      <c r="D327" s="286" t="s">
        <v>2096</v>
      </c>
      <c r="E327" s="286" t="s">
        <v>2097</v>
      </c>
    </row>
    <row r="328">
      <c r="A328" s="286" t="s">
        <v>2098</v>
      </c>
      <c r="B328" s="262" t="s">
        <v>1323</v>
      </c>
      <c r="C328" s="287">
        <v>1.6465956903E10</v>
      </c>
      <c r="D328" s="286" t="s">
        <v>2099</v>
      </c>
      <c r="E328" s="286" t="s">
        <v>1409</v>
      </c>
    </row>
    <row r="329">
      <c r="A329" s="286" t="s">
        <v>2100</v>
      </c>
      <c r="B329" s="262" t="s">
        <v>2101</v>
      </c>
      <c r="C329" s="287">
        <v>1.817845329E10</v>
      </c>
      <c r="D329" s="286" t="s">
        <v>2102</v>
      </c>
      <c r="E329" s="286" t="s">
        <v>1298</v>
      </c>
    </row>
    <row r="330">
      <c r="A330" s="286" t="s">
        <v>1394</v>
      </c>
      <c r="B330" s="262" t="s">
        <v>2103</v>
      </c>
      <c r="C330" s="287">
        <v>1.4694397573E10</v>
      </c>
      <c r="D330" s="286" t="s">
        <v>2104</v>
      </c>
      <c r="E330" s="289" t="s">
        <v>2097</v>
      </c>
    </row>
    <row r="331">
      <c r="A331" s="286" t="s">
        <v>1509</v>
      </c>
      <c r="B331" s="286" t="s">
        <v>2105</v>
      </c>
      <c r="C331" s="287">
        <v>1.5167578744E10</v>
      </c>
      <c r="D331" s="286" t="s">
        <v>2106</v>
      </c>
      <c r="E331" s="286" t="s">
        <v>1307</v>
      </c>
    </row>
    <row r="332">
      <c r="A332" s="286" t="s">
        <v>2107</v>
      </c>
      <c r="B332" s="262" t="s">
        <v>2108</v>
      </c>
      <c r="C332" s="287">
        <v>1.5615438275E10</v>
      </c>
      <c r="D332" s="286" t="s">
        <v>2109</v>
      </c>
      <c r="E332" s="286" t="s">
        <v>1409</v>
      </c>
    </row>
    <row r="333">
      <c r="A333" s="286" t="s">
        <v>2110</v>
      </c>
      <c r="B333" s="262"/>
      <c r="C333" s="287">
        <v>1.5713206051E10</v>
      </c>
      <c r="D333" s="286" t="s">
        <v>2111</v>
      </c>
      <c r="E333" s="286" t="s">
        <v>1534</v>
      </c>
    </row>
    <row r="334">
      <c r="A334" s="286" t="s">
        <v>2112</v>
      </c>
      <c r="B334" s="262" t="s">
        <v>2113</v>
      </c>
      <c r="C334" s="287">
        <v>1.7183836161E10</v>
      </c>
      <c r="D334" s="286" t="s">
        <v>2114</v>
      </c>
      <c r="E334" s="286" t="s">
        <v>1298</v>
      </c>
    </row>
    <row r="335">
      <c r="A335" s="286" t="s">
        <v>1330</v>
      </c>
      <c r="B335" s="286" t="s">
        <v>2115</v>
      </c>
      <c r="C335" s="287">
        <v>1.4086245526E10</v>
      </c>
      <c r="D335" s="286" t="s">
        <v>2116</v>
      </c>
      <c r="E335" s="286" t="s">
        <v>1534</v>
      </c>
    </row>
    <row r="336">
      <c r="A336" s="286" t="s">
        <v>2117</v>
      </c>
      <c r="B336" s="286" t="s">
        <v>2118</v>
      </c>
      <c r="C336" s="288">
        <v>5.25586E16</v>
      </c>
      <c r="D336" s="286" t="s">
        <v>2119</v>
      </c>
      <c r="E336" s="286" t="s">
        <v>635</v>
      </c>
    </row>
    <row r="337">
      <c r="A337" s="286" t="s">
        <v>2120</v>
      </c>
      <c r="B337" s="262" t="s">
        <v>2121</v>
      </c>
      <c r="C337" s="287">
        <v>1.225347306E10</v>
      </c>
      <c r="D337" s="286" t="s">
        <v>2122</v>
      </c>
      <c r="E337" s="286" t="s">
        <v>1409</v>
      </c>
    </row>
    <row r="338">
      <c r="A338" s="286" t="s">
        <v>2123</v>
      </c>
      <c r="B338" s="286" t="s">
        <v>2124</v>
      </c>
      <c r="C338" s="287">
        <v>1.8566388333E10</v>
      </c>
      <c r="D338" s="286" t="s">
        <v>2125</v>
      </c>
      <c r="E338" s="286" t="s">
        <v>1307</v>
      </c>
    </row>
    <row r="339">
      <c r="A339" s="286" t="s">
        <v>1392</v>
      </c>
      <c r="B339" s="286" t="s">
        <v>2126</v>
      </c>
      <c r="C339" s="287">
        <v>1.9294247249E10</v>
      </c>
      <c r="D339" s="286" t="s">
        <v>2127</v>
      </c>
      <c r="E339" s="286" t="s">
        <v>1860</v>
      </c>
    </row>
    <row r="340">
      <c r="A340" s="286" t="s">
        <v>2128</v>
      </c>
      <c r="B340" s="262" t="s">
        <v>1607</v>
      </c>
      <c r="C340" s="287">
        <v>1.8633999837E10</v>
      </c>
      <c r="D340" s="286" t="s">
        <v>2129</v>
      </c>
      <c r="E340" s="286" t="s">
        <v>2097</v>
      </c>
    </row>
    <row r="341">
      <c r="A341" s="286" t="s">
        <v>2130</v>
      </c>
      <c r="B341" s="262" t="s">
        <v>2131</v>
      </c>
      <c r="C341" s="287">
        <v>1.7863713364E10</v>
      </c>
      <c r="D341" s="286" t="s">
        <v>2132</v>
      </c>
      <c r="E341" s="286" t="s">
        <v>1409</v>
      </c>
    </row>
    <row r="342">
      <c r="A342" s="286" t="s">
        <v>1465</v>
      </c>
      <c r="B342" s="262" t="s">
        <v>2133</v>
      </c>
      <c r="C342" s="287">
        <v>1.2092838952E10</v>
      </c>
      <c r="D342" s="286" t="s">
        <v>2134</v>
      </c>
      <c r="E342" s="286" t="s">
        <v>1298</v>
      </c>
    </row>
    <row r="343">
      <c r="A343" s="286" t="s">
        <v>2135</v>
      </c>
      <c r="B343" s="262" t="s">
        <v>2136</v>
      </c>
      <c r="C343" s="287">
        <v>1.3218307999E10</v>
      </c>
      <c r="D343" s="286" t="s">
        <v>2137</v>
      </c>
      <c r="E343" s="286" t="s">
        <v>1298</v>
      </c>
    </row>
    <row r="344">
      <c r="A344" s="286" t="s">
        <v>2138</v>
      </c>
      <c r="B344" s="286" t="s">
        <v>2139</v>
      </c>
      <c r="C344" s="287">
        <v>1.7864403487E10</v>
      </c>
      <c r="D344" s="286" t="s">
        <v>2140</v>
      </c>
      <c r="E344" s="286" t="s">
        <v>1307</v>
      </c>
    </row>
    <row r="345">
      <c r="A345" s="286" t="s">
        <v>2141</v>
      </c>
      <c r="B345" s="262" t="s">
        <v>2142</v>
      </c>
      <c r="C345" s="287">
        <v>1.6173096556E10</v>
      </c>
      <c r="D345" s="286" t="s">
        <v>2143</v>
      </c>
      <c r="E345" s="286" t="s">
        <v>1298</v>
      </c>
    </row>
    <row r="346">
      <c r="A346" s="286" t="s">
        <v>1394</v>
      </c>
      <c r="B346" s="262" t="s">
        <v>1803</v>
      </c>
      <c r="C346" s="287">
        <v>1.7206763275E10</v>
      </c>
      <c r="D346" s="286" t="s">
        <v>2144</v>
      </c>
      <c r="E346" s="286" t="s">
        <v>1298</v>
      </c>
    </row>
    <row r="347">
      <c r="A347" s="286" t="s">
        <v>2145</v>
      </c>
      <c r="B347" s="262"/>
      <c r="C347" s="287">
        <v>1.6784639878E10</v>
      </c>
      <c r="D347" s="286" t="s">
        <v>2146</v>
      </c>
      <c r="E347" s="286" t="s">
        <v>1409</v>
      </c>
    </row>
    <row r="348">
      <c r="A348" s="286" t="s">
        <v>1777</v>
      </c>
      <c r="B348" s="262" t="s">
        <v>2147</v>
      </c>
      <c r="C348" s="287">
        <v>1.9417737449E10</v>
      </c>
      <c r="D348" s="286" t="s">
        <v>2148</v>
      </c>
      <c r="E348" s="286" t="s">
        <v>1409</v>
      </c>
    </row>
    <row r="349">
      <c r="A349" s="286" t="s">
        <v>1725</v>
      </c>
      <c r="B349" s="286" t="s">
        <v>2149</v>
      </c>
      <c r="C349" s="287">
        <v>1.9084048971E10</v>
      </c>
      <c r="D349" s="286" t="s">
        <v>2150</v>
      </c>
      <c r="E349" s="286" t="s">
        <v>1307</v>
      </c>
    </row>
    <row r="350">
      <c r="A350" s="286" t="s">
        <v>2151</v>
      </c>
      <c r="B350" s="262"/>
      <c r="C350" s="287">
        <v>1.5623460135E10</v>
      </c>
      <c r="D350" s="286" t="s">
        <v>2152</v>
      </c>
      <c r="E350" s="286" t="s">
        <v>1298</v>
      </c>
    </row>
    <row r="351">
      <c r="A351" s="286" t="s">
        <v>2153</v>
      </c>
      <c r="B351" s="262"/>
      <c r="C351" s="287">
        <v>1.8287479694E10</v>
      </c>
      <c r="D351" s="286" t="s">
        <v>2154</v>
      </c>
      <c r="E351" s="286" t="s">
        <v>1298</v>
      </c>
    </row>
    <row r="352">
      <c r="A352" s="286" t="s">
        <v>2060</v>
      </c>
      <c r="B352" s="262" t="s">
        <v>2155</v>
      </c>
      <c r="C352" s="287">
        <v>1.7323913998E10</v>
      </c>
      <c r="D352" s="286" t="s">
        <v>2156</v>
      </c>
      <c r="E352" s="286" t="s">
        <v>2097</v>
      </c>
    </row>
    <row r="353">
      <c r="A353" s="286" t="s">
        <v>2157</v>
      </c>
      <c r="B353" s="286" t="s">
        <v>1401</v>
      </c>
      <c r="C353" s="287">
        <v>1.8483199664E10</v>
      </c>
      <c r="D353" s="286" t="s">
        <v>2158</v>
      </c>
      <c r="E353" s="286" t="s">
        <v>1307</v>
      </c>
    </row>
    <row r="354">
      <c r="A354" s="286" t="s">
        <v>2159</v>
      </c>
      <c r="B354" s="262" t="s">
        <v>1596</v>
      </c>
      <c r="C354" s="287">
        <v>1.8322760487E10</v>
      </c>
      <c r="D354" s="286" t="s">
        <v>2160</v>
      </c>
      <c r="E354" s="286" t="s">
        <v>1298</v>
      </c>
    </row>
    <row r="355">
      <c r="A355" s="286" t="s">
        <v>2161</v>
      </c>
      <c r="B355" s="262" t="s">
        <v>2162</v>
      </c>
      <c r="C355" s="287">
        <v>1.5716407994E10</v>
      </c>
      <c r="D355" s="286" t="s">
        <v>2163</v>
      </c>
      <c r="E355" s="286" t="s">
        <v>1298</v>
      </c>
    </row>
    <row r="356">
      <c r="A356" s="286" t="s">
        <v>1481</v>
      </c>
      <c r="B356" s="262" t="s">
        <v>2164</v>
      </c>
      <c r="C356" s="287">
        <v>1.7023212769E10</v>
      </c>
      <c r="D356" s="286" t="s">
        <v>2165</v>
      </c>
      <c r="E356" s="286" t="s">
        <v>1409</v>
      </c>
    </row>
    <row r="357">
      <c r="A357" s="286" t="s">
        <v>2166</v>
      </c>
      <c r="B357" s="286" t="s">
        <v>2167</v>
      </c>
      <c r="C357" s="287">
        <v>1.6092166761E10</v>
      </c>
      <c r="D357" s="286" t="s">
        <v>2168</v>
      </c>
      <c r="E357" s="286" t="s">
        <v>298</v>
      </c>
    </row>
    <row r="358">
      <c r="A358" s="286" t="s">
        <v>2169</v>
      </c>
      <c r="B358" s="262" t="s">
        <v>2170</v>
      </c>
      <c r="C358" s="287">
        <v>1.7209935695E10</v>
      </c>
      <c r="D358" s="286" t="s">
        <v>2171</v>
      </c>
      <c r="E358" s="286" t="s">
        <v>1298</v>
      </c>
    </row>
    <row r="359">
      <c r="A359" s="286" t="s">
        <v>2172</v>
      </c>
      <c r="B359" s="262" t="s">
        <v>2173</v>
      </c>
      <c r="C359" s="287">
        <v>1.2812546156E10</v>
      </c>
      <c r="D359" s="286" t="s">
        <v>2174</v>
      </c>
      <c r="E359" s="286" t="s">
        <v>1298</v>
      </c>
    </row>
    <row r="360">
      <c r="A360" s="286" t="s">
        <v>2175</v>
      </c>
      <c r="B360" s="286" t="s">
        <v>2176</v>
      </c>
      <c r="C360" s="287">
        <v>1.3472622745E10</v>
      </c>
      <c r="D360" s="286" t="s">
        <v>2177</v>
      </c>
      <c r="E360" s="286" t="s">
        <v>1307</v>
      </c>
    </row>
    <row r="361">
      <c r="A361" s="286" t="s">
        <v>1766</v>
      </c>
      <c r="B361" s="286" t="s">
        <v>1401</v>
      </c>
      <c r="C361" s="287">
        <v>1.83228232E10</v>
      </c>
      <c r="D361" s="286" t="s">
        <v>2178</v>
      </c>
      <c r="E361" s="286" t="s">
        <v>1307</v>
      </c>
    </row>
    <row r="362">
      <c r="A362" s="286" t="s">
        <v>2179</v>
      </c>
      <c r="B362" s="262"/>
      <c r="C362" s="287">
        <v>1.7377030896E10</v>
      </c>
      <c r="D362" s="286" t="s">
        <v>2180</v>
      </c>
      <c r="E362" s="286" t="s">
        <v>1298</v>
      </c>
    </row>
    <row r="363">
      <c r="A363" s="286" t="s">
        <v>2181</v>
      </c>
      <c r="B363" s="262" t="s">
        <v>2182</v>
      </c>
      <c r="C363" s="288">
        <v>5.73108E16</v>
      </c>
      <c r="D363" s="286" t="s">
        <v>2183</v>
      </c>
      <c r="E363" s="286" t="s">
        <v>1298</v>
      </c>
    </row>
    <row r="364">
      <c r="A364" s="286" t="s">
        <v>2184</v>
      </c>
      <c r="B364" s="286" t="s">
        <v>2185</v>
      </c>
      <c r="C364" s="287">
        <v>1.8439405042E10</v>
      </c>
      <c r="D364" s="286" t="s">
        <v>2186</v>
      </c>
      <c r="E364" s="286" t="s">
        <v>1307</v>
      </c>
    </row>
    <row r="365">
      <c r="A365" s="286" t="s">
        <v>1817</v>
      </c>
      <c r="B365" s="262"/>
      <c r="C365" s="287">
        <v>1.7188694293E10</v>
      </c>
      <c r="D365" s="286" t="s">
        <v>2187</v>
      </c>
      <c r="E365" s="286" t="s">
        <v>1409</v>
      </c>
    </row>
    <row r="366">
      <c r="A366" s="286" t="s">
        <v>1394</v>
      </c>
      <c r="B366" s="262" t="s">
        <v>2162</v>
      </c>
      <c r="C366" s="287">
        <v>1.3238304962E10</v>
      </c>
      <c r="D366" s="286" t="s">
        <v>2188</v>
      </c>
      <c r="E366" s="286" t="s">
        <v>1298</v>
      </c>
    </row>
    <row r="367">
      <c r="A367" s="286" t="s">
        <v>1906</v>
      </c>
      <c r="B367" s="286" t="s">
        <v>2189</v>
      </c>
      <c r="C367" s="287">
        <v>1.6892029455E10</v>
      </c>
      <c r="D367" s="286" t="s">
        <v>2190</v>
      </c>
      <c r="E367" s="286" t="s">
        <v>1307</v>
      </c>
    </row>
    <row r="368">
      <c r="A368" s="286" t="s">
        <v>1374</v>
      </c>
      <c r="B368" s="262" t="s">
        <v>2191</v>
      </c>
      <c r="C368" s="287">
        <v>1.2017025495E10</v>
      </c>
      <c r="D368" s="286" t="s">
        <v>2192</v>
      </c>
      <c r="E368" s="286" t="s">
        <v>1298</v>
      </c>
    </row>
    <row r="369">
      <c r="A369" s="286" t="s">
        <v>2193</v>
      </c>
      <c r="B369" s="262" t="s">
        <v>2194</v>
      </c>
      <c r="C369" s="287">
        <v>1.702776591E10</v>
      </c>
      <c r="D369" s="286" t="s">
        <v>2195</v>
      </c>
      <c r="E369" s="286" t="s">
        <v>1298</v>
      </c>
    </row>
    <row r="370">
      <c r="A370" s="286" t="s">
        <v>1406</v>
      </c>
      <c r="B370" s="286" t="s">
        <v>2196</v>
      </c>
      <c r="C370" s="287">
        <v>1.8329146504E10</v>
      </c>
      <c r="D370" s="286" t="s">
        <v>2197</v>
      </c>
      <c r="E370" s="286" t="s">
        <v>1307</v>
      </c>
    </row>
    <row r="371">
      <c r="A371" s="286" t="s">
        <v>2198</v>
      </c>
      <c r="B371" s="286" t="s">
        <v>2077</v>
      </c>
      <c r="C371" s="287">
        <v>1.3055878814E10</v>
      </c>
      <c r="D371" s="286" t="s">
        <v>2199</v>
      </c>
      <c r="E371" s="286" t="s">
        <v>1307</v>
      </c>
    </row>
    <row r="372">
      <c r="A372" s="286" t="s">
        <v>2200</v>
      </c>
      <c r="B372" s="286" t="s">
        <v>2201</v>
      </c>
      <c r="C372" s="287">
        <v>1.3479512531E10</v>
      </c>
      <c r="D372" s="286" t="s">
        <v>2202</v>
      </c>
      <c r="E372" s="286" t="s">
        <v>1534</v>
      </c>
    </row>
    <row r="373">
      <c r="A373" s="286" t="s">
        <v>1766</v>
      </c>
      <c r="B373" s="286" t="s">
        <v>2203</v>
      </c>
      <c r="C373" s="287">
        <v>1.9085469463E10</v>
      </c>
      <c r="D373" s="286" t="s">
        <v>2204</v>
      </c>
      <c r="E373" s="286" t="s">
        <v>1307</v>
      </c>
    </row>
    <row r="374">
      <c r="A374" s="286" t="s">
        <v>2205</v>
      </c>
      <c r="B374" s="262"/>
      <c r="C374" s="287">
        <v>1.7815135793E10</v>
      </c>
      <c r="D374" s="286" t="s">
        <v>2206</v>
      </c>
      <c r="E374" s="286" t="s">
        <v>1298</v>
      </c>
    </row>
    <row r="375">
      <c r="A375" s="286" t="s">
        <v>1882</v>
      </c>
      <c r="B375" s="262" t="s">
        <v>2207</v>
      </c>
      <c r="C375" s="287">
        <v>1.9513106284E10</v>
      </c>
      <c r="D375" s="286" t="s">
        <v>2208</v>
      </c>
      <c r="E375" s="286" t="s">
        <v>1298</v>
      </c>
    </row>
    <row r="376">
      <c r="A376" s="286" t="s">
        <v>2209</v>
      </c>
      <c r="B376" s="286" t="s">
        <v>2210</v>
      </c>
      <c r="C376" s="287">
        <v>1.3616780381E10</v>
      </c>
      <c r="D376" s="286" t="s">
        <v>2211</v>
      </c>
      <c r="E376" s="286" t="s">
        <v>1307</v>
      </c>
    </row>
    <row r="377">
      <c r="A377" s="286" t="s">
        <v>2212</v>
      </c>
      <c r="B377" s="286" t="s">
        <v>2213</v>
      </c>
      <c r="C377" s="287">
        <v>1.6064858771E10</v>
      </c>
      <c r="D377" s="286" t="s">
        <v>2214</v>
      </c>
      <c r="E377" s="286" t="s">
        <v>2215</v>
      </c>
    </row>
    <row r="378">
      <c r="A378" s="286" t="s">
        <v>1374</v>
      </c>
      <c r="B378" s="262" t="s">
        <v>2216</v>
      </c>
      <c r="C378" s="287">
        <v>1.407409949E10</v>
      </c>
      <c r="D378" s="286" t="s">
        <v>2217</v>
      </c>
      <c r="E378" s="286" t="s">
        <v>1409</v>
      </c>
    </row>
    <row r="379">
      <c r="A379" s="286" t="s">
        <v>2218</v>
      </c>
      <c r="B379" s="262" t="s">
        <v>1499</v>
      </c>
      <c r="C379" s="287">
        <v>1.6822158259E10</v>
      </c>
      <c r="D379" s="286" t="s">
        <v>2219</v>
      </c>
      <c r="E379" s="286" t="s">
        <v>1409</v>
      </c>
    </row>
    <row r="380">
      <c r="A380" s="286" t="s">
        <v>2220</v>
      </c>
      <c r="B380" s="262" t="s">
        <v>1677</v>
      </c>
      <c r="C380" s="287">
        <v>1.7047337017E10</v>
      </c>
      <c r="D380" s="286" t="s">
        <v>2221</v>
      </c>
      <c r="E380" s="286" t="s">
        <v>1409</v>
      </c>
    </row>
    <row r="381">
      <c r="A381" s="286" t="s">
        <v>2212</v>
      </c>
      <c r="B381" s="262" t="s">
        <v>2222</v>
      </c>
      <c r="C381" s="287">
        <v>1.5594772623E10</v>
      </c>
      <c r="D381" s="286" t="s">
        <v>2223</v>
      </c>
      <c r="E381" s="286" t="s">
        <v>1298</v>
      </c>
    </row>
    <row r="382">
      <c r="A382" s="286" t="s">
        <v>2224</v>
      </c>
      <c r="B382" s="286" t="s">
        <v>1636</v>
      </c>
      <c r="C382" s="287">
        <v>1.8018704126E10</v>
      </c>
      <c r="D382" s="286" t="s">
        <v>2225</v>
      </c>
      <c r="E382" s="286" t="s">
        <v>1307</v>
      </c>
    </row>
    <row r="383">
      <c r="A383" s="286" t="s">
        <v>1793</v>
      </c>
      <c r="B383" s="262" t="s">
        <v>2226</v>
      </c>
      <c r="C383" s="287">
        <v>1.3463940042E10</v>
      </c>
      <c r="D383" s="286" t="s">
        <v>2227</v>
      </c>
      <c r="E383" s="286" t="s">
        <v>1298</v>
      </c>
    </row>
    <row r="384">
      <c r="A384" s="286" t="s">
        <v>2228</v>
      </c>
      <c r="B384" s="262"/>
      <c r="C384" s="287">
        <v>1.8324509458E10</v>
      </c>
      <c r="D384" s="286" t="s">
        <v>2229</v>
      </c>
      <c r="E384" s="286" t="s">
        <v>1534</v>
      </c>
    </row>
    <row r="385">
      <c r="A385" s="286" t="s">
        <v>2230</v>
      </c>
      <c r="B385" s="286" t="s">
        <v>1980</v>
      </c>
      <c r="C385" s="287">
        <v>1.5716236209E10</v>
      </c>
      <c r="D385" s="286" t="s">
        <v>2231</v>
      </c>
      <c r="E385" s="286" t="s">
        <v>1307</v>
      </c>
    </row>
    <row r="386">
      <c r="A386" s="286" t="s">
        <v>2232</v>
      </c>
      <c r="B386" s="262" t="s">
        <v>1780</v>
      </c>
      <c r="C386" s="287">
        <v>1.3236358248E10</v>
      </c>
      <c r="D386" s="286" t="s">
        <v>2233</v>
      </c>
      <c r="E386" s="286" t="s">
        <v>1409</v>
      </c>
    </row>
    <row r="387">
      <c r="A387" s="286" t="s">
        <v>2234</v>
      </c>
      <c r="B387" s="262" t="s">
        <v>2235</v>
      </c>
      <c r="C387" s="287">
        <v>1.9039173465E10</v>
      </c>
      <c r="D387" s="286" t="s">
        <v>2236</v>
      </c>
      <c r="E387" s="286" t="s">
        <v>1409</v>
      </c>
    </row>
    <row r="388">
      <c r="A388" s="286" t="s">
        <v>1766</v>
      </c>
      <c r="B388" s="262" t="s">
        <v>2237</v>
      </c>
      <c r="C388" s="287">
        <v>1.4698837324E10</v>
      </c>
      <c r="D388" s="286" t="s">
        <v>2238</v>
      </c>
      <c r="E388" s="286" t="s">
        <v>1298</v>
      </c>
    </row>
    <row r="389">
      <c r="A389" s="286" t="s">
        <v>1766</v>
      </c>
      <c r="B389" s="262" t="s">
        <v>2149</v>
      </c>
      <c r="C389" s="287">
        <v>1.8328472089E10</v>
      </c>
      <c r="D389" s="286" t="s">
        <v>2239</v>
      </c>
      <c r="E389" s="286" t="s">
        <v>1409</v>
      </c>
    </row>
    <row r="390">
      <c r="A390" s="286" t="s">
        <v>1371</v>
      </c>
      <c r="B390" s="262" t="s">
        <v>1518</v>
      </c>
      <c r="C390" s="287">
        <v>1.3176619045E10</v>
      </c>
      <c r="D390" s="286" t="s">
        <v>2240</v>
      </c>
      <c r="E390" s="286" t="s">
        <v>1409</v>
      </c>
    </row>
    <row r="391">
      <c r="A391" s="286" t="s">
        <v>2241</v>
      </c>
      <c r="B391" s="286" t="s">
        <v>2242</v>
      </c>
      <c r="C391" s="287">
        <v>1.3855635797E10</v>
      </c>
      <c r="D391" s="286" t="s">
        <v>2243</v>
      </c>
      <c r="E391" s="286" t="s">
        <v>1577</v>
      </c>
    </row>
    <row r="392">
      <c r="A392" s="286" t="s">
        <v>1837</v>
      </c>
      <c r="B392" s="262" t="s">
        <v>2244</v>
      </c>
      <c r="C392" s="287">
        <v>1.7863141922E10</v>
      </c>
      <c r="D392" s="286" t="s">
        <v>2245</v>
      </c>
      <c r="E392" s="286" t="s">
        <v>1298</v>
      </c>
    </row>
    <row r="393">
      <c r="A393" s="286" t="s">
        <v>1509</v>
      </c>
      <c r="B393" s="262"/>
      <c r="C393" s="287">
        <v>1.708527748E10</v>
      </c>
      <c r="D393" s="286" t="s">
        <v>2246</v>
      </c>
      <c r="E393" s="286" t="s">
        <v>1534</v>
      </c>
    </row>
    <row r="394">
      <c r="A394" s="286" t="s">
        <v>2247</v>
      </c>
      <c r="B394" s="262" t="s">
        <v>1536</v>
      </c>
      <c r="C394" s="287">
        <v>1.5517553768E10</v>
      </c>
      <c r="D394" s="286" t="s">
        <v>2248</v>
      </c>
      <c r="E394" s="286" t="s">
        <v>1409</v>
      </c>
    </row>
    <row r="395">
      <c r="A395" s="286" t="s">
        <v>2184</v>
      </c>
      <c r="B395" s="262" t="s">
        <v>2249</v>
      </c>
      <c r="C395" s="287">
        <v>1.3013263993E10</v>
      </c>
      <c r="D395" s="286" t="s">
        <v>2250</v>
      </c>
      <c r="E395" s="286" t="s">
        <v>1298</v>
      </c>
    </row>
    <row r="396">
      <c r="A396" s="286" t="s">
        <v>2092</v>
      </c>
      <c r="B396" s="262" t="s">
        <v>2251</v>
      </c>
      <c r="C396" s="287">
        <v>1.4434684719E10</v>
      </c>
      <c r="D396" s="286" t="s">
        <v>2252</v>
      </c>
      <c r="E396" s="286" t="s">
        <v>1298</v>
      </c>
    </row>
    <row r="397">
      <c r="A397" s="286" t="s">
        <v>2253</v>
      </c>
      <c r="B397" s="286" t="s">
        <v>2254</v>
      </c>
      <c r="C397" s="287">
        <v>1.4848302572E10</v>
      </c>
      <c r="D397" s="286" t="s">
        <v>2255</v>
      </c>
      <c r="E397" s="286" t="s">
        <v>1534</v>
      </c>
    </row>
    <row r="398">
      <c r="A398" s="286" t="s">
        <v>2256</v>
      </c>
      <c r="B398" s="286" t="s">
        <v>2257</v>
      </c>
      <c r="C398" s="287">
        <v>1.2104678025E10</v>
      </c>
      <c r="D398" s="286" t="s">
        <v>2258</v>
      </c>
      <c r="E398" s="286" t="s">
        <v>1577</v>
      </c>
    </row>
    <row r="399">
      <c r="A399" s="286" t="s">
        <v>2259</v>
      </c>
      <c r="B399" s="286" t="s">
        <v>2260</v>
      </c>
      <c r="C399" s="287">
        <v>1.5163981393E10</v>
      </c>
      <c r="D399" s="286" t="s">
        <v>2261</v>
      </c>
      <c r="E399" s="286" t="s">
        <v>1848</v>
      </c>
    </row>
    <row r="400">
      <c r="A400" s="286" t="s">
        <v>2262</v>
      </c>
      <c r="B400" s="286" t="s">
        <v>2263</v>
      </c>
      <c r="C400" s="287">
        <v>1.9084632577E10</v>
      </c>
      <c r="D400" s="286" t="s">
        <v>2264</v>
      </c>
      <c r="E400" s="286" t="s">
        <v>1860</v>
      </c>
    </row>
    <row r="401">
      <c r="A401" s="286" t="s">
        <v>2265</v>
      </c>
      <c r="B401" s="286" t="s">
        <v>2266</v>
      </c>
      <c r="C401" s="287">
        <v>1.4072830249E10</v>
      </c>
      <c r="D401" s="286" t="s">
        <v>2267</v>
      </c>
      <c r="E401" s="286" t="s">
        <v>1307</v>
      </c>
    </row>
    <row r="402">
      <c r="A402" s="286" t="s">
        <v>1920</v>
      </c>
      <c r="B402" s="262"/>
      <c r="C402" s="287">
        <v>1.85726641E10</v>
      </c>
      <c r="D402" s="286" t="s">
        <v>2268</v>
      </c>
      <c r="E402" s="286" t="s">
        <v>1860</v>
      </c>
    </row>
    <row r="403">
      <c r="A403" s="286" t="s">
        <v>1344</v>
      </c>
      <c r="B403" s="262"/>
      <c r="C403" s="287">
        <v>1.4802508678E10</v>
      </c>
      <c r="D403" s="286" t="s">
        <v>2269</v>
      </c>
      <c r="E403" s="286" t="s">
        <v>1298</v>
      </c>
    </row>
    <row r="404">
      <c r="A404" s="286" t="s">
        <v>1392</v>
      </c>
      <c r="B404" s="262" t="s">
        <v>2149</v>
      </c>
      <c r="C404" s="287">
        <v>1.2817986511E10</v>
      </c>
      <c r="D404" s="286" t="s">
        <v>2270</v>
      </c>
      <c r="E404" s="286" t="s">
        <v>1298</v>
      </c>
    </row>
    <row r="405">
      <c r="A405" s="286" t="s">
        <v>2271</v>
      </c>
      <c r="B405" s="262" t="s">
        <v>2272</v>
      </c>
      <c r="C405" s="287">
        <v>1.8035771357E10</v>
      </c>
      <c r="D405" s="286" t="s">
        <v>2273</v>
      </c>
      <c r="E405" s="286" t="s">
        <v>1298</v>
      </c>
    </row>
    <row r="406">
      <c r="A406" s="286" t="s">
        <v>2274</v>
      </c>
      <c r="B406" s="262"/>
      <c r="C406" s="287">
        <v>1.8188090418E10</v>
      </c>
      <c r="D406" s="286" t="s">
        <v>2275</v>
      </c>
      <c r="E406" s="286" t="s">
        <v>1409</v>
      </c>
    </row>
    <row r="407">
      <c r="A407" s="286" t="s">
        <v>2276</v>
      </c>
      <c r="B407" s="286" t="s">
        <v>1430</v>
      </c>
      <c r="C407" s="287">
        <v>1.9519876352E10</v>
      </c>
      <c r="D407" s="286" t="s">
        <v>2277</v>
      </c>
      <c r="E407" s="286" t="s">
        <v>2278</v>
      </c>
    </row>
    <row r="408">
      <c r="A408" s="286" t="s">
        <v>2279</v>
      </c>
      <c r="B408" s="286" t="s">
        <v>2280</v>
      </c>
      <c r="C408" s="287">
        <v>1.809908647E10</v>
      </c>
      <c r="D408" s="286" t="s">
        <v>2281</v>
      </c>
      <c r="E408" s="286" t="s">
        <v>1307</v>
      </c>
    </row>
    <row r="409">
      <c r="A409" s="286" t="s">
        <v>2282</v>
      </c>
      <c r="B409" s="286" t="s">
        <v>1666</v>
      </c>
      <c r="C409" s="287">
        <v>1.8328887474E10</v>
      </c>
      <c r="D409" s="286" t="s">
        <v>2283</v>
      </c>
      <c r="E409" s="286" t="s">
        <v>1860</v>
      </c>
    </row>
    <row r="410">
      <c r="A410" s="286" t="s">
        <v>2284</v>
      </c>
      <c r="B410" s="262" t="s">
        <v>2138</v>
      </c>
      <c r="C410" s="288">
        <v>5.28181E16</v>
      </c>
      <c r="D410" s="286" t="s">
        <v>2285</v>
      </c>
      <c r="E410" s="286" t="s">
        <v>1298</v>
      </c>
    </row>
    <row r="411">
      <c r="A411" s="286" t="s">
        <v>2286</v>
      </c>
      <c r="B411" s="286" t="s">
        <v>2287</v>
      </c>
      <c r="C411" s="287">
        <v>1.7024064943E10</v>
      </c>
      <c r="D411" s="286" t="s">
        <v>2288</v>
      </c>
      <c r="E411" s="286" t="s">
        <v>1307</v>
      </c>
    </row>
    <row r="412">
      <c r="A412" s="286" t="s">
        <v>2289</v>
      </c>
      <c r="B412" s="262"/>
      <c r="C412" s="287">
        <v>1.9034537666E10</v>
      </c>
      <c r="D412" s="286" t="s">
        <v>2290</v>
      </c>
      <c r="E412" s="286" t="s">
        <v>1409</v>
      </c>
    </row>
    <row r="413">
      <c r="A413" s="286" t="s">
        <v>2291</v>
      </c>
      <c r="B413" s="286" t="s">
        <v>1659</v>
      </c>
      <c r="C413" s="287">
        <v>1.9037466417E10</v>
      </c>
      <c r="D413" s="286" t="s">
        <v>2292</v>
      </c>
      <c r="E413" s="286" t="s">
        <v>1307</v>
      </c>
    </row>
    <row r="414">
      <c r="A414" s="286" t="s">
        <v>2293</v>
      </c>
      <c r="B414" s="286" t="s">
        <v>2294</v>
      </c>
      <c r="C414" s="287">
        <v>1.5759976143E10</v>
      </c>
      <c r="D414" s="286" t="s">
        <v>2295</v>
      </c>
      <c r="E414" s="286" t="s">
        <v>1307</v>
      </c>
    </row>
    <row r="415">
      <c r="A415" s="286" t="s">
        <v>545</v>
      </c>
      <c r="B415" s="286" t="s">
        <v>2296</v>
      </c>
      <c r="C415" s="287">
        <v>1.3466278504E10</v>
      </c>
      <c r="D415" s="286" t="s">
        <v>2297</v>
      </c>
      <c r="E415" s="286" t="s">
        <v>1577</v>
      </c>
    </row>
    <row r="416">
      <c r="A416" s="286" t="s">
        <v>2298</v>
      </c>
      <c r="B416" s="262" t="s">
        <v>1372</v>
      </c>
      <c r="C416" s="287">
        <v>1.4012481918E10</v>
      </c>
      <c r="D416" s="286" t="s">
        <v>2299</v>
      </c>
      <c r="E416" s="286" t="s">
        <v>1409</v>
      </c>
    </row>
    <row r="417">
      <c r="A417" s="286" t="s">
        <v>589</v>
      </c>
      <c r="B417" s="262"/>
      <c r="C417" s="287">
        <v>1.7867157823E10</v>
      </c>
      <c r="D417" s="286" t="s">
        <v>2300</v>
      </c>
      <c r="E417" s="286" t="s">
        <v>1409</v>
      </c>
    </row>
    <row r="418">
      <c r="A418" s="286" t="s">
        <v>2301</v>
      </c>
      <c r="B418" s="286" t="s">
        <v>1348</v>
      </c>
      <c r="C418" s="287">
        <v>1.8057421995E10</v>
      </c>
      <c r="D418" s="286" t="s">
        <v>2302</v>
      </c>
      <c r="E418" s="286" t="s">
        <v>1307</v>
      </c>
    </row>
    <row r="419">
      <c r="A419" s="286" t="s">
        <v>1911</v>
      </c>
      <c r="B419" s="286" t="s">
        <v>2303</v>
      </c>
      <c r="C419" s="287">
        <v>1.6099540252E10</v>
      </c>
      <c r="D419" s="286" t="s">
        <v>2304</v>
      </c>
      <c r="E419" s="286" t="s">
        <v>1577</v>
      </c>
    </row>
    <row r="420">
      <c r="A420" s="286" t="s">
        <v>2305</v>
      </c>
      <c r="B420" s="286" t="s">
        <v>2306</v>
      </c>
      <c r="C420" s="287">
        <v>1.8295501193E10</v>
      </c>
      <c r="D420" s="286" t="s">
        <v>2307</v>
      </c>
      <c r="E420" s="286" t="s">
        <v>1577</v>
      </c>
    </row>
    <row r="421">
      <c r="A421" s="286" t="s">
        <v>2308</v>
      </c>
      <c r="B421" s="286" t="s">
        <v>2309</v>
      </c>
      <c r="C421" s="287">
        <v>1.4054415453E10</v>
      </c>
      <c r="D421" s="286" t="s">
        <v>2310</v>
      </c>
      <c r="E421" s="286" t="s">
        <v>2278</v>
      </c>
    </row>
    <row r="422">
      <c r="A422" s="286" t="s">
        <v>2311</v>
      </c>
      <c r="B422" s="286" t="s">
        <v>1331</v>
      </c>
      <c r="C422" s="287">
        <v>1.6159950755E10</v>
      </c>
      <c r="D422" s="286" t="s">
        <v>2312</v>
      </c>
      <c r="E422" s="286" t="s">
        <v>1860</v>
      </c>
    </row>
    <row r="423">
      <c r="A423" s="286" t="s">
        <v>1134</v>
      </c>
      <c r="B423" s="286" t="s">
        <v>2313</v>
      </c>
      <c r="C423" s="287">
        <v>1.9518588541E10</v>
      </c>
      <c r="D423" s="286" t="s">
        <v>2314</v>
      </c>
      <c r="E423" s="286" t="s">
        <v>1577</v>
      </c>
    </row>
    <row r="424">
      <c r="A424" s="286" t="s">
        <v>1610</v>
      </c>
      <c r="B424" s="262"/>
      <c r="C424" s="287">
        <v>1.9156430249E10</v>
      </c>
      <c r="D424" s="286" t="s">
        <v>2315</v>
      </c>
      <c r="E424" s="286" t="s">
        <v>1298</v>
      </c>
    </row>
    <row r="425">
      <c r="A425" s="286" t="s">
        <v>2316</v>
      </c>
      <c r="B425" s="262" t="s">
        <v>1803</v>
      </c>
      <c r="C425" s="287">
        <v>1.5624418304E10</v>
      </c>
      <c r="D425" s="286" t="s">
        <v>2317</v>
      </c>
      <c r="E425" s="286" t="s">
        <v>1298</v>
      </c>
    </row>
    <row r="426">
      <c r="A426" s="286" t="s">
        <v>579</v>
      </c>
      <c r="B426" s="262" t="s">
        <v>2318</v>
      </c>
      <c r="C426" s="287">
        <v>1.7864889337E10</v>
      </c>
      <c r="D426" s="286" t="s">
        <v>2319</v>
      </c>
      <c r="E426" s="286" t="s">
        <v>1409</v>
      </c>
    </row>
    <row r="427">
      <c r="A427" s="286" t="s">
        <v>1558</v>
      </c>
      <c r="B427" s="262" t="s">
        <v>2320</v>
      </c>
      <c r="C427" s="287">
        <v>1.8134477918E10</v>
      </c>
      <c r="D427" s="286" t="s">
        <v>2321</v>
      </c>
      <c r="E427" s="286" t="s">
        <v>1409</v>
      </c>
    </row>
    <row r="428">
      <c r="A428" s="286" t="s">
        <v>1650</v>
      </c>
      <c r="B428" s="286" t="s">
        <v>2322</v>
      </c>
      <c r="C428" s="287">
        <v>1.2396452427E10</v>
      </c>
      <c r="D428" s="286" t="s">
        <v>2323</v>
      </c>
      <c r="E428" s="286" t="s">
        <v>1860</v>
      </c>
    </row>
    <row r="429">
      <c r="A429" s="286" t="s">
        <v>2324</v>
      </c>
      <c r="B429" s="286" t="s">
        <v>2325</v>
      </c>
      <c r="C429" s="287">
        <v>1.3174095186E10</v>
      </c>
      <c r="D429" s="286" t="s">
        <v>2326</v>
      </c>
      <c r="E429" s="286" t="s">
        <v>1860</v>
      </c>
    </row>
    <row r="430">
      <c r="A430" s="286" t="s">
        <v>2327</v>
      </c>
      <c r="B430" s="262" t="s">
        <v>2328</v>
      </c>
      <c r="C430" s="287">
        <v>1.7813339048E10</v>
      </c>
      <c r="D430" s="286" t="s">
        <v>2329</v>
      </c>
      <c r="E430" s="286" t="s">
        <v>1409</v>
      </c>
    </row>
    <row r="431">
      <c r="A431" s="286" t="s">
        <v>2330</v>
      </c>
      <c r="B431" s="262" t="s">
        <v>2331</v>
      </c>
      <c r="C431" s="287">
        <v>1.8627558996E10</v>
      </c>
      <c r="D431" s="286" t="s">
        <v>2332</v>
      </c>
      <c r="E431" s="286" t="s">
        <v>1298</v>
      </c>
    </row>
    <row r="432">
      <c r="A432" s="286" t="s">
        <v>1918</v>
      </c>
      <c r="B432" s="286" t="s">
        <v>1445</v>
      </c>
      <c r="C432" s="287">
        <v>1.5616570173E10</v>
      </c>
      <c r="D432" s="286" t="s">
        <v>2333</v>
      </c>
      <c r="E432" s="286" t="s">
        <v>1577</v>
      </c>
    </row>
    <row r="433">
      <c r="A433" s="286" t="s">
        <v>2334</v>
      </c>
      <c r="B433" s="286" t="s">
        <v>2335</v>
      </c>
      <c r="C433" s="287">
        <v>1.8296802941E10</v>
      </c>
      <c r="D433" s="286" t="s">
        <v>2336</v>
      </c>
      <c r="E433" s="286" t="s">
        <v>1577</v>
      </c>
    </row>
    <row r="434">
      <c r="A434" s="286" t="s">
        <v>2337</v>
      </c>
      <c r="B434" s="262" t="s">
        <v>1372</v>
      </c>
      <c r="C434" s="287">
        <v>1.2107169385E10</v>
      </c>
      <c r="D434" s="286" t="s">
        <v>2338</v>
      </c>
      <c r="E434" s="286" t="s">
        <v>1409</v>
      </c>
    </row>
    <row r="435">
      <c r="A435" s="286" t="s">
        <v>2339</v>
      </c>
      <c r="B435" s="286" t="s">
        <v>1345</v>
      </c>
      <c r="C435" s="287">
        <v>1.9454467447E10</v>
      </c>
      <c r="D435" s="286" t="s">
        <v>2340</v>
      </c>
      <c r="E435" s="286" t="s">
        <v>1534</v>
      </c>
    </row>
    <row r="436">
      <c r="A436" s="286" t="s">
        <v>2341</v>
      </c>
      <c r="B436" s="262"/>
      <c r="C436" s="287">
        <v>1.5129491402E10</v>
      </c>
      <c r="D436" s="286" t="s">
        <v>2342</v>
      </c>
      <c r="E436" s="286" t="s">
        <v>1298</v>
      </c>
    </row>
    <row r="437">
      <c r="A437" s="286" t="s">
        <v>2343</v>
      </c>
      <c r="B437" s="262"/>
      <c r="C437" s="287">
        <v>1.6786545867E10</v>
      </c>
      <c r="D437" s="286" t="s">
        <v>2344</v>
      </c>
      <c r="E437" s="286" t="s">
        <v>1409</v>
      </c>
    </row>
    <row r="438">
      <c r="A438" s="286" t="s">
        <v>2345</v>
      </c>
      <c r="B438" s="286" t="s">
        <v>2346</v>
      </c>
      <c r="C438" s="287">
        <v>1.5169965955E10</v>
      </c>
      <c r="D438" s="286" t="s">
        <v>2347</v>
      </c>
      <c r="E438" s="286" t="s">
        <v>1307</v>
      </c>
    </row>
    <row r="439">
      <c r="A439" s="286" t="s">
        <v>1650</v>
      </c>
      <c r="B439" s="286" t="s">
        <v>2348</v>
      </c>
      <c r="C439" s="287">
        <v>1.2108703892E10</v>
      </c>
      <c r="D439" s="286" t="s">
        <v>2349</v>
      </c>
      <c r="E439" s="286" t="s">
        <v>1860</v>
      </c>
    </row>
    <row r="440">
      <c r="A440" s="286" t="s">
        <v>1117</v>
      </c>
      <c r="B440" s="286" t="s">
        <v>2350</v>
      </c>
      <c r="C440" s="287">
        <v>1.2542479422E10</v>
      </c>
      <c r="D440" s="286" t="s">
        <v>2351</v>
      </c>
      <c r="E440" s="286" t="s">
        <v>1534</v>
      </c>
    </row>
    <row r="441">
      <c r="A441" s="286" t="s">
        <v>2352</v>
      </c>
      <c r="B441" s="286" t="s">
        <v>1938</v>
      </c>
      <c r="C441" s="287">
        <v>1.7046063424E10</v>
      </c>
      <c r="D441" s="286" t="s">
        <v>2353</v>
      </c>
      <c r="E441" s="286" t="s">
        <v>2354</v>
      </c>
    </row>
    <row r="442">
      <c r="A442" s="286" t="s">
        <v>1419</v>
      </c>
      <c r="B442" s="286" t="s">
        <v>2355</v>
      </c>
      <c r="C442" s="287">
        <v>1.7135027806E10</v>
      </c>
      <c r="D442" s="286" t="s">
        <v>2356</v>
      </c>
      <c r="E442" s="286" t="s">
        <v>1307</v>
      </c>
    </row>
    <row r="443">
      <c r="A443" s="286" t="s">
        <v>2357</v>
      </c>
      <c r="B443" s="262" t="s">
        <v>2358</v>
      </c>
      <c r="C443" s="287">
        <v>1.917796659E10</v>
      </c>
      <c r="D443" s="286" t="s">
        <v>2359</v>
      </c>
      <c r="E443" s="286" t="s">
        <v>1409</v>
      </c>
    </row>
    <row r="444">
      <c r="A444" s="286" t="s">
        <v>2360</v>
      </c>
      <c r="B444" s="286" t="s">
        <v>1740</v>
      </c>
      <c r="C444" s="287">
        <v>1.4044060429E10</v>
      </c>
      <c r="D444" s="286" t="s">
        <v>2361</v>
      </c>
      <c r="E444" s="286" t="s">
        <v>1534</v>
      </c>
    </row>
    <row r="445">
      <c r="A445" s="286" t="s">
        <v>2362</v>
      </c>
      <c r="B445" s="262" t="s">
        <v>2363</v>
      </c>
      <c r="C445" s="287">
        <v>1.7868367207E10</v>
      </c>
      <c r="D445" s="286" t="s">
        <v>2364</v>
      </c>
      <c r="E445" s="286" t="s">
        <v>1298</v>
      </c>
    </row>
    <row r="446">
      <c r="A446" s="286" t="s">
        <v>2365</v>
      </c>
      <c r="B446" s="262" t="s">
        <v>2366</v>
      </c>
      <c r="C446" s="287">
        <v>1.8135530593E10</v>
      </c>
      <c r="D446" s="286" t="s">
        <v>2367</v>
      </c>
      <c r="E446" s="286" t="s">
        <v>1298</v>
      </c>
    </row>
    <row r="447">
      <c r="A447" s="286" t="s">
        <v>2368</v>
      </c>
      <c r="B447" s="262" t="s">
        <v>2369</v>
      </c>
      <c r="C447" s="287">
        <v>1.8159952426E10</v>
      </c>
      <c r="D447" s="286" t="s">
        <v>2370</v>
      </c>
      <c r="E447" s="286" t="s">
        <v>1409</v>
      </c>
    </row>
    <row r="448">
      <c r="A448" s="286" t="s">
        <v>2371</v>
      </c>
      <c r="B448" s="262"/>
      <c r="C448" s="287">
        <v>1.8622139782E10</v>
      </c>
      <c r="D448" s="286" t="s">
        <v>2372</v>
      </c>
      <c r="E448" s="286" t="s">
        <v>1307</v>
      </c>
    </row>
    <row r="449">
      <c r="A449" s="286" t="s">
        <v>2073</v>
      </c>
      <c r="B449" s="262"/>
      <c r="C449" s="287">
        <v>1.5595780445E10</v>
      </c>
      <c r="D449" s="286" t="s">
        <v>2373</v>
      </c>
      <c r="E449" s="286" t="s">
        <v>1307</v>
      </c>
    </row>
    <row r="450">
      <c r="A450" s="286" t="s">
        <v>2374</v>
      </c>
      <c r="B450" s="262" t="s">
        <v>2375</v>
      </c>
      <c r="C450" s="287">
        <v>1.8482255597E10</v>
      </c>
      <c r="D450" s="286" t="s">
        <v>2376</v>
      </c>
      <c r="E450" s="286" t="s">
        <v>1409</v>
      </c>
    </row>
    <row r="451">
      <c r="A451" s="286" t="s">
        <v>2377</v>
      </c>
      <c r="B451" s="286" t="s">
        <v>1708</v>
      </c>
      <c r="C451" s="287">
        <v>1.3235727002E10</v>
      </c>
      <c r="D451" s="286" t="s">
        <v>2378</v>
      </c>
      <c r="E451" s="286" t="s">
        <v>1307</v>
      </c>
    </row>
    <row r="452">
      <c r="A452" s="286" t="s">
        <v>1793</v>
      </c>
      <c r="B452" s="262" t="s">
        <v>1536</v>
      </c>
      <c r="C452" s="287">
        <v>1.7738860433E10</v>
      </c>
      <c r="D452" s="286" t="s">
        <v>2379</v>
      </c>
      <c r="E452" s="286" t="s">
        <v>1409</v>
      </c>
    </row>
    <row r="453">
      <c r="A453" s="286" t="s">
        <v>2380</v>
      </c>
      <c r="B453" s="286" t="s">
        <v>2381</v>
      </c>
      <c r="C453" s="287">
        <v>1.7146031275E10</v>
      </c>
      <c r="D453" s="286" t="s">
        <v>2382</v>
      </c>
      <c r="E453" s="286" t="s">
        <v>1307</v>
      </c>
    </row>
    <row r="454">
      <c r="A454" s="286" t="s">
        <v>2383</v>
      </c>
      <c r="B454" s="286" t="s">
        <v>2384</v>
      </c>
      <c r="C454" s="288">
        <v>5.28671E16</v>
      </c>
      <c r="D454" s="286" t="s">
        <v>2385</v>
      </c>
      <c r="E454" s="286" t="s">
        <v>1307</v>
      </c>
    </row>
    <row r="455">
      <c r="A455" s="286" t="s">
        <v>1470</v>
      </c>
      <c r="B455" s="262" t="s">
        <v>1618</v>
      </c>
      <c r="C455" s="287">
        <v>1.732801875E10</v>
      </c>
      <c r="D455" s="286" t="s">
        <v>2386</v>
      </c>
      <c r="E455" s="286" t="s">
        <v>1409</v>
      </c>
    </row>
    <row r="456">
      <c r="A456" s="286" t="s">
        <v>2387</v>
      </c>
      <c r="B456" s="286" t="s">
        <v>2388</v>
      </c>
      <c r="C456" s="287">
        <v>1.7032005928E10</v>
      </c>
      <c r="D456" s="286" t="s">
        <v>2389</v>
      </c>
      <c r="E456" s="286" t="s">
        <v>1307</v>
      </c>
    </row>
    <row r="457">
      <c r="A457" s="286" t="s">
        <v>2390</v>
      </c>
      <c r="B457" s="262"/>
      <c r="C457" s="287">
        <v>1.2722768527E10</v>
      </c>
      <c r="D457" s="286" t="s">
        <v>2391</v>
      </c>
      <c r="E457" s="286" t="s">
        <v>1409</v>
      </c>
    </row>
    <row r="458">
      <c r="A458" s="286" t="s">
        <v>1766</v>
      </c>
      <c r="B458" s="262" t="s">
        <v>1761</v>
      </c>
      <c r="C458" s="287">
        <v>1.2018876938E10</v>
      </c>
      <c r="D458" s="286" t="s">
        <v>2392</v>
      </c>
      <c r="E458" s="286" t="s">
        <v>1298</v>
      </c>
    </row>
    <row r="459">
      <c r="A459" s="286" t="s">
        <v>2393</v>
      </c>
      <c r="B459" s="286" t="s">
        <v>1677</v>
      </c>
      <c r="C459" s="287">
        <v>1.2016687153E10</v>
      </c>
      <c r="D459" s="286" t="s">
        <v>2394</v>
      </c>
      <c r="E459" s="286" t="s">
        <v>1577</v>
      </c>
    </row>
    <row r="460">
      <c r="A460" s="286" t="s">
        <v>2395</v>
      </c>
      <c r="B460" s="286" t="s">
        <v>2280</v>
      </c>
      <c r="C460" s="287">
        <v>1.4074706267E10</v>
      </c>
      <c r="D460" s="286" t="s">
        <v>2396</v>
      </c>
      <c r="E460" s="286" t="s">
        <v>1307</v>
      </c>
    </row>
    <row r="461">
      <c r="A461" s="286" t="s">
        <v>2397</v>
      </c>
      <c r="B461" s="262" t="s">
        <v>2398</v>
      </c>
      <c r="C461" s="287">
        <v>1.3468012271E10</v>
      </c>
      <c r="D461" s="286" t="s">
        <v>2399</v>
      </c>
      <c r="E461" s="286" t="s">
        <v>1298</v>
      </c>
    </row>
    <row r="462">
      <c r="A462" s="286" t="s">
        <v>2400</v>
      </c>
      <c r="B462" s="286" t="s">
        <v>2401</v>
      </c>
      <c r="C462" s="287">
        <v>1.6503334994E10</v>
      </c>
      <c r="D462" s="286" t="s">
        <v>2402</v>
      </c>
      <c r="E462" s="286" t="s">
        <v>1577</v>
      </c>
    </row>
    <row r="463">
      <c r="A463" s="286" t="s">
        <v>2403</v>
      </c>
      <c r="B463" s="286" t="s">
        <v>1536</v>
      </c>
      <c r="C463" s="287">
        <v>1.5709212845E10</v>
      </c>
      <c r="D463" s="286" t="s">
        <v>2404</v>
      </c>
      <c r="E463" s="286" t="s">
        <v>1307</v>
      </c>
    </row>
    <row r="464">
      <c r="A464" s="286" t="s">
        <v>2405</v>
      </c>
      <c r="B464" s="262"/>
      <c r="C464" s="287">
        <v>1.3052199262E10</v>
      </c>
      <c r="D464" s="286" t="s">
        <v>2406</v>
      </c>
      <c r="E464" s="286" t="s">
        <v>1860</v>
      </c>
    </row>
    <row r="465">
      <c r="A465" s="286" t="s">
        <v>2407</v>
      </c>
      <c r="B465" s="262"/>
      <c r="C465" s="287">
        <v>1.307761395E10</v>
      </c>
      <c r="D465" s="286" t="s">
        <v>2408</v>
      </c>
      <c r="E465" s="286" t="s">
        <v>1307</v>
      </c>
    </row>
    <row r="466">
      <c r="A466" s="286" t="s">
        <v>1441</v>
      </c>
      <c r="B466" s="262"/>
      <c r="C466" s="287">
        <v>1.619451976E10</v>
      </c>
      <c r="D466" s="286" t="s">
        <v>2409</v>
      </c>
      <c r="E466" s="286" t="s">
        <v>1860</v>
      </c>
    </row>
    <row r="467">
      <c r="A467" s="286" t="s">
        <v>2410</v>
      </c>
      <c r="B467" s="286" t="s">
        <v>2411</v>
      </c>
      <c r="C467" s="287">
        <v>1.9737823804E10</v>
      </c>
      <c r="D467" s="286" t="s">
        <v>2412</v>
      </c>
      <c r="E467" s="286" t="s">
        <v>1577</v>
      </c>
    </row>
    <row r="468">
      <c r="A468" s="286" t="s">
        <v>589</v>
      </c>
      <c r="B468" s="262" t="s">
        <v>2413</v>
      </c>
      <c r="C468" s="287">
        <v>1.4074800404E10</v>
      </c>
      <c r="D468" s="286" t="s">
        <v>2414</v>
      </c>
      <c r="E468" s="286" t="s">
        <v>1409</v>
      </c>
    </row>
    <row r="469">
      <c r="A469" s="286" t="s">
        <v>2415</v>
      </c>
      <c r="B469" s="286" t="s">
        <v>2416</v>
      </c>
      <c r="C469" s="287">
        <v>1.3057800601E10</v>
      </c>
      <c r="D469" s="286" t="s">
        <v>2417</v>
      </c>
      <c r="E469" s="286" t="s">
        <v>2278</v>
      </c>
    </row>
    <row r="470">
      <c r="A470" s="286" t="s">
        <v>2418</v>
      </c>
      <c r="B470" s="286" t="s">
        <v>2419</v>
      </c>
      <c r="C470" s="287">
        <v>1.3154031711E10</v>
      </c>
      <c r="D470" s="286" t="s">
        <v>2420</v>
      </c>
      <c r="E470" s="286" t="s">
        <v>2278</v>
      </c>
    </row>
    <row r="471">
      <c r="A471" s="286" t="s">
        <v>2421</v>
      </c>
      <c r="B471" s="286" t="s">
        <v>2422</v>
      </c>
      <c r="C471" s="287">
        <v>1.4692798658E10</v>
      </c>
      <c r="D471" s="286" t="s">
        <v>2423</v>
      </c>
      <c r="E471" s="286" t="s">
        <v>1307</v>
      </c>
    </row>
    <row r="472">
      <c r="A472" s="286" t="s">
        <v>2424</v>
      </c>
      <c r="B472" s="286" t="s">
        <v>2425</v>
      </c>
      <c r="C472" s="287">
        <v>1.9412986105E10</v>
      </c>
      <c r="D472" s="286" t="s">
        <v>2426</v>
      </c>
      <c r="E472" s="286" t="s">
        <v>1534</v>
      </c>
    </row>
    <row r="473">
      <c r="A473" s="286" t="s">
        <v>2427</v>
      </c>
      <c r="B473" s="286" t="s">
        <v>2428</v>
      </c>
      <c r="C473" s="287">
        <v>1.7326441664E10</v>
      </c>
      <c r="D473" s="286" t="s">
        <v>2429</v>
      </c>
      <c r="E473" s="286" t="s">
        <v>1307</v>
      </c>
    </row>
    <row r="474">
      <c r="A474" s="286" t="s">
        <v>2430</v>
      </c>
      <c r="B474" s="262" t="s">
        <v>1430</v>
      </c>
      <c r="C474" s="287">
        <v>1.2142289017E10</v>
      </c>
      <c r="D474" s="286" t="s">
        <v>2431</v>
      </c>
      <c r="E474" s="286" t="s">
        <v>1298</v>
      </c>
    </row>
    <row r="475">
      <c r="A475" s="286" t="s">
        <v>2432</v>
      </c>
      <c r="B475" s="262" t="s">
        <v>2433</v>
      </c>
      <c r="C475" s="287">
        <v>1.7866761193E10</v>
      </c>
      <c r="D475" s="286" t="s">
        <v>2434</v>
      </c>
      <c r="E475" s="286" t="s">
        <v>1298</v>
      </c>
    </row>
    <row r="476">
      <c r="A476" s="286" t="s">
        <v>1733</v>
      </c>
      <c r="B476" s="262" t="s">
        <v>1708</v>
      </c>
      <c r="C476" s="287">
        <v>1.329209089E10</v>
      </c>
      <c r="D476" s="286" t="s">
        <v>2435</v>
      </c>
      <c r="E476" s="286" t="s">
        <v>1409</v>
      </c>
    </row>
    <row r="477">
      <c r="A477" s="286" t="s">
        <v>1299</v>
      </c>
      <c r="B477" s="286" t="s">
        <v>2436</v>
      </c>
      <c r="C477" s="287">
        <v>1.3212003072E10</v>
      </c>
      <c r="D477" s="286" t="s">
        <v>2437</v>
      </c>
      <c r="E477" s="286" t="s">
        <v>1307</v>
      </c>
    </row>
    <row r="478">
      <c r="A478" s="286" t="s">
        <v>1344</v>
      </c>
      <c r="B478" s="286" t="s">
        <v>2438</v>
      </c>
      <c r="C478" s="287">
        <v>1.8126329454E10</v>
      </c>
      <c r="D478" s="286" t="s">
        <v>2439</v>
      </c>
      <c r="E478" s="286" t="s">
        <v>1307</v>
      </c>
    </row>
    <row r="479">
      <c r="A479" s="286" t="s">
        <v>1636</v>
      </c>
      <c r="B479" s="286" t="s">
        <v>1539</v>
      </c>
      <c r="C479" s="287">
        <v>1.9733373652E10</v>
      </c>
      <c r="D479" s="286" t="s">
        <v>2440</v>
      </c>
      <c r="E479" s="286" t="s">
        <v>1307</v>
      </c>
    </row>
    <row r="480">
      <c r="A480" s="286" t="s">
        <v>2441</v>
      </c>
      <c r="B480" s="262" t="s">
        <v>2442</v>
      </c>
      <c r="C480" s="288">
        <v>5.25615E16</v>
      </c>
      <c r="D480" s="286" t="s">
        <v>2443</v>
      </c>
      <c r="E480" s="286" t="s">
        <v>1298</v>
      </c>
    </row>
    <row r="481">
      <c r="A481" s="286" t="s">
        <v>2444</v>
      </c>
      <c r="B481" s="262" t="s">
        <v>1942</v>
      </c>
      <c r="C481" s="287">
        <v>1.646567305E10</v>
      </c>
      <c r="D481" s="286" t="s">
        <v>2445</v>
      </c>
      <c r="E481" s="286" t="s">
        <v>1298</v>
      </c>
    </row>
    <row r="482">
      <c r="A482" s="286" t="s">
        <v>2393</v>
      </c>
      <c r="B482" s="286" t="s">
        <v>2446</v>
      </c>
      <c r="C482" s="287">
        <v>1.7545440478E10</v>
      </c>
      <c r="D482" s="286" t="s">
        <v>2447</v>
      </c>
      <c r="E482" s="286" t="s">
        <v>2278</v>
      </c>
    </row>
    <row r="483">
      <c r="A483" s="286" t="s">
        <v>1344</v>
      </c>
      <c r="B483" s="262"/>
      <c r="C483" s="287">
        <v>1.6468077286E10</v>
      </c>
      <c r="D483" s="286" t="s">
        <v>2448</v>
      </c>
      <c r="E483" s="286" t="s">
        <v>1298</v>
      </c>
    </row>
    <row r="484">
      <c r="A484" s="286" t="s">
        <v>2449</v>
      </c>
      <c r="B484" s="262" t="s">
        <v>2450</v>
      </c>
      <c r="C484" s="287">
        <v>1.9562578402E10</v>
      </c>
      <c r="D484" s="286" t="s">
        <v>2451</v>
      </c>
      <c r="E484" s="286" t="s">
        <v>1298</v>
      </c>
    </row>
    <row r="485">
      <c r="A485" s="286" t="s">
        <v>1558</v>
      </c>
      <c r="B485" s="286" t="s">
        <v>2452</v>
      </c>
      <c r="C485" s="287">
        <v>1.9085249287E10</v>
      </c>
      <c r="D485" s="286" t="s">
        <v>2453</v>
      </c>
      <c r="E485" s="286" t="s">
        <v>1307</v>
      </c>
    </row>
    <row r="486">
      <c r="A486" s="286" t="s">
        <v>2454</v>
      </c>
      <c r="B486" s="262" t="s">
        <v>2419</v>
      </c>
      <c r="C486" s="287">
        <v>1.3476790003E10</v>
      </c>
      <c r="D486" s="286" t="s">
        <v>2455</v>
      </c>
      <c r="E486" s="286" t="s">
        <v>1409</v>
      </c>
    </row>
    <row r="487">
      <c r="A487" s="286" t="s">
        <v>1861</v>
      </c>
      <c r="B487" s="286" t="s">
        <v>2456</v>
      </c>
      <c r="C487" s="287">
        <v>1.5043264312E10</v>
      </c>
      <c r="D487" s="286" t="s">
        <v>2457</v>
      </c>
      <c r="E487" s="286" t="s">
        <v>1307</v>
      </c>
    </row>
    <row r="488">
      <c r="A488" s="286" t="s">
        <v>2458</v>
      </c>
      <c r="B488" s="262"/>
      <c r="C488" s="287">
        <v>1.5512254227E10</v>
      </c>
      <c r="D488" s="286" t="s">
        <v>2459</v>
      </c>
      <c r="E488" s="286" t="s">
        <v>1409</v>
      </c>
    </row>
    <row r="489">
      <c r="A489" s="286" t="s">
        <v>2460</v>
      </c>
      <c r="B489" s="286" t="s">
        <v>2461</v>
      </c>
      <c r="C489" s="287">
        <v>1.9732349404E10</v>
      </c>
      <c r="D489" s="286" t="s">
        <v>2462</v>
      </c>
      <c r="E489" s="286" t="s">
        <v>1307</v>
      </c>
    </row>
    <row r="490">
      <c r="A490" s="286" t="s">
        <v>1615</v>
      </c>
      <c r="B490" s="286" t="s">
        <v>2463</v>
      </c>
      <c r="C490" s="287">
        <v>1.3527099953E10</v>
      </c>
      <c r="D490" s="286" t="s">
        <v>2464</v>
      </c>
      <c r="E490" s="286" t="s">
        <v>1307</v>
      </c>
    </row>
    <row r="491">
      <c r="A491" s="286" t="s">
        <v>2465</v>
      </c>
      <c r="B491" s="286" t="s">
        <v>2466</v>
      </c>
      <c r="C491" s="287">
        <v>1.4079545104E10</v>
      </c>
      <c r="D491" s="286" t="s">
        <v>2467</v>
      </c>
      <c r="E491" s="286" t="s">
        <v>1307</v>
      </c>
    </row>
    <row r="492">
      <c r="A492" s="286" t="s">
        <v>1740</v>
      </c>
      <c r="B492" s="286" t="s">
        <v>2468</v>
      </c>
      <c r="C492" s="287">
        <v>1.6239301651E10</v>
      </c>
      <c r="D492" s="286" t="s">
        <v>2469</v>
      </c>
      <c r="E492" s="286" t="s">
        <v>1307</v>
      </c>
    </row>
    <row r="493">
      <c r="A493" s="286" t="s">
        <v>1757</v>
      </c>
      <c r="B493" s="286" t="s">
        <v>2029</v>
      </c>
      <c r="C493" s="287">
        <v>1.817798902E10</v>
      </c>
      <c r="D493" s="286" t="s">
        <v>2470</v>
      </c>
      <c r="E493" s="286" t="s">
        <v>1307</v>
      </c>
    </row>
    <row r="494">
      <c r="A494" s="286" t="s">
        <v>1839</v>
      </c>
      <c r="B494" s="262" t="s">
        <v>2051</v>
      </c>
      <c r="C494" s="287">
        <v>1.8484583316E10</v>
      </c>
      <c r="D494" s="286" t="s">
        <v>2471</v>
      </c>
      <c r="E494" s="286" t="s">
        <v>1409</v>
      </c>
    </row>
    <row r="495">
      <c r="A495" s="286" t="s">
        <v>1327</v>
      </c>
      <c r="B495" s="262" t="s">
        <v>1596</v>
      </c>
      <c r="C495" s="287">
        <v>1.5039351075E10</v>
      </c>
      <c r="D495" s="286" t="s">
        <v>2472</v>
      </c>
      <c r="E495" s="286" t="s">
        <v>1409</v>
      </c>
    </row>
    <row r="496">
      <c r="A496" s="286" t="s">
        <v>2473</v>
      </c>
      <c r="B496" s="286" t="s">
        <v>2474</v>
      </c>
      <c r="C496" s="287">
        <v>1.3178329073E10</v>
      </c>
      <c r="D496" s="286" t="s">
        <v>2475</v>
      </c>
      <c r="E496" s="286" t="s">
        <v>2278</v>
      </c>
    </row>
    <row r="497">
      <c r="A497" s="286" t="s">
        <v>1802</v>
      </c>
      <c r="B497" s="262"/>
      <c r="C497" s="287">
        <v>1.3464658706E10</v>
      </c>
      <c r="D497" s="286" t="s">
        <v>2476</v>
      </c>
      <c r="E497" s="286" t="s">
        <v>1307</v>
      </c>
    </row>
    <row r="498">
      <c r="A498" s="286" t="s">
        <v>2477</v>
      </c>
      <c r="B498" s="286" t="s">
        <v>2478</v>
      </c>
      <c r="C498" s="287">
        <v>1.7324338376E10</v>
      </c>
      <c r="D498" s="286" t="s">
        <v>2479</v>
      </c>
      <c r="E498" s="286" t="s">
        <v>2278</v>
      </c>
    </row>
    <row r="499">
      <c r="A499" s="286" t="s">
        <v>2218</v>
      </c>
      <c r="B499" s="286" t="s">
        <v>2480</v>
      </c>
      <c r="C499" s="287">
        <v>1.3109285127E10</v>
      </c>
      <c r="D499" s="286" t="s">
        <v>2481</v>
      </c>
      <c r="E499" s="286" t="s">
        <v>1307</v>
      </c>
    </row>
    <row r="500">
      <c r="A500" s="286" t="s">
        <v>1799</v>
      </c>
      <c r="B500" s="286" t="s">
        <v>1659</v>
      </c>
      <c r="C500" s="287">
        <v>1.2394417712E10</v>
      </c>
      <c r="D500" s="286" t="s">
        <v>2482</v>
      </c>
      <c r="E500" s="286" t="s">
        <v>1577</v>
      </c>
    </row>
    <row r="501">
      <c r="A501" s="286" t="s">
        <v>2483</v>
      </c>
      <c r="B501" s="286" t="s">
        <v>2133</v>
      </c>
      <c r="C501" s="287">
        <v>1.3176040335E10</v>
      </c>
      <c r="D501" s="286" t="s">
        <v>2484</v>
      </c>
      <c r="E501" s="286" t="s">
        <v>2278</v>
      </c>
    </row>
    <row r="502">
      <c r="A502" s="286" t="s">
        <v>2485</v>
      </c>
      <c r="B502" s="286" t="s">
        <v>2486</v>
      </c>
      <c r="C502" s="287">
        <v>1.7867155127E10</v>
      </c>
      <c r="D502" s="286" t="s">
        <v>2487</v>
      </c>
      <c r="E502" s="286" t="s">
        <v>1307</v>
      </c>
    </row>
    <row r="503">
      <c r="A503" s="286" t="s">
        <v>1636</v>
      </c>
      <c r="B503" s="262" t="s">
        <v>1674</v>
      </c>
      <c r="C503" s="287">
        <v>1.3107200745E10</v>
      </c>
      <c r="D503" s="286" t="s">
        <v>2488</v>
      </c>
      <c r="E503" s="286" t="s">
        <v>1409</v>
      </c>
    </row>
    <row r="504">
      <c r="A504" s="286" t="s">
        <v>2489</v>
      </c>
      <c r="B504" s="262" t="s">
        <v>2490</v>
      </c>
      <c r="C504" s="287">
        <v>1.8575263858E10</v>
      </c>
      <c r="D504" s="286" t="s">
        <v>2491</v>
      </c>
      <c r="E504" s="286" t="s">
        <v>1298</v>
      </c>
    </row>
    <row r="505">
      <c r="A505" s="286" t="s">
        <v>2492</v>
      </c>
      <c r="B505" s="262" t="s">
        <v>2493</v>
      </c>
      <c r="C505" s="287">
        <v>1.7327816514E10</v>
      </c>
      <c r="D505" s="286" t="s">
        <v>2494</v>
      </c>
      <c r="E505" s="286" t="s">
        <v>1409</v>
      </c>
    </row>
    <row r="506">
      <c r="A506" s="286" t="s">
        <v>2495</v>
      </c>
      <c r="B506" s="262" t="s">
        <v>2005</v>
      </c>
      <c r="C506" s="287">
        <v>1.7173839299E10</v>
      </c>
      <c r="D506" s="286" t="s">
        <v>2496</v>
      </c>
      <c r="E506" s="286" t="s">
        <v>1409</v>
      </c>
    </row>
    <row r="507">
      <c r="A507" s="286" t="s">
        <v>1347</v>
      </c>
      <c r="B507" s="286" t="s">
        <v>2436</v>
      </c>
      <c r="C507" s="287">
        <v>1.9145316161E10</v>
      </c>
      <c r="D507" s="286" t="s">
        <v>2497</v>
      </c>
      <c r="E507" s="286" t="s">
        <v>1534</v>
      </c>
    </row>
    <row r="508">
      <c r="A508" s="286" t="s">
        <v>2498</v>
      </c>
      <c r="B508" s="262" t="s">
        <v>2499</v>
      </c>
      <c r="C508" s="287">
        <v>1.6026387896E10</v>
      </c>
      <c r="D508" s="286" t="s">
        <v>2500</v>
      </c>
      <c r="E508" s="286" t="s">
        <v>1409</v>
      </c>
    </row>
    <row r="509">
      <c r="A509" s="286" t="s">
        <v>1544</v>
      </c>
      <c r="B509" s="262" t="s">
        <v>2493</v>
      </c>
      <c r="C509" s="287">
        <v>1.8577194279E10</v>
      </c>
      <c r="D509" s="286" t="s">
        <v>2501</v>
      </c>
      <c r="E509" s="286" t="s">
        <v>1409</v>
      </c>
    </row>
    <row r="510">
      <c r="A510" s="286" t="s">
        <v>2502</v>
      </c>
      <c r="B510" s="286" t="s">
        <v>1515</v>
      </c>
      <c r="C510" s="287">
        <v>1.2402893417E10</v>
      </c>
      <c r="D510" s="286" t="s">
        <v>2503</v>
      </c>
      <c r="E510" s="286" t="s">
        <v>1307</v>
      </c>
    </row>
    <row r="511">
      <c r="A511" s="286" t="s">
        <v>1636</v>
      </c>
      <c r="B511" s="286" t="s">
        <v>1344</v>
      </c>
      <c r="C511" s="287">
        <v>1.7863819262E10</v>
      </c>
      <c r="D511" s="286" t="s">
        <v>2504</v>
      </c>
      <c r="E511" s="286" t="s">
        <v>1307</v>
      </c>
    </row>
    <row r="512">
      <c r="A512" s="286" t="s">
        <v>2505</v>
      </c>
      <c r="B512" s="286" t="s">
        <v>2506</v>
      </c>
      <c r="C512" s="287">
        <v>1.6896100373E10</v>
      </c>
      <c r="D512" s="286" t="s">
        <v>2507</v>
      </c>
      <c r="E512" s="286" t="s">
        <v>1307</v>
      </c>
    </row>
    <row r="513">
      <c r="A513" s="286" t="s">
        <v>1777</v>
      </c>
      <c r="B513" s="262" t="s">
        <v>2508</v>
      </c>
      <c r="C513" s="287">
        <v>1.2407394632E10</v>
      </c>
      <c r="D513" s="286" t="s">
        <v>2509</v>
      </c>
      <c r="E513" s="286" t="s">
        <v>1409</v>
      </c>
    </row>
    <row r="514">
      <c r="A514" s="286" t="s">
        <v>2510</v>
      </c>
      <c r="B514" s="286" t="s">
        <v>2511</v>
      </c>
      <c r="C514" s="287">
        <v>1.3474554165E10</v>
      </c>
      <c r="D514" s="286" t="s">
        <v>2512</v>
      </c>
      <c r="E514" s="286" t="s">
        <v>1534</v>
      </c>
    </row>
    <row r="515">
      <c r="A515" s="286" t="s">
        <v>2377</v>
      </c>
      <c r="B515" s="286" t="s">
        <v>1579</v>
      </c>
      <c r="C515" s="287">
        <v>1.8322641641E10</v>
      </c>
      <c r="D515" s="286" t="s">
        <v>2513</v>
      </c>
      <c r="E515" s="286" t="s">
        <v>1307</v>
      </c>
    </row>
    <row r="516">
      <c r="A516" s="286" t="s">
        <v>2514</v>
      </c>
      <c r="B516" s="286" t="s">
        <v>2515</v>
      </c>
      <c r="C516" s="287">
        <v>1.9292299589E10</v>
      </c>
      <c r="D516" s="286" t="s">
        <v>2516</v>
      </c>
      <c r="E516" s="286" t="s">
        <v>1534</v>
      </c>
    </row>
    <row r="517">
      <c r="A517" s="286" t="s">
        <v>1470</v>
      </c>
      <c r="B517" s="262" t="s">
        <v>1867</v>
      </c>
      <c r="C517" s="287">
        <v>1.929343813E10</v>
      </c>
      <c r="D517" s="286" t="s">
        <v>2517</v>
      </c>
      <c r="E517" s="286" t="s">
        <v>1409</v>
      </c>
    </row>
    <row r="518">
      <c r="A518" s="286" t="s">
        <v>2518</v>
      </c>
      <c r="B518" s="262"/>
      <c r="C518" s="287">
        <v>1.4705849952E10</v>
      </c>
      <c r="D518" s="286" t="s">
        <v>2519</v>
      </c>
      <c r="E518" s="286" t="s">
        <v>1409</v>
      </c>
    </row>
    <row r="519">
      <c r="A519" s="286" t="s">
        <v>1799</v>
      </c>
      <c r="B519" s="262" t="s">
        <v>2520</v>
      </c>
      <c r="C519" s="287">
        <v>1.3479651909E10</v>
      </c>
      <c r="D519" s="286" t="s">
        <v>2521</v>
      </c>
      <c r="E519" s="286" t="s">
        <v>1409</v>
      </c>
    </row>
    <row r="520">
      <c r="A520" s="286" t="s">
        <v>2522</v>
      </c>
      <c r="B520" s="286" t="s">
        <v>2523</v>
      </c>
      <c r="C520" s="287">
        <v>1.9738612704E10</v>
      </c>
      <c r="D520" s="286" t="s">
        <v>2524</v>
      </c>
      <c r="E520" s="286" t="s">
        <v>2525</v>
      </c>
    </row>
    <row r="521">
      <c r="A521" s="286" t="s">
        <v>2526</v>
      </c>
      <c r="B521" s="262" t="s">
        <v>2527</v>
      </c>
      <c r="C521" s="287">
        <v>1.6315306325E10</v>
      </c>
      <c r="D521" s="286" t="s">
        <v>2528</v>
      </c>
      <c r="E521" s="286" t="s">
        <v>1409</v>
      </c>
    </row>
    <row r="522">
      <c r="A522" s="286" t="s">
        <v>2529</v>
      </c>
      <c r="B522" s="262"/>
      <c r="C522" s="287">
        <v>1.6262955442E10</v>
      </c>
      <c r="D522" s="286" t="s">
        <v>2530</v>
      </c>
      <c r="E522" s="286" t="s">
        <v>1409</v>
      </c>
    </row>
    <row r="523">
      <c r="A523" s="286" t="s">
        <v>2531</v>
      </c>
      <c r="B523" s="286" t="s">
        <v>2532</v>
      </c>
      <c r="C523" s="287">
        <v>1.9293087939E10</v>
      </c>
      <c r="D523" s="286" t="s">
        <v>2533</v>
      </c>
      <c r="E523" s="286" t="s">
        <v>1534</v>
      </c>
    </row>
    <row r="524">
      <c r="A524" s="286" t="s">
        <v>2534</v>
      </c>
      <c r="B524" s="262" t="s">
        <v>1761</v>
      </c>
      <c r="C524" s="287">
        <v>1.9175698786E10</v>
      </c>
      <c r="D524" s="286" t="s">
        <v>2535</v>
      </c>
      <c r="E524" s="286" t="s">
        <v>1409</v>
      </c>
    </row>
    <row r="525">
      <c r="A525" s="286" t="s">
        <v>1817</v>
      </c>
      <c r="B525" s="286" t="s">
        <v>2536</v>
      </c>
      <c r="C525" s="287">
        <v>1.6163404025E10</v>
      </c>
      <c r="D525" s="286" t="s">
        <v>2537</v>
      </c>
      <c r="E525" s="286" t="s">
        <v>1577</v>
      </c>
    </row>
    <row r="526">
      <c r="A526" s="286" t="s">
        <v>1636</v>
      </c>
      <c r="B526" s="262" t="s">
        <v>1708</v>
      </c>
      <c r="C526" s="287">
        <v>1.8063300535E10</v>
      </c>
      <c r="D526" s="286" t="s">
        <v>2538</v>
      </c>
      <c r="E526" s="286" t="s">
        <v>1409</v>
      </c>
    </row>
    <row r="527">
      <c r="A527" s="286" t="s">
        <v>2539</v>
      </c>
      <c r="B527" s="262" t="s">
        <v>2540</v>
      </c>
      <c r="C527" s="287">
        <v>1.8183970107E10</v>
      </c>
      <c r="D527" s="286" t="s">
        <v>2541</v>
      </c>
      <c r="E527" s="286" t="s">
        <v>1298</v>
      </c>
    </row>
    <row r="528">
      <c r="A528" s="286" t="s">
        <v>2542</v>
      </c>
      <c r="B528" s="286" t="s">
        <v>2543</v>
      </c>
      <c r="C528" s="287">
        <v>1.9143866532E10</v>
      </c>
      <c r="D528" s="286" t="s">
        <v>2544</v>
      </c>
      <c r="E528" s="286" t="s">
        <v>1534</v>
      </c>
    </row>
    <row r="529">
      <c r="A529" s="286" t="s">
        <v>2545</v>
      </c>
      <c r="B529" s="262" t="s">
        <v>1345</v>
      </c>
      <c r="C529" s="287">
        <v>1.619706542E10</v>
      </c>
      <c r="D529" s="286" t="s">
        <v>2546</v>
      </c>
      <c r="E529" s="286" t="s">
        <v>1409</v>
      </c>
    </row>
    <row r="530">
      <c r="A530" s="286" t="s">
        <v>1344</v>
      </c>
      <c r="B530" s="286" t="s">
        <v>2547</v>
      </c>
      <c r="C530" s="287">
        <v>1.774823287E10</v>
      </c>
      <c r="D530" s="286" t="s">
        <v>2548</v>
      </c>
      <c r="E530" s="286" t="s">
        <v>2354</v>
      </c>
    </row>
    <row r="531">
      <c r="A531" s="286" t="s">
        <v>2549</v>
      </c>
      <c r="B531" s="262" t="s">
        <v>1677</v>
      </c>
      <c r="C531" s="287">
        <v>1.9092547186E10</v>
      </c>
      <c r="D531" s="286" t="s">
        <v>2550</v>
      </c>
      <c r="E531" s="286" t="s">
        <v>1409</v>
      </c>
    </row>
    <row r="532">
      <c r="A532" s="286" t="s">
        <v>2551</v>
      </c>
      <c r="B532" s="262" t="s">
        <v>2552</v>
      </c>
      <c r="C532" s="287">
        <v>1.9494002136E10</v>
      </c>
      <c r="D532" s="286" t="s">
        <v>2553</v>
      </c>
      <c r="E532" s="286" t="s">
        <v>1409</v>
      </c>
    </row>
    <row r="533">
      <c r="A533" s="286" t="s">
        <v>1100</v>
      </c>
      <c r="B533" s="262" t="s">
        <v>2554</v>
      </c>
      <c r="C533" s="287">
        <v>1.5126966773E10</v>
      </c>
      <c r="D533" s="286" t="s">
        <v>2555</v>
      </c>
      <c r="E533" s="286" t="s">
        <v>1409</v>
      </c>
    </row>
    <row r="534">
      <c r="A534" s="286" t="s">
        <v>1509</v>
      </c>
      <c r="B534" s="286" t="s">
        <v>2556</v>
      </c>
      <c r="C534" s="287">
        <v>1.2133520849E10</v>
      </c>
      <c r="D534" s="286" t="s">
        <v>2557</v>
      </c>
      <c r="E534" s="286" t="s">
        <v>1307</v>
      </c>
    </row>
    <row r="535">
      <c r="A535" s="286" t="s">
        <v>2558</v>
      </c>
      <c r="B535" s="286" t="s">
        <v>2559</v>
      </c>
      <c r="C535" s="287">
        <v>1.9083056446E10</v>
      </c>
      <c r="D535" s="286" t="s">
        <v>2560</v>
      </c>
      <c r="E535" s="286" t="s">
        <v>2525</v>
      </c>
    </row>
    <row r="536">
      <c r="A536" s="286" t="s">
        <v>2330</v>
      </c>
      <c r="B536" s="286" t="s">
        <v>1661</v>
      </c>
      <c r="C536" s="287">
        <v>1.9563575723E10</v>
      </c>
      <c r="D536" s="286" t="s">
        <v>2561</v>
      </c>
      <c r="E536" s="286" t="s">
        <v>2278</v>
      </c>
    </row>
    <row r="537">
      <c r="A537" s="286" t="s">
        <v>2562</v>
      </c>
      <c r="B537" s="286" t="s">
        <v>2563</v>
      </c>
      <c r="C537" s="287">
        <v>1.4085333184E10</v>
      </c>
      <c r="D537" s="286" t="s">
        <v>2564</v>
      </c>
      <c r="E537" s="286" t="s">
        <v>1307</v>
      </c>
    </row>
    <row r="538">
      <c r="A538" s="286" t="s">
        <v>2565</v>
      </c>
      <c r="B538" s="286" t="s">
        <v>2566</v>
      </c>
      <c r="C538" s="287">
        <v>1.3476790078E10</v>
      </c>
      <c r="D538" s="286" t="s">
        <v>2567</v>
      </c>
      <c r="E538" s="286" t="s">
        <v>1577</v>
      </c>
    </row>
    <row r="539">
      <c r="A539" s="286" t="s">
        <v>2568</v>
      </c>
      <c r="B539" s="262" t="s">
        <v>1445</v>
      </c>
      <c r="C539" s="287">
        <v>1.7027253756E10</v>
      </c>
      <c r="D539" s="286" t="s">
        <v>2569</v>
      </c>
      <c r="E539" s="286" t="s">
        <v>1409</v>
      </c>
    </row>
    <row r="540">
      <c r="A540" s="286" t="s">
        <v>1322</v>
      </c>
      <c r="B540" s="262" t="s">
        <v>1536</v>
      </c>
      <c r="C540" s="287">
        <v>1.9295937199E10</v>
      </c>
      <c r="D540" s="286" t="s">
        <v>2570</v>
      </c>
      <c r="E540" s="286" t="s">
        <v>1298</v>
      </c>
    </row>
    <row r="541">
      <c r="A541" s="286" t="s">
        <v>1392</v>
      </c>
      <c r="B541" s="262" t="s">
        <v>2571</v>
      </c>
      <c r="C541" s="287">
        <v>1.9124419564E10</v>
      </c>
      <c r="D541" s="286" t="s">
        <v>2572</v>
      </c>
      <c r="E541" s="286" t="s">
        <v>1298</v>
      </c>
    </row>
    <row r="542">
      <c r="A542" s="286" t="s">
        <v>1636</v>
      </c>
      <c r="B542" s="286" t="s">
        <v>2573</v>
      </c>
      <c r="C542" s="287">
        <v>1.2018385462E10</v>
      </c>
      <c r="D542" s="286" t="s">
        <v>2574</v>
      </c>
      <c r="E542" s="286" t="s">
        <v>2034</v>
      </c>
    </row>
    <row r="543">
      <c r="A543" s="286" t="s">
        <v>2575</v>
      </c>
      <c r="B543" s="262"/>
      <c r="C543" s="287">
        <v>1.4086615686E10</v>
      </c>
      <c r="D543" s="286" t="s">
        <v>2576</v>
      </c>
      <c r="E543" s="286" t="s">
        <v>1307</v>
      </c>
    </row>
    <row r="544">
      <c r="A544" s="286" t="s">
        <v>1356</v>
      </c>
      <c r="B544" s="286" t="s">
        <v>2577</v>
      </c>
      <c r="C544" s="287">
        <v>1.7867829468E10</v>
      </c>
      <c r="D544" s="286" t="s">
        <v>2578</v>
      </c>
      <c r="E544" s="286" t="s">
        <v>1307</v>
      </c>
    </row>
    <row r="545">
      <c r="A545" s="286" t="s">
        <v>1509</v>
      </c>
      <c r="B545" s="286" t="s">
        <v>2579</v>
      </c>
      <c r="C545" s="287">
        <v>1.4087225352E10</v>
      </c>
      <c r="D545" s="286" t="s">
        <v>2580</v>
      </c>
      <c r="E545" s="286" t="s">
        <v>1534</v>
      </c>
    </row>
    <row r="546">
      <c r="A546" s="286" t="s">
        <v>1574</v>
      </c>
      <c r="B546" s="286" t="s">
        <v>2581</v>
      </c>
      <c r="C546" s="287">
        <v>1.6194054341E10</v>
      </c>
      <c r="D546" s="286" t="s">
        <v>2582</v>
      </c>
      <c r="E546" s="286" t="s">
        <v>1307</v>
      </c>
    </row>
    <row r="547">
      <c r="A547" s="286" t="s">
        <v>2583</v>
      </c>
      <c r="B547" s="286" t="s">
        <v>2584</v>
      </c>
      <c r="C547" s="287">
        <v>1.8187216512E10</v>
      </c>
      <c r="D547" s="286" t="s">
        <v>2585</v>
      </c>
      <c r="E547" s="286" t="s">
        <v>1307</v>
      </c>
    </row>
    <row r="548">
      <c r="A548" s="286" t="s">
        <v>2586</v>
      </c>
      <c r="B548" s="286" t="s">
        <v>2587</v>
      </c>
      <c r="C548" s="287">
        <v>1.4016998724E10</v>
      </c>
      <c r="D548" s="286" t="s">
        <v>2588</v>
      </c>
      <c r="E548" s="286" t="s">
        <v>2354</v>
      </c>
    </row>
    <row r="549">
      <c r="A549" s="286" t="s">
        <v>2589</v>
      </c>
      <c r="B549" s="262"/>
      <c r="C549" s="287">
        <v>1.9519995615E10</v>
      </c>
      <c r="D549" s="286" t="s">
        <v>2590</v>
      </c>
      <c r="E549" s="286" t="s">
        <v>2591</v>
      </c>
    </row>
    <row r="550">
      <c r="A550" s="286" t="s">
        <v>2592</v>
      </c>
      <c r="B550" s="286" t="s">
        <v>2593</v>
      </c>
      <c r="C550" s="287">
        <v>1.4074836327E10</v>
      </c>
      <c r="D550" s="286" t="s">
        <v>2594</v>
      </c>
      <c r="E550" s="286" t="s">
        <v>1577</v>
      </c>
    </row>
    <row r="551">
      <c r="A551" s="286" t="s">
        <v>1952</v>
      </c>
      <c r="B551" s="286" t="s">
        <v>2595</v>
      </c>
      <c r="C551" s="287">
        <v>1.8476209723E10</v>
      </c>
      <c r="D551" s="286" t="s">
        <v>2596</v>
      </c>
      <c r="E551" s="286" t="s">
        <v>2034</v>
      </c>
    </row>
    <row r="552">
      <c r="A552" s="286" t="s">
        <v>2597</v>
      </c>
      <c r="B552" s="286" t="s">
        <v>2598</v>
      </c>
      <c r="C552" s="287">
        <v>1.2039197427E10</v>
      </c>
      <c r="D552" s="286" t="s">
        <v>2599</v>
      </c>
      <c r="E552" s="286" t="s">
        <v>2278</v>
      </c>
    </row>
    <row r="553">
      <c r="A553" s="286" t="s">
        <v>1359</v>
      </c>
      <c r="B553" s="286" t="s">
        <v>1659</v>
      </c>
      <c r="C553" s="287">
        <v>1.7868868773E10</v>
      </c>
      <c r="D553" s="286" t="s">
        <v>2600</v>
      </c>
      <c r="E553" s="286" t="s">
        <v>1534</v>
      </c>
    </row>
    <row r="554">
      <c r="A554" s="286" t="s">
        <v>2601</v>
      </c>
      <c r="B554" s="262" t="s">
        <v>2602</v>
      </c>
      <c r="C554" s="287">
        <v>1.8069226834E10</v>
      </c>
      <c r="D554" s="286" t="s">
        <v>2603</v>
      </c>
      <c r="E554" s="286" t="s">
        <v>1298</v>
      </c>
    </row>
    <row r="555">
      <c r="A555" s="286" t="s">
        <v>579</v>
      </c>
      <c r="B555" s="262" t="s">
        <v>2604</v>
      </c>
      <c r="C555" s="287">
        <v>1.4706410913E10</v>
      </c>
      <c r="D555" s="286" t="s">
        <v>2605</v>
      </c>
      <c r="E555" s="286" t="s">
        <v>1298</v>
      </c>
    </row>
    <row r="556">
      <c r="A556" s="286" t="s">
        <v>2606</v>
      </c>
      <c r="B556" s="286" t="s">
        <v>2607</v>
      </c>
      <c r="C556" s="287">
        <v>1.9392325887E10</v>
      </c>
      <c r="D556" s="286" t="s">
        <v>2608</v>
      </c>
      <c r="E556" s="286" t="s">
        <v>1534</v>
      </c>
    </row>
    <row r="557">
      <c r="A557" s="286" t="s">
        <v>2609</v>
      </c>
      <c r="B557" s="262" t="s">
        <v>2610</v>
      </c>
      <c r="C557" s="287">
        <v>1.3472225022E10</v>
      </c>
      <c r="D557" s="286" t="s">
        <v>2611</v>
      </c>
      <c r="E557" s="286" t="s">
        <v>1409</v>
      </c>
    </row>
    <row r="558">
      <c r="A558" s="286" t="s">
        <v>2612</v>
      </c>
      <c r="B558" s="286" t="s">
        <v>2613</v>
      </c>
      <c r="C558" s="287">
        <v>1.9785694937E10</v>
      </c>
      <c r="D558" s="286" t="s">
        <v>2614</v>
      </c>
      <c r="E558" s="286" t="s">
        <v>1534</v>
      </c>
    </row>
    <row r="559">
      <c r="A559" s="286" t="s">
        <v>2615</v>
      </c>
      <c r="B559" s="262" t="s">
        <v>2616</v>
      </c>
      <c r="C559" s="287">
        <v>1.737615554E10</v>
      </c>
      <c r="D559" s="286" t="s">
        <v>2617</v>
      </c>
      <c r="E559" s="286" t="s">
        <v>1409</v>
      </c>
    </row>
    <row r="560">
      <c r="A560" s="286" t="s">
        <v>2618</v>
      </c>
      <c r="B560" s="286" t="s">
        <v>2619</v>
      </c>
      <c r="C560" s="287">
        <v>1.4063843898E10</v>
      </c>
      <c r="D560" s="286" t="s">
        <v>2620</v>
      </c>
      <c r="E560" s="286" t="s">
        <v>1307</v>
      </c>
    </row>
    <row r="561">
      <c r="A561" s="286" t="s">
        <v>1344</v>
      </c>
      <c r="B561" s="286" t="s">
        <v>2621</v>
      </c>
      <c r="C561" s="287">
        <v>1.8565636334E10</v>
      </c>
      <c r="D561" s="286" t="s">
        <v>2622</v>
      </c>
      <c r="E561" s="286" t="s">
        <v>1307</v>
      </c>
    </row>
    <row r="562">
      <c r="A562" s="286" t="s">
        <v>1669</v>
      </c>
      <c r="B562" s="262" t="s">
        <v>2162</v>
      </c>
      <c r="C562" s="287">
        <v>1.6172330495E10</v>
      </c>
      <c r="D562" s="286" t="s">
        <v>2623</v>
      </c>
      <c r="E562" s="286" t="s">
        <v>1298</v>
      </c>
    </row>
    <row r="563">
      <c r="A563" s="286" t="s">
        <v>2624</v>
      </c>
      <c r="B563" s="262" t="s">
        <v>1554</v>
      </c>
      <c r="C563" s="287">
        <v>1.5129498473E10</v>
      </c>
      <c r="D563" s="286" t="s">
        <v>2625</v>
      </c>
      <c r="E563" s="286" t="s">
        <v>1298</v>
      </c>
    </row>
    <row r="564">
      <c r="A564" s="286" t="s">
        <v>2626</v>
      </c>
      <c r="B564" s="286" t="s">
        <v>2627</v>
      </c>
      <c r="C564" s="287">
        <v>1.7184064327E10</v>
      </c>
      <c r="D564" s="286" t="s">
        <v>2628</v>
      </c>
      <c r="E564" s="262"/>
    </row>
    <row r="565">
      <c r="A565" s="286" t="s">
        <v>2629</v>
      </c>
      <c r="B565" s="262" t="s">
        <v>2630</v>
      </c>
      <c r="C565" s="287">
        <v>1.832368768E10</v>
      </c>
      <c r="D565" s="286" t="s">
        <v>2631</v>
      </c>
      <c r="E565" s="286" t="s">
        <v>1298</v>
      </c>
    </row>
    <row r="566">
      <c r="A566" s="286" t="s">
        <v>2632</v>
      </c>
      <c r="B566" s="286" t="s">
        <v>2633</v>
      </c>
      <c r="C566" s="287">
        <v>1.7204010899E10</v>
      </c>
      <c r="D566" s="286" t="s">
        <v>2634</v>
      </c>
      <c r="E566" s="286" t="s">
        <v>1307</v>
      </c>
    </row>
    <row r="567">
      <c r="A567" s="286" t="s">
        <v>2635</v>
      </c>
      <c r="B567" s="286" t="s">
        <v>2636</v>
      </c>
      <c r="C567" s="287">
        <v>1.9146258922E10</v>
      </c>
      <c r="D567" s="286" t="s">
        <v>2637</v>
      </c>
      <c r="E567" s="286" t="s">
        <v>1534</v>
      </c>
    </row>
    <row r="568">
      <c r="A568" s="286" t="s">
        <v>579</v>
      </c>
      <c r="B568" s="262" t="s">
        <v>2638</v>
      </c>
      <c r="C568" s="287">
        <v>1.5034534243E10</v>
      </c>
      <c r="D568" s="286" t="s">
        <v>2639</v>
      </c>
      <c r="E568" s="286" t="s">
        <v>1409</v>
      </c>
    </row>
    <row r="569">
      <c r="A569" s="286" t="s">
        <v>1344</v>
      </c>
      <c r="B569" s="262"/>
      <c r="C569" s="287">
        <v>1.347353631E10</v>
      </c>
      <c r="D569" s="286" t="s">
        <v>2640</v>
      </c>
      <c r="E569" s="286" t="s">
        <v>1307</v>
      </c>
    </row>
    <row r="570">
      <c r="A570" s="286" t="s">
        <v>2641</v>
      </c>
      <c r="B570" s="262" t="s">
        <v>2642</v>
      </c>
      <c r="C570" s="287">
        <v>1.9083058883E10</v>
      </c>
      <c r="D570" s="286" t="s">
        <v>2643</v>
      </c>
      <c r="E570" s="286" t="s">
        <v>1409</v>
      </c>
    </row>
    <row r="571">
      <c r="A571" s="286" t="s">
        <v>1344</v>
      </c>
      <c r="B571" s="286" t="s">
        <v>2644</v>
      </c>
      <c r="C571" s="287">
        <v>1.4014298112E10</v>
      </c>
      <c r="D571" s="286" t="s">
        <v>2645</v>
      </c>
      <c r="E571" s="286" t="s">
        <v>1307</v>
      </c>
    </row>
    <row r="572">
      <c r="A572" s="286" t="s">
        <v>2424</v>
      </c>
      <c r="B572" s="286" t="s">
        <v>2646</v>
      </c>
      <c r="C572" s="287">
        <v>1.301404166E10</v>
      </c>
      <c r="D572" s="286" t="s">
        <v>2647</v>
      </c>
      <c r="E572" s="286" t="s">
        <v>1307</v>
      </c>
    </row>
    <row r="573">
      <c r="A573" s="286" t="s">
        <v>2648</v>
      </c>
      <c r="B573" s="262" t="s">
        <v>2649</v>
      </c>
      <c r="C573" s="287">
        <v>1.4092588674E10</v>
      </c>
      <c r="D573" s="286" t="s">
        <v>2650</v>
      </c>
      <c r="E573" s="286" t="s">
        <v>1298</v>
      </c>
    </row>
    <row r="574">
      <c r="A574" s="286" t="s">
        <v>1465</v>
      </c>
      <c r="B574" s="286" t="s">
        <v>2651</v>
      </c>
      <c r="C574" s="287">
        <v>1.773255257E10</v>
      </c>
      <c r="D574" s="286" t="s">
        <v>2652</v>
      </c>
      <c r="E574" s="286" t="s">
        <v>2354</v>
      </c>
    </row>
    <row r="575">
      <c r="A575" s="286" t="s">
        <v>2653</v>
      </c>
      <c r="B575" s="262" t="s">
        <v>2654</v>
      </c>
      <c r="C575" s="287">
        <v>1.6159181865E10</v>
      </c>
      <c r="D575" s="286" t="s">
        <v>2655</v>
      </c>
      <c r="E575" s="286" t="s">
        <v>1409</v>
      </c>
    </row>
    <row r="576">
      <c r="A576" s="286" t="s">
        <v>2656</v>
      </c>
      <c r="B576" s="262" t="s">
        <v>1729</v>
      </c>
      <c r="C576" s="287">
        <v>1.7866783152E10</v>
      </c>
      <c r="D576" s="286" t="s">
        <v>2657</v>
      </c>
      <c r="E576" s="286" t="s">
        <v>1409</v>
      </c>
    </row>
    <row r="577">
      <c r="A577" s="286" t="s">
        <v>2618</v>
      </c>
      <c r="B577" s="286" t="s">
        <v>2280</v>
      </c>
      <c r="C577" s="287">
        <v>1.6462668394E10</v>
      </c>
      <c r="D577" s="286" t="s">
        <v>2658</v>
      </c>
      <c r="E577" s="286" t="s">
        <v>1307</v>
      </c>
    </row>
    <row r="578">
      <c r="A578" s="286" t="s">
        <v>2659</v>
      </c>
      <c r="B578" s="262"/>
      <c r="C578" s="287">
        <v>1.8329944914E10</v>
      </c>
      <c r="D578" s="286" t="s">
        <v>2660</v>
      </c>
      <c r="E578" s="286" t="s">
        <v>1307</v>
      </c>
    </row>
    <row r="579">
      <c r="A579" s="286" t="s">
        <v>1631</v>
      </c>
      <c r="B579" s="262"/>
      <c r="C579" s="287">
        <v>1.7865035489E10</v>
      </c>
      <c r="D579" s="286" t="s">
        <v>2661</v>
      </c>
      <c r="E579" s="286" t="s">
        <v>2215</v>
      </c>
    </row>
    <row r="580">
      <c r="A580" s="286" t="s">
        <v>2662</v>
      </c>
      <c r="B580" s="262"/>
      <c r="C580" s="287">
        <v>1.9295091801E10</v>
      </c>
      <c r="D580" s="286" t="s">
        <v>2663</v>
      </c>
      <c r="E580" s="286" t="s">
        <v>1409</v>
      </c>
    </row>
    <row r="581">
      <c r="A581" s="286" t="s">
        <v>2664</v>
      </c>
      <c r="B581" s="262" t="s">
        <v>2665</v>
      </c>
      <c r="C581" s="287">
        <v>1.703717894E10</v>
      </c>
      <c r="D581" s="286" t="s">
        <v>2666</v>
      </c>
      <c r="E581" s="286" t="s">
        <v>1409</v>
      </c>
    </row>
    <row r="582">
      <c r="A582" s="286" t="s">
        <v>2667</v>
      </c>
      <c r="B582" s="262" t="s">
        <v>1677</v>
      </c>
      <c r="C582" s="287">
        <v>1.5109679513E10</v>
      </c>
      <c r="D582" s="286" t="s">
        <v>2668</v>
      </c>
      <c r="E582" s="286" t="s">
        <v>1298</v>
      </c>
    </row>
    <row r="583">
      <c r="A583" s="286" t="s">
        <v>2669</v>
      </c>
      <c r="B583" s="262" t="s">
        <v>2061</v>
      </c>
      <c r="C583" s="287">
        <v>1.2109294843E10</v>
      </c>
      <c r="D583" s="286" t="s">
        <v>2670</v>
      </c>
      <c r="E583" s="286" t="s">
        <v>1409</v>
      </c>
    </row>
    <row r="584">
      <c r="A584" s="286" t="s">
        <v>1766</v>
      </c>
      <c r="B584" s="286" t="s">
        <v>2671</v>
      </c>
      <c r="C584" s="287">
        <v>1.3237125465E10</v>
      </c>
      <c r="D584" s="286" t="s">
        <v>2672</v>
      </c>
      <c r="E584" s="286" t="s">
        <v>1307</v>
      </c>
    </row>
    <row r="585">
      <c r="A585" s="286" t="s">
        <v>2659</v>
      </c>
      <c r="B585" s="262" t="s">
        <v>1331</v>
      </c>
      <c r="C585" s="287">
        <v>1.9713005921E10</v>
      </c>
      <c r="D585" s="286" t="s">
        <v>2673</v>
      </c>
      <c r="E585" s="286" t="s">
        <v>1298</v>
      </c>
    </row>
    <row r="586">
      <c r="A586" s="286" t="s">
        <v>2674</v>
      </c>
      <c r="B586" s="262" t="s">
        <v>1424</v>
      </c>
      <c r="C586" s="287">
        <v>1.9043051081E10</v>
      </c>
      <c r="D586" s="286" t="s">
        <v>2675</v>
      </c>
      <c r="E586" s="286" t="s">
        <v>1298</v>
      </c>
    </row>
    <row r="587">
      <c r="A587" s="286" t="s">
        <v>2676</v>
      </c>
      <c r="B587" s="286" t="s">
        <v>2677</v>
      </c>
      <c r="C587" s="287">
        <v>1.6028001077E10</v>
      </c>
      <c r="D587" s="286" t="s">
        <v>2678</v>
      </c>
      <c r="E587" s="286" t="s">
        <v>2215</v>
      </c>
    </row>
    <row r="588">
      <c r="A588" s="286" t="s">
        <v>2679</v>
      </c>
      <c r="B588" s="286" t="s">
        <v>2478</v>
      </c>
      <c r="C588" s="287">
        <v>1.2052436544E10</v>
      </c>
      <c r="D588" s="286" t="s">
        <v>2680</v>
      </c>
      <c r="E588" s="286" t="s">
        <v>1307</v>
      </c>
    </row>
    <row r="589">
      <c r="A589" s="286" t="s">
        <v>1371</v>
      </c>
      <c r="B589" s="262" t="s">
        <v>1430</v>
      </c>
      <c r="C589" s="287">
        <v>1.6263432258E10</v>
      </c>
      <c r="D589" s="286" t="s">
        <v>2681</v>
      </c>
      <c r="E589" s="286" t="s">
        <v>1298</v>
      </c>
    </row>
    <row r="590">
      <c r="A590" s="286" t="s">
        <v>2682</v>
      </c>
      <c r="B590" s="286" t="s">
        <v>1659</v>
      </c>
      <c r="C590" s="287">
        <v>1.9452747584E10</v>
      </c>
      <c r="D590" s="286" t="s">
        <v>2683</v>
      </c>
      <c r="E590" s="286" t="s">
        <v>1577</v>
      </c>
    </row>
    <row r="591">
      <c r="A591" s="286" t="s">
        <v>2684</v>
      </c>
      <c r="B591" s="262" t="s">
        <v>2005</v>
      </c>
      <c r="C591" s="287">
        <v>1.813340035E10</v>
      </c>
      <c r="D591" s="286" t="s">
        <v>2685</v>
      </c>
      <c r="E591" s="286" t="s">
        <v>1409</v>
      </c>
    </row>
    <row r="592">
      <c r="A592" s="286" t="s">
        <v>2686</v>
      </c>
      <c r="B592" s="286" t="s">
        <v>2687</v>
      </c>
      <c r="C592" s="287">
        <v>1.3058984832E10</v>
      </c>
      <c r="D592" s="286" t="s">
        <v>2688</v>
      </c>
      <c r="E592" s="286" t="s">
        <v>1307</v>
      </c>
    </row>
    <row r="593">
      <c r="A593" s="286" t="s">
        <v>2689</v>
      </c>
      <c r="B593" s="286" t="s">
        <v>2690</v>
      </c>
      <c r="C593" s="287">
        <v>1.6099409273E10</v>
      </c>
      <c r="D593" s="286" t="s">
        <v>2691</v>
      </c>
      <c r="E593" s="286" t="s">
        <v>1307</v>
      </c>
    </row>
    <row r="594">
      <c r="A594" s="286" t="s">
        <v>1344</v>
      </c>
      <c r="B594" s="262" t="s">
        <v>1518</v>
      </c>
      <c r="C594" s="287">
        <v>1.6312900013E10</v>
      </c>
      <c r="D594" s="286" t="s">
        <v>2692</v>
      </c>
      <c r="E594" s="286" t="s">
        <v>1298</v>
      </c>
    </row>
    <row r="595">
      <c r="A595" s="286" t="s">
        <v>2693</v>
      </c>
      <c r="B595" s="262" t="s">
        <v>2694</v>
      </c>
      <c r="C595" s="287">
        <v>1.929766317E10</v>
      </c>
      <c r="D595" s="286" t="s">
        <v>2695</v>
      </c>
      <c r="E595" s="286" t="s">
        <v>1298</v>
      </c>
    </row>
    <row r="596">
      <c r="A596" s="286" t="s">
        <v>2696</v>
      </c>
      <c r="B596" s="286" t="s">
        <v>2697</v>
      </c>
      <c r="C596" s="287">
        <v>1.5056389337E10</v>
      </c>
      <c r="D596" s="286" t="s">
        <v>2698</v>
      </c>
      <c r="E596" s="286" t="s">
        <v>1307</v>
      </c>
    </row>
    <row r="597">
      <c r="A597" s="286" t="s">
        <v>1650</v>
      </c>
      <c r="B597" s="286" t="s">
        <v>2699</v>
      </c>
      <c r="C597" s="288">
        <v>5.93959E16</v>
      </c>
      <c r="D597" s="286" t="s">
        <v>2700</v>
      </c>
      <c r="E597" s="286" t="s">
        <v>1307</v>
      </c>
    </row>
    <row r="598">
      <c r="A598" s="286" t="s">
        <v>1347</v>
      </c>
      <c r="B598" s="286" t="s">
        <v>1465</v>
      </c>
      <c r="C598" s="287">
        <v>5.9174232281E10</v>
      </c>
      <c r="D598" s="286" t="s">
        <v>2701</v>
      </c>
      <c r="E598" s="286" t="s">
        <v>1307</v>
      </c>
    </row>
    <row r="599">
      <c r="A599" s="286" t="s">
        <v>2702</v>
      </c>
      <c r="B599" s="262" t="s">
        <v>2703</v>
      </c>
      <c r="C599" s="287">
        <v>1.3476614411E10</v>
      </c>
      <c r="D599" s="286" t="s">
        <v>2704</v>
      </c>
      <c r="E599" s="286" t="s">
        <v>1409</v>
      </c>
    </row>
    <row r="600">
      <c r="A600" s="286" t="s">
        <v>2324</v>
      </c>
      <c r="B600" s="262"/>
      <c r="C600" s="287">
        <v>1.574217529E10</v>
      </c>
      <c r="D600" s="286" t="s">
        <v>2705</v>
      </c>
      <c r="E600" s="286" t="s">
        <v>1307</v>
      </c>
    </row>
    <row r="601">
      <c r="A601" s="286" t="s">
        <v>641</v>
      </c>
      <c r="B601" s="262" t="s">
        <v>2706</v>
      </c>
      <c r="C601" s="287">
        <v>1.4753079298E10</v>
      </c>
      <c r="D601" s="286" t="s">
        <v>2707</v>
      </c>
      <c r="E601" s="286" t="s">
        <v>1409</v>
      </c>
    </row>
    <row r="602">
      <c r="A602" s="286" t="s">
        <v>2708</v>
      </c>
      <c r="B602" s="286" t="s">
        <v>2709</v>
      </c>
      <c r="C602" s="287">
        <v>1.7862128587E10</v>
      </c>
      <c r="D602" s="286" t="s">
        <v>2710</v>
      </c>
      <c r="E602" s="286" t="s">
        <v>1307</v>
      </c>
    </row>
    <row r="603">
      <c r="A603" s="286" t="s">
        <v>2711</v>
      </c>
      <c r="B603" s="262" t="s">
        <v>1734</v>
      </c>
      <c r="C603" s="287">
        <v>1.8183257351E10</v>
      </c>
      <c r="D603" s="286" t="s">
        <v>2712</v>
      </c>
      <c r="E603" s="286" t="s">
        <v>1409</v>
      </c>
    </row>
    <row r="604">
      <c r="A604" s="286" t="s">
        <v>981</v>
      </c>
      <c r="B604" s="262" t="s">
        <v>2713</v>
      </c>
      <c r="C604" s="287">
        <v>1.9296697726E10</v>
      </c>
      <c r="D604" s="286" t="s">
        <v>2714</v>
      </c>
      <c r="E604" s="286" t="s">
        <v>1298</v>
      </c>
    </row>
    <row r="605">
      <c r="A605" s="286" t="s">
        <v>2715</v>
      </c>
      <c r="B605" s="262" t="s">
        <v>1479</v>
      </c>
      <c r="C605" s="287">
        <v>1.3176541622E10</v>
      </c>
      <c r="D605" s="286" t="s">
        <v>2716</v>
      </c>
      <c r="E605" s="286" t="s">
        <v>1409</v>
      </c>
    </row>
    <row r="606">
      <c r="A606" s="286" t="s">
        <v>1506</v>
      </c>
      <c r="B606" s="262" t="s">
        <v>2717</v>
      </c>
      <c r="C606" s="287">
        <v>1.9293469191E10</v>
      </c>
      <c r="D606" s="286" t="s">
        <v>2718</v>
      </c>
      <c r="E606" s="286" t="s">
        <v>1409</v>
      </c>
    </row>
    <row r="607">
      <c r="A607" s="286" t="s">
        <v>2659</v>
      </c>
      <c r="B607" s="286" t="s">
        <v>1530</v>
      </c>
      <c r="C607" s="287">
        <v>1.7542455897E10</v>
      </c>
      <c r="D607" s="286" t="s">
        <v>2719</v>
      </c>
      <c r="E607" s="286" t="s">
        <v>1887</v>
      </c>
    </row>
    <row r="608">
      <c r="A608" s="286" t="s">
        <v>2720</v>
      </c>
      <c r="B608" s="286" t="s">
        <v>2721</v>
      </c>
      <c r="C608" s="287">
        <v>1.7866633685E10</v>
      </c>
      <c r="D608" s="286" t="s">
        <v>2722</v>
      </c>
      <c r="E608" s="286" t="s">
        <v>2215</v>
      </c>
    </row>
    <row r="609">
      <c r="A609" s="286" t="s">
        <v>2723</v>
      </c>
      <c r="B609" s="286" t="s">
        <v>2724</v>
      </c>
      <c r="C609" s="287">
        <v>1.9545572728E10</v>
      </c>
      <c r="D609" s="286" t="s">
        <v>2725</v>
      </c>
      <c r="E609" s="286" t="s">
        <v>1307</v>
      </c>
    </row>
    <row r="610">
      <c r="A610" s="286" t="s">
        <v>2726</v>
      </c>
      <c r="B610" s="262" t="s">
        <v>1734</v>
      </c>
      <c r="C610" s="287">
        <v>1.9542630148E10</v>
      </c>
      <c r="D610" s="286" t="s">
        <v>2727</v>
      </c>
      <c r="E610" s="286" t="s">
        <v>1409</v>
      </c>
    </row>
    <row r="611">
      <c r="A611" s="286" t="s">
        <v>1634</v>
      </c>
      <c r="B611" s="286" t="s">
        <v>2728</v>
      </c>
      <c r="C611" s="287">
        <v>1.786340748E10</v>
      </c>
      <c r="D611" s="286" t="s">
        <v>2729</v>
      </c>
      <c r="E611" s="286" t="s">
        <v>1534</v>
      </c>
    </row>
    <row r="612">
      <c r="A612" s="286" t="s">
        <v>2730</v>
      </c>
      <c r="B612" s="286" t="s">
        <v>2456</v>
      </c>
      <c r="C612" s="287">
        <v>1.240475627E10</v>
      </c>
      <c r="D612" s="286" t="s">
        <v>2731</v>
      </c>
      <c r="E612" s="286" t="s">
        <v>2591</v>
      </c>
    </row>
    <row r="613">
      <c r="A613" s="286" t="s">
        <v>2732</v>
      </c>
      <c r="B613" s="262" t="s">
        <v>1430</v>
      </c>
      <c r="C613" s="287">
        <v>1.2676154044E10</v>
      </c>
      <c r="D613" s="286" t="s">
        <v>2733</v>
      </c>
      <c r="E613" s="286" t="s">
        <v>2097</v>
      </c>
    </row>
    <row r="614">
      <c r="A614" s="286" t="s">
        <v>1465</v>
      </c>
      <c r="B614" s="286" t="s">
        <v>2734</v>
      </c>
      <c r="C614" s="287">
        <v>1.4017532797E10</v>
      </c>
      <c r="D614" s="286" t="s">
        <v>2735</v>
      </c>
      <c r="E614" s="286" t="s">
        <v>635</v>
      </c>
    </row>
    <row r="615">
      <c r="A615" s="286" t="s">
        <v>1419</v>
      </c>
      <c r="B615" s="262"/>
      <c r="C615" s="287">
        <v>1.7253032827E10</v>
      </c>
      <c r="D615" s="286" t="s">
        <v>2736</v>
      </c>
      <c r="E615" s="286" t="s">
        <v>2097</v>
      </c>
    </row>
    <row r="616">
      <c r="A616" s="286" t="s">
        <v>2737</v>
      </c>
      <c r="B616" s="262" t="s">
        <v>2738</v>
      </c>
      <c r="C616" s="287">
        <v>1.8055090511E10</v>
      </c>
      <c r="D616" s="286" t="s">
        <v>2739</v>
      </c>
      <c r="E616" s="286" t="s">
        <v>2097</v>
      </c>
    </row>
    <row r="617">
      <c r="A617" s="286" t="s">
        <v>2740</v>
      </c>
      <c r="B617" s="286" t="s">
        <v>2741</v>
      </c>
      <c r="C617" s="287">
        <v>1.7744022315E10</v>
      </c>
      <c r="D617" s="286" t="s">
        <v>2742</v>
      </c>
      <c r="E617" s="286" t="s">
        <v>1307</v>
      </c>
    </row>
    <row r="618">
      <c r="A618" s="286" t="s">
        <v>2743</v>
      </c>
      <c r="B618" s="262" t="s">
        <v>2744</v>
      </c>
      <c r="C618" s="287">
        <v>1.8328874475E10</v>
      </c>
      <c r="D618" s="286" t="s">
        <v>2745</v>
      </c>
      <c r="E618" s="286" t="s">
        <v>2097</v>
      </c>
    </row>
    <row r="619">
      <c r="A619" s="286" t="s">
        <v>2746</v>
      </c>
      <c r="B619" s="262"/>
      <c r="C619" s="287">
        <v>1.9739107481E10</v>
      </c>
      <c r="D619" s="286" t="s">
        <v>2747</v>
      </c>
      <c r="E619" s="286" t="s">
        <v>1307</v>
      </c>
    </row>
    <row r="620">
      <c r="A620" s="286" t="s">
        <v>2748</v>
      </c>
      <c r="B620" s="262"/>
      <c r="C620" s="287">
        <v>1.7729853146E10</v>
      </c>
      <c r="D620" s="286" t="s">
        <v>2749</v>
      </c>
      <c r="E620" s="286" t="s">
        <v>2097</v>
      </c>
    </row>
    <row r="621">
      <c r="A621" s="286" t="s">
        <v>2750</v>
      </c>
      <c r="B621" s="262" t="s">
        <v>2751</v>
      </c>
      <c r="C621" s="287">
        <v>1.61971822E10</v>
      </c>
      <c r="D621" s="286" t="s">
        <v>2752</v>
      </c>
      <c r="E621" s="286" t="s">
        <v>1298</v>
      </c>
    </row>
    <row r="622">
      <c r="A622" s="286" t="s">
        <v>2058</v>
      </c>
      <c r="B622" s="262"/>
      <c r="C622" s="287">
        <v>1.2018156285E10</v>
      </c>
      <c r="D622" s="286" t="s">
        <v>2753</v>
      </c>
      <c r="E622" s="286" t="s">
        <v>2525</v>
      </c>
    </row>
    <row r="623">
      <c r="A623" s="286" t="s">
        <v>2754</v>
      </c>
      <c r="B623" s="262"/>
      <c r="C623" s="287">
        <v>1.2392864792E10</v>
      </c>
      <c r="D623" s="286" t="s">
        <v>2755</v>
      </c>
      <c r="E623" s="286" t="s">
        <v>2097</v>
      </c>
    </row>
    <row r="624">
      <c r="A624" s="286" t="s">
        <v>2756</v>
      </c>
      <c r="B624" s="286" t="s">
        <v>2757</v>
      </c>
      <c r="C624" s="287">
        <v>1.9297150361E10</v>
      </c>
      <c r="D624" s="286" t="s">
        <v>2758</v>
      </c>
      <c r="E624" s="286" t="s">
        <v>1534</v>
      </c>
    </row>
    <row r="625">
      <c r="A625" s="286" t="s">
        <v>1779</v>
      </c>
      <c r="B625" s="262" t="s">
        <v>2604</v>
      </c>
      <c r="C625" s="287">
        <v>1.9296139298E10</v>
      </c>
      <c r="D625" s="286" t="s">
        <v>2759</v>
      </c>
      <c r="E625" s="286" t="s">
        <v>1298</v>
      </c>
    </row>
    <row r="626">
      <c r="A626" s="286" t="s">
        <v>1694</v>
      </c>
      <c r="B626" s="262" t="s">
        <v>2760</v>
      </c>
      <c r="C626" s="287">
        <v>1.8626217293E10</v>
      </c>
      <c r="D626" s="286" t="s">
        <v>2761</v>
      </c>
      <c r="E626" s="286" t="s">
        <v>1409</v>
      </c>
    </row>
    <row r="627">
      <c r="A627" s="286" t="s">
        <v>2762</v>
      </c>
      <c r="B627" s="286" t="s">
        <v>2763</v>
      </c>
      <c r="C627" s="288">
        <v>5.25552E16</v>
      </c>
      <c r="D627" s="286" t="s">
        <v>2764</v>
      </c>
      <c r="E627" s="286" t="s">
        <v>1307</v>
      </c>
    </row>
    <row r="628">
      <c r="A628" s="286" t="s">
        <v>1330</v>
      </c>
      <c r="B628" s="262" t="s">
        <v>1666</v>
      </c>
      <c r="C628" s="287">
        <v>1.2096497601E10</v>
      </c>
      <c r="D628" s="286" t="s">
        <v>2765</v>
      </c>
      <c r="E628" s="286" t="s">
        <v>1409</v>
      </c>
    </row>
    <row r="629">
      <c r="A629" s="286" t="s">
        <v>2766</v>
      </c>
      <c r="B629" s="286" t="s">
        <v>2767</v>
      </c>
      <c r="C629" s="287">
        <v>1.7208713764E10</v>
      </c>
      <c r="D629" s="286" t="s">
        <v>2768</v>
      </c>
      <c r="E629" s="286" t="s">
        <v>1307</v>
      </c>
    </row>
    <row r="630">
      <c r="A630" s="286" t="s">
        <v>1590</v>
      </c>
      <c r="B630" s="286" t="s">
        <v>1372</v>
      </c>
      <c r="C630" s="287">
        <v>1.818605112E10</v>
      </c>
      <c r="D630" s="286" t="s">
        <v>2769</v>
      </c>
      <c r="E630" s="286" t="s">
        <v>1307</v>
      </c>
    </row>
    <row r="631">
      <c r="A631" s="286" t="s">
        <v>2770</v>
      </c>
      <c r="B631" s="262" t="s">
        <v>1661</v>
      </c>
      <c r="C631" s="287">
        <v>1.3475816637E10</v>
      </c>
      <c r="D631" s="286" t="s">
        <v>2771</v>
      </c>
      <c r="E631" s="286" t="s">
        <v>2097</v>
      </c>
    </row>
    <row r="632">
      <c r="A632" s="286" t="s">
        <v>2772</v>
      </c>
      <c r="B632" s="286" t="s">
        <v>1867</v>
      </c>
      <c r="C632" s="287">
        <v>1.6025965303E10</v>
      </c>
      <c r="D632" s="286" t="s">
        <v>2773</v>
      </c>
      <c r="E632" s="286" t="s">
        <v>1307</v>
      </c>
    </row>
    <row r="633">
      <c r="A633" s="286" t="s">
        <v>1805</v>
      </c>
      <c r="B633" s="262" t="s">
        <v>2774</v>
      </c>
      <c r="C633" s="287">
        <v>1.8135770606E10</v>
      </c>
      <c r="D633" s="286" t="s">
        <v>2775</v>
      </c>
      <c r="E633" s="286" t="s">
        <v>1409</v>
      </c>
    </row>
    <row r="634">
      <c r="A634" s="286" t="s">
        <v>2776</v>
      </c>
      <c r="B634" s="286" t="s">
        <v>2777</v>
      </c>
      <c r="C634" s="287">
        <v>1.9452619056E10</v>
      </c>
      <c r="D634" s="286" t="s">
        <v>2778</v>
      </c>
      <c r="E634" s="286" t="s">
        <v>1307</v>
      </c>
    </row>
    <row r="635">
      <c r="A635" s="286" t="s">
        <v>2746</v>
      </c>
      <c r="B635" s="262" t="s">
        <v>2779</v>
      </c>
      <c r="C635" s="287">
        <v>1.5023519804E10</v>
      </c>
      <c r="D635" s="286" t="s">
        <v>2780</v>
      </c>
      <c r="E635" s="286" t="s">
        <v>1298</v>
      </c>
    </row>
    <row r="636">
      <c r="A636" s="286" t="s">
        <v>2781</v>
      </c>
      <c r="B636" s="262" t="s">
        <v>1445</v>
      </c>
      <c r="C636" s="287">
        <v>1.2675603299E10</v>
      </c>
      <c r="D636" s="286" t="s">
        <v>2782</v>
      </c>
      <c r="E636" s="286" t="s">
        <v>1409</v>
      </c>
    </row>
    <row r="637">
      <c r="A637" s="286" t="s">
        <v>2783</v>
      </c>
      <c r="B637" s="262" t="s">
        <v>2147</v>
      </c>
      <c r="C637" s="287">
        <v>1.2343800823E10</v>
      </c>
      <c r="D637" s="286" t="s">
        <v>2784</v>
      </c>
      <c r="E637" s="286" t="s">
        <v>2097</v>
      </c>
    </row>
    <row r="638">
      <c r="A638" s="286" t="s">
        <v>2107</v>
      </c>
      <c r="B638" s="286" t="s">
        <v>2785</v>
      </c>
      <c r="C638" s="287">
        <v>1.9548992211E10</v>
      </c>
      <c r="D638" s="286" t="s">
        <v>2786</v>
      </c>
      <c r="E638" s="286" t="s">
        <v>1307</v>
      </c>
    </row>
    <row r="639">
      <c r="A639" s="286" t="s">
        <v>2787</v>
      </c>
      <c r="B639" s="286" t="s">
        <v>2788</v>
      </c>
      <c r="C639" s="287">
        <v>1.7864263195E10</v>
      </c>
      <c r="D639" s="286" t="s">
        <v>2789</v>
      </c>
      <c r="E639" s="286" t="s">
        <v>1307</v>
      </c>
    </row>
    <row r="640">
      <c r="A640" s="286" t="s">
        <v>2790</v>
      </c>
      <c r="B640" s="262" t="s">
        <v>1515</v>
      </c>
      <c r="C640" s="287">
        <v>1.38534782E10</v>
      </c>
      <c r="D640" s="286" t="s">
        <v>2791</v>
      </c>
      <c r="E640" s="286" t="s">
        <v>1409</v>
      </c>
    </row>
    <row r="641">
      <c r="A641" s="286" t="s">
        <v>2792</v>
      </c>
      <c r="B641" s="262" t="s">
        <v>2793</v>
      </c>
      <c r="C641" s="287">
        <v>1.8035632988E10</v>
      </c>
      <c r="D641" s="286" t="s">
        <v>2794</v>
      </c>
      <c r="E641" s="286" t="s">
        <v>2097</v>
      </c>
    </row>
    <row r="642">
      <c r="A642" s="286" t="s">
        <v>2393</v>
      </c>
      <c r="B642" s="262"/>
      <c r="C642" s="287">
        <v>1.8324740683E10</v>
      </c>
      <c r="D642" s="286" t="s">
        <v>2795</v>
      </c>
      <c r="E642" s="286" t="s">
        <v>2796</v>
      </c>
    </row>
    <row r="643">
      <c r="A643" s="286" t="s">
        <v>2797</v>
      </c>
      <c r="B643" s="286" t="s">
        <v>2005</v>
      </c>
      <c r="C643" s="287">
        <v>1.2032193804E10</v>
      </c>
      <c r="D643" s="286" t="s">
        <v>2798</v>
      </c>
      <c r="E643" s="286" t="s">
        <v>2591</v>
      </c>
    </row>
    <row r="644">
      <c r="A644" s="286" t="s">
        <v>1650</v>
      </c>
      <c r="B644" s="286" t="s">
        <v>2799</v>
      </c>
      <c r="C644" s="287">
        <v>1.9173794279E10</v>
      </c>
      <c r="D644" s="286" t="s">
        <v>2800</v>
      </c>
      <c r="E644" s="286" t="s">
        <v>1860</v>
      </c>
    </row>
    <row r="645">
      <c r="A645" s="286" t="s">
        <v>1344</v>
      </c>
      <c r="B645" s="262" t="s">
        <v>2801</v>
      </c>
      <c r="C645" s="287">
        <v>1.773341619E10</v>
      </c>
      <c r="D645" s="286" t="s">
        <v>2802</v>
      </c>
      <c r="E645" s="286" t="s">
        <v>1409</v>
      </c>
    </row>
    <row r="646">
      <c r="A646" s="286" t="s">
        <v>2803</v>
      </c>
      <c r="B646" s="262" t="s">
        <v>1791</v>
      </c>
      <c r="C646" s="287">
        <v>1.9788852923E10</v>
      </c>
      <c r="D646" s="286" t="s">
        <v>2804</v>
      </c>
      <c r="E646" s="286" t="s">
        <v>1409</v>
      </c>
    </row>
    <row r="647">
      <c r="A647" s="286" t="s">
        <v>941</v>
      </c>
      <c r="B647" s="262" t="s">
        <v>2767</v>
      </c>
      <c r="C647" s="287">
        <v>1.8304225085E10</v>
      </c>
      <c r="D647" s="286" t="s">
        <v>2805</v>
      </c>
      <c r="E647" s="286" t="s">
        <v>1298</v>
      </c>
    </row>
    <row r="648">
      <c r="A648" s="286" t="s">
        <v>2806</v>
      </c>
      <c r="B648" s="262"/>
      <c r="C648" s="287">
        <v>1.9727103937E10</v>
      </c>
      <c r="D648" s="286" t="s">
        <v>2807</v>
      </c>
      <c r="E648" s="286" t="s">
        <v>2097</v>
      </c>
    </row>
    <row r="649">
      <c r="A649" s="286" t="s">
        <v>1581</v>
      </c>
      <c r="B649" s="262" t="s">
        <v>1596</v>
      </c>
      <c r="C649" s="287">
        <v>1.9148005214E10</v>
      </c>
      <c r="D649" s="286" t="s">
        <v>2808</v>
      </c>
      <c r="E649" s="286" t="s">
        <v>1409</v>
      </c>
    </row>
    <row r="650">
      <c r="A650" s="286" t="s">
        <v>2809</v>
      </c>
      <c r="B650" s="286" t="s">
        <v>2810</v>
      </c>
      <c r="C650" s="287">
        <v>3.525379756E9</v>
      </c>
      <c r="D650" s="286" t="s">
        <v>2811</v>
      </c>
      <c r="E650" s="286" t="s">
        <v>2591</v>
      </c>
    </row>
    <row r="651">
      <c r="A651" s="286" t="s">
        <v>1356</v>
      </c>
      <c r="B651" s="286" t="s">
        <v>1345</v>
      </c>
      <c r="C651" s="287">
        <v>1.8479070394E10</v>
      </c>
      <c r="D651" s="286" t="s">
        <v>2812</v>
      </c>
      <c r="E651" s="286" t="s">
        <v>1307</v>
      </c>
    </row>
    <row r="652">
      <c r="A652" s="286" t="s">
        <v>2813</v>
      </c>
      <c r="B652" s="286" t="s">
        <v>2814</v>
      </c>
      <c r="C652" s="287">
        <v>1.2232719361E10</v>
      </c>
      <c r="D652" s="286" t="s">
        <v>2815</v>
      </c>
      <c r="E652" s="262"/>
    </row>
    <row r="653">
      <c r="A653" s="286" t="s">
        <v>2816</v>
      </c>
      <c r="B653" s="286" t="s">
        <v>2817</v>
      </c>
      <c r="C653" s="287">
        <v>1.417429855E10</v>
      </c>
      <c r="D653" s="286" t="s">
        <v>2818</v>
      </c>
      <c r="E653" s="286" t="s">
        <v>1307</v>
      </c>
    </row>
    <row r="654">
      <c r="A654" s="286" t="s">
        <v>2058</v>
      </c>
      <c r="B654" s="286" t="s">
        <v>2478</v>
      </c>
      <c r="C654" s="287">
        <v>1.7327991105E10</v>
      </c>
      <c r="D654" s="286" t="s">
        <v>2819</v>
      </c>
      <c r="E654" s="286" t="s">
        <v>1307</v>
      </c>
    </row>
    <row r="655">
      <c r="A655" s="286" t="s">
        <v>2820</v>
      </c>
      <c r="B655" s="262" t="s">
        <v>2821</v>
      </c>
      <c r="C655" s="287">
        <v>1.9178822971E10</v>
      </c>
      <c r="D655" s="286" t="s">
        <v>2822</v>
      </c>
      <c r="E655" s="286" t="s">
        <v>2097</v>
      </c>
    </row>
    <row r="656">
      <c r="A656" s="286" t="s">
        <v>2823</v>
      </c>
      <c r="B656" s="262" t="s">
        <v>2824</v>
      </c>
      <c r="C656" s="287">
        <v>1.3473535981E10</v>
      </c>
      <c r="D656" s="286" t="s">
        <v>539</v>
      </c>
      <c r="E656" s="286" t="s">
        <v>1409</v>
      </c>
    </row>
    <row r="657">
      <c r="A657" s="286" t="s">
        <v>2825</v>
      </c>
      <c r="B657" s="262" t="s">
        <v>2826</v>
      </c>
      <c r="C657" s="287">
        <v>1.8187418212E10</v>
      </c>
      <c r="D657" s="286" t="s">
        <v>2827</v>
      </c>
      <c r="E657" s="286" t="s">
        <v>1409</v>
      </c>
    </row>
    <row r="658">
      <c r="A658" s="286" t="s">
        <v>1937</v>
      </c>
      <c r="B658" s="262" t="s">
        <v>2828</v>
      </c>
      <c r="C658" s="287">
        <v>1.5619326681E10</v>
      </c>
      <c r="D658" s="286" t="s">
        <v>2829</v>
      </c>
      <c r="E658" s="286" t="s">
        <v>1409</v>
      </c>
    </row>
    <row r="659">
      <c r="A659" s="286" t="s">
        <v>2830</v>
      </c>
      <c r="B659" s="262"/>
      <c r="C659" s="287">
        <v>1.3469010373E10</v>
      </c>
      <c r="D659" s="286" t="s">
        <v>2831</v>
      </c>
      <c r="E659" s="286" t="s">
        <v>2097</v>
      </c>
    </row>
    <row r="660">
      <c r="A660" s="286" t="s">
        <v>2832</v>
      </c>
      <c r="B660" s="262"/>
      <c r="C660" s="287">
        <v>1.9392860287E10</v>
      </c>
      <c r="D660" s="286" t="s">
        <v>2833</v>
      </c>
      <c r="E660" s="286" t="s">
        <v>2525</v>
      </c>
    </row>
    <row r="661">
      <c r="A661" s="286" t="s">
        <v>2834</v>
      </c>
      <c r="B661" s="262" t="s">
        <v>1536</v>
      </c>
      <c r="C661" s="287">
        <v>1.8458141216E10</v>
      </c>
      <c r="D661" s="286" t="s">
        <v>2835</v>
      </c>
      <c r="E661" s="286" t="s">
        <v>2097</v>
      </c>
    </row>
    <row r="662">
      <c r="A662" s="286" t="s">
        <v>1952</v>
      </c>
      <c r="B662" s="262"/>
      <c r="C662" s="287">
        <v>1.256874636E10</v>
      </c>
      <c r="D662" s="286" t="s">
        <v>2836</v>
      </c>
      <c r="E662" s="286" t="s">
        <v>1298</v>
      </c>
    </row>
    <row r="663">
      <c r="A663" s="286" t="s">
        <v>2837</v>
      </c>
      <c r="B663" s="286" t="s">
        <v>1950</v>
      </c>
      <c r="C663" s="287">
        <v>1.646545058E10</v>
      </c>
      <c r="D663" s="286" t="s">
        <v>2838</v>
      </c>
      <c r="E663" s="286" t="s">
        <v>1577</v>
      </c>
    </row>
    <row r="664">
      <c r="A664" s="286" t="s">
        <v>1669</v>
      </c>
      <c r="B664" s="262" t="s">
        <v>2419</v>
      </c>
      <c r="C664" s="287">
        <v>1.9158385114E10</v>
      </c>
      <c r="D664" s="286" t="s">
        <v>2839</v>
      </c>
      <c r="E664" s="286" t="s">
        <v>1409</v>
      </c>
    </row>
    <row r="665">
      <c r="A665" s="286" t="s">
        <v>1636</v>
      </c>
      <c r="B665" s="262" t="s">
        <v>2840</v>
      </c>
      <c r="C665" s="287">
        <v>1.9735368042E10</v>
      </c>
      <c r="D665" s="286" t="s">
        <v>2841</v>
      </c>
      <c r="E665" s="286" t="s">
        <v>1409</v>
      </c>
    </row>
    <row r="666">
      <c r="A666" s="286" t="s">
        <v>2842</v>
      </c>
      <c r="B666" s="262"/>
      <c r="C666" s="287">
        <v>1.9047135882E10</v>
      </c>
      <c r="D666" s="286" t="s">
        <v>2843</v>
      </c>
      <c r="E666" s="286" t="s">
        <v>2525</v>
      </c>
    </row>
    <row r="667">
      <c r="A667" s="286" t="s">
        <v>2844</v>
      </c>
      <c r="B667" s="262" t="s">
        <v>2845</v>
      </c>
      <c r="C667" s="287">
        <v>1.2394102449E10</v>
      </c>
      <c r="D667" s="286" t="s">
        <v>2846</v>
      </c>
      <c r="E667" s="286" t="s">
        <v>2097</v>
      </c>
    </row>
    <row r="668">
      <c r="A668" s="286" t="s">
        <v>2847</v>
      </c>
      <c r="B668" s="262" t="s">
        <v>1331</v>
      </c>
      <c r="C668" s="287">
        <v>1.4804596145E10</v>
      </c>
      <c r="D668" s="286" t="s">
        <v>2848</v>
      </c>
      <c r="E668" s="286" t="s">
        <v>1409</v>
      </c>
    </row>
    <row r="669">
      <c r="A669" s="286" t="s">
        <v>2849</v>
      </c>
      <c r="B669" s="262"/>
      <c r="C669" s="287">
        <v>1.4073006692E10</v>
      </c>
      <c r="D669" s="286" t="s">
        <v>2850</v>
      </c>
      <c r="E669" s="286" t="s">
        <v>1307</v>
      </c>
    </row>
    <row r="670">
      <c r="A670" s="286" t="s">
        <v>1556</v>
      </c>
      <c r="B670" s="262" t="s">
        <v>1471</v>
      </c>
      <c r="C670" s="288">
        <v>5.26194E16</v>
      </c>
      <c r="D670" s="286" t="s">
        <v>2851</v>
      </c>
      <c r="E670" s="286" t="s">
        <v>2097</v>
      </c>
    </row>
    <row r="671">
      <c r="A671" s="286" t="s">
        <v>2852</v>
      </c>
      <c r="B671" s="262" t="s">
        <v>2853</v>
      </c>
      <c r="C671" s="287">
        <v>1.2094162392E10</v>
      </c>
      <c r="D671" s="286" t="s">
        <v>2854</v>
      </c>
      <c r="E671" s="286" t="s">
        <v>1409</v>
      </c>
    </row>
    <row r="672">
      <c r="A672" s="286" t="s">
        <v>2855</v>
      </c>
      <c r="B672" s="262" t="s">
        <v>1536</v>
      </c>
      <c r="C672" s="287">
        <v>1.7273379569E10</v>
      </c>
      <c r="D672" s="286" t="s">
        <v>2856</v>
      </c>
      <c r="E672" s="286" t="s">
        <v>2097</v>
      </c>
    </row>
    <row r="673">
      <c r="A673" s="286" t="s">
        <v>1918</v>
      </c>
      <c r="B673" s="262" t="s">
        <v>2857</v>
      </c>
      <c r="C673" s="287">
        <v>1.6614967544E10</v>
      </c>
      <c r="D673" s="286" t="s">
        <v>2858</v>
      </c>
      <c r="E673" s="286" t="s">
        <v>2097</v>
      </c>
    </row>
    <row r="674">
      <c r="A674" s="286" t="s">
        <v>2859</v>
      </c>
      <c r="B674" s="262" t="s">
        <v>2860</v>
      </c>
      <c r="C674" s="287">
        <v>1.7606092732E10</v>
      </c>
      <c r="D674" s="286" t="s">
        <v>2861</v>
      </c>
      <c r="E674" s="286" t="s">
        <v>1409</v>
      </c>
    </row>
    <row r="675">
      <c r="A675" s="286" t="s">
        <v>2862</v>
      </c>
      <c r="B675" s="262" t="s">
        <v>1677</v>
      </c>
      <c r="C675" s="287">
        <v>1.9548656213E10</v>
      </c>
      <c r="D675" s="286" t="s">
        <v>2863</v>
      </c>
      <c r="E675" s="286" t="s">
        <v>1409</v>
      </c>
    </row>
    <row r="676">
      <c r="A676" s="286" t="s">
        <v>1344</v>
      </c>
      <c r="B676" s="262" t="s">
        <v>2864</v>
      </c>
      <c r="C676" s="287">
        <v>1.3478136851E10</v>
      </c>
      <c r="D676" s="286" t="s">
        <v>2865</v>
      </c>
      <c r="E676" s="286" t="s">
        <v>2097</v>
      </c>
    </row>
    <row r="677">
      <c r="A677" s="286" t="s">
        <v>1581</v>
      </c>
      <c r="B677" s="286" t="s">
        <v>1536</v>
      </c>
      <c r="C677" s="287">
        <v>1.9564831993E10</v>
      </c>
      <c r="D677" s="286" t="s">
        <v>2866</v>
      </c>
      <c r="E677" s="286" t="s">
        <v>2278</v>
      </c>
    </row>
    <row r="678">
      <c r="A678" s="286" t="s">
        <v>519</v>
      </c>
      <c r="B678" s="262"/>
      <c r="C678" s="287">
        <v>1.5613035267E10</v>
      </c>
      <c r="D678" s="286" t="s">
        <v>520</v>
      </c>
      <c r="E678" s="286" t="s">
        <v>1307</v>
      </c>
    </row>
    <row r="679">
      <c r="A679" s="286" t="s">
        <v>2867</v>
      </c>
      <c r="B679" s="262" t="s">
        <v>2868</v>
      </c>
      <c r="C679" s="287">
        <v>1.6197354711E10</v>
      </c>
      <c r="D679" s="286" t="s">
        <v>2869</v>
      </c>
      <c r="E679" s="286" t="s">
        <v>2097</v>
      </c>
    </row>
    <row r="680">
      <c r="A680" s="286" t="s">
        <v>2870</v>
      </c>
      <c r="B680" s="286" t="s">
        <v>1430</v>
      </c>
      <c r="C680" s="287">
        <v>1.4353131896E10</v>
      </c>
      <c r="D680" s="286" t="s">
        <v>2871</v>
      </c>
      <c r="E680" s="286" t="s">
        <v>1307</v>
      </c>
    </row>
    <row r="681">
      <c r="A681" s="286" t="s">
        <v>579</v>
      </c>
      <c r="B681" s="262" t="s">
        <v>2872</v>
      </c>
      <c r="C681" s="287">
        <v>1.929231519E10</v>
      </c>
      <c r="D681" s="286" t="s">
        <v>2873</v>
      </c>
      <c r="E681" s="286" t="s">
        <v>2097</v>
      </c>
    </row>
    <row r="682">
      <c r="A682" s="286" t="s">
        <v>2210</v>
      </c>
      <c r="B682" s="286" t="s">
        <v>2874</v>
      </c>
      <c r="C682" s="287">
        <v>1.6614391279E10</v>
      </c>
      <c r="D682" s="286" t="s">
        <v>2875</v>
      </c>
      <c r="E682" s="286" t="s">
        <v>1307</v>
      </c>
    </row>
    <row r="683">
      <c r="A683" s="286" t="s">
        <v>2876</v>
      </c>
      <c r="B683" s="262"/>
      <c r="C683" s="287">
        <v>1.4805806702E10</v>
      </c>
      <c r="D683" s="286" t="s">
        <v>2877</v>
      </c>
      <c r="E683" s="286" t="s">
        <v>1307</v>
      </c>
    </row>
    <row r="684">
      <c r="A684" s="286" t="s">
        <v>2878</v>
      </c>
      <c r="B684" s="262"/>
      <c r="C684" s="287">
        <v>1.305609063E10</v>
      </c>
      <c r="D684" s="286" t="s">
        <v>2879</v>
      </c>
      <c r="E684" s="286" t="s">
        <v>2097</v>
      </c>
    </row>
    <row r="685">
      <c r="A685" s="286" t="s">
        <v>2880</v>
      </c>
      <c r="B685" s="262"/>
      <c r="C685" s="287">
        <v>1.7187876662E10</v>
      </c>
      <c r="D685" s="286" t="s">
        <v>2881</v>
      </c>
      <c r="E685" s="286" t="s">
        <v>1298</v>
      </c>
    </row>
    <row r="686">
      <c r="A686" s="286" t="s">
        <v>1793</v>
      </c>
      <c r="B686" s="262"/>
      <c r="C686" s="287">
        <v>1.5037522433E10</v>
      </c>
      <c r="D686" s="286" t="s">
        <v>2882</v>
      </c>
      <c r="E686" s="286" t="s">
        <v>1298</v>
      </c>
    </row>
    <row r="687">
      <c r="A687" s="286" t="s">
        <v>2883</v>
      </c>
      <c r="B687" s="262" t="s">
        <v>2884</v>
      </c>
      <c r="C687" s="287">
        <v>1.224587992E10</v>
      </c>
      <c r="D687" s="286" t="s">
        <v>2885</v>
      </c>
      <c r="E687" s="286" t="s">
        <v>1298</v>
      </c>
    </row>
    <row r="688">
      <c r="A688" s="286" t="s">
        <v>2886</v>
      </c>
      <c r="B688" s="286" t="s">
        <v>2887</v>
      </c>
      <c r="C688" s="287">
        <v>1.5512758288E10</v>
      </c>
      <c r="D688" s="286" t="s">
        <v>2888</v>
      </c>
      <c r="E688" s="286" t="s">
        <v>1307</v>
      </c>
    </row>
    <row r="689">
      <c r="A689" s="286" t="s">
        <v>2889</v>
      </c>
      <c r="B689" s="262" t="s">
        <v>2890</v>
      </c>
      <c r="C689" s="287">
        <v>1.7575034154E10</v>
      </c>
      <c r="D689" s="286" t="s">
        <v>2891</v>
      </c>
      <c r="E689" s="286" t="s">
        <v>1409</v>
      </c>
    </row>
    <row r="690">
      <c r="A690" s="286" t="s">
        <v>2892</v>
      </c>
      <c r="B690" s="286" t="s">
        <v>2893</v>
      </c>
      <c r="C690" s="287">
        <v>1.7863086298E10</v>
      </c>
      <c r="D690" s="286" t="s">
        <v>2894</v>
      </c>
      <c r="E690" s="286" t="s">
        <v>1307</v>
      </c>
    </row>
    <row r="691">
      <c r="A691" s="286" t="s">
        <v>1470</v>
      </c>
      <c r="B691" s="286" t="s">
        <v>1740</v>
      </c>
      <c r="C691" s="287">
        <v>1.9094307692E10</v>
      </c>
      <c r="D691" s="286" t="s">
        <v>2895</v>
      </c>
      <c r="E691" s="286" t="s">
        <v>2896</v>
      </c>
    </row>
    <row r="692">
      <c r="A692" s="286" t="s">
        <v>1984</v>
      </c>
      <c r="B692" s="286" t="s">
        <v>1433</v>
      </c>
      <c r="C692" s="287">
        <v>1.7042413498E10</v>
      </c>
      <c r="D692" s="286" t="s">
        <v>2897</v>
      </c>
      <c r="E692" s="286" t="s">
        <v>1307</v>
      </c>
    </row>
    <row r="693">
      <c r="A693" s="286" t="s">
        <v>2898</v>
      </c>
      <c r="B693" s="286" t="s">
        <v>2899</v>
      </c>
      <c r="C693" s="287">
        <v>1.8504200649E10</v>
      </c>
      <c r="D693" s="286" t="s">
        <v>2900</v>
      </c>
      <c r="E693" s="286" t="s">
        <v>1307</v>
      </c>
    </row>
    <row r="694">
      <c r="A694" s="286" t="s">
        <v>1419</v>
      </c>
      <c r="B694" s="262" t="s">
        <v>2901</v>
      </c>
      <c r="C694" s="287">
        <v>1.9084451029E10</v>
      </c>
      <c r="D694" s="286" t="s">
        <v>2902</v>
      </c>
      <c r="E694" s="286" t="s">
        <v>1409</v>
      </c>
    </row>
    <row r="695">
      <c r="A695" s="286" t="s">
        <v>1316</v>
      </c>
      <c r="B695" s="262" t="s">
        <v>2903</v>
      </c>
      <c r="C695" s="287">
        <v>1.8329968574E10</v>
      </c>
      <c r="D695" s="286" t="s">
        <v>2904</v>
      </c>
      <c r="E695" s="286" t="s">
        <v>1298</v>
      </c>
    </row>
    <row r="696">
      <c r="A696" s="286" t="s">
        <v>2905</v>
      </c>
      <c r="B696" s="286" t="s">
        <v>1931</v>
      </c>
      <c r="C696" s="287">
        <v>1.6467022146E10</v>
      </c>
      <c r="D696" s="286" t="s">
        <v>2906</v>
      </c>
      <c r="E696" s="286" t="s">
        <v>1534</v>
      </c>
    </row>
    <row r="697">
      <c r="A697" s="286" t="s">
        <v>2907</v>
      </c>
      <c r="B697" s="262"/>
      <c r="C697" s="287">
        <v>1.8322732643E10</v>
      </c>
      <c r="D697" s="286" t="s">
        <v>2908</v>
      </c>
      <c r="E697" s="286" t="s">
        <v>1307</v>
      </c>
    </row>
    <row r="698">
      <c r="A698" s="286" t="s">
        <v>2859</v>
      </c>
      <c r="B698" s="286" t="s">
        <v>2909</v>
      </c>
      <c r="C698" s="287">
        <v>1.4148993352E10</v>
      </c>
      <c r="D698" s="286" t="s">
        <v>2910</v>
      </c>
      <c r="E698" s="288">
        <v>1.20234E22</v>
      </c>
    </row>
    <row r="699">
      <c r="A699" s="286" t="s">
        <v>1636</v>
      </c>
      <c r="B699" s="262" t="s">
        <v>2911</v>
      </c>
      <c r="C699" s="287">
        <v>1.5125771932E10</v>
      </c>
      <c r="D699" s="286" t="s">
        <v>2912</v>
      </c>
      <c r="E699" s="286" t="s">
        <v>1298</v>
      </c>
    </row>
    <row r="700">
      <c r="A700" s="286" t="s">
        <v>1344</v>
      </c>
      <c r="B700" s="286" t="s">
        <v>2913</v>
      </c>
      <c r="C700" s="287">
        <v>1.7868101858E10</v>
      </c>
      <c r="D700" s="286" t="s">
        <v>2914</v>
      </c>
      <c r="E700" s="286" t="s">
        <v>1307</v>
      </c>
    </row>
    <row r="701">
      <c r="A701" s="286" t="s">
        <v>2915</v>
      </c>
      <c r="B701" s="286" t="s">
        <v>2077</v>
      </c>
      <c r="C701" s="287">
        <v>1.8179873606E10</v>
      </c>
      <c r="D701" s="286" t="s">
        <v>2916</v>
      </c>
      <c r="E701" s="286" t="s">
        <v>1414</v>
      </c>
    </row>
    <row r="702">
      <c r="A702" s="286" t="s">
        <v>1483</v>
      </c>
      <c r="B702" s="286" t="s">
        <v>2917</v>
      </c>
      <c r="C702" s="287">
        <v>1.7865609598E10</v>
      </c>
      <c r="D702" s="286" t="s">
        <v>2918</v>
      </c>
      <c r="E702" s="286" t="s">
        <v>2896</v>
      </c>
    </row>
    <row r="703">
      <c r="A703" s="286" t="s">
        <v>2141</v>
      </c>
      <c r="B703" s="262" t="s">
        <v>2751</v>
      </c>
      <c r="C703" s="287">
        <v>1.3057214221E10</v>
      </c>
      <c r="D703" s="286" t="s">
        <v>2919</v>
      </c>
      <c r="E703" s="286" t="s">
        <v>2097</v>
      </c>
    </row>
    <row r="704">
      <c r="A704" s="286" t="s">
        <v>1359</v>
      </c>
      <c r="B704" s="262"/>
      <c r="C704" s="287">
        <v>1.2035084102E10</v>
      </c>
      <c r="D704" s="286" t="s">
        <v>2920</v>
      </c>
      <c r="E704" s="286" t="s">
        <v>1298</v>
      </c>
    </row>
    <row r="705">
      <c r="A705" s="286" t="s">
        <v>1392</v>
      </c>
      <c r="B705" s="286" t="s">
        <v>1791</v>
      </c>
      <c r="C705" s="287">
        <v>1.8605229264E10</v>
      </c>
      <c r="D705" s="286" t="s">
        <v>2921</v>
      </c>
      <c r="E705" s="286" t="s">
        <v>1307</v>
      </c>
    </row>
    <row r="706">
      <c r="A706" s="286" t="s">
        <v>2876</v>
      </c>
      <c r="B706" s="262" t="s">
        <v>2922</v>
      </c>
      <c r="C706" s="287">
        <v>1.2512019401E10</v>
      </c>
      <c r="D706" s="286" t="s">
        <v>2923</v>
      </c>
      <c r="E706" s="286" t="s">
        <v>1298</v>
      </c>
    </row>
    <row r="707">
      <c r="A707" s="286" t="s">
        <v>2924</v>
      </c>
      <c r="B707" s="286" t="s">
        <v>1401</v>
      </c>
      <c r="C707" s="287">
        <v>1.7134771147E10</v>
      </c>
      <c r="D707" s="286" t="s">
        <v>2925</v>
      </c>
      <c r="E707" s="286" t="s">
        <v>2215</v>
      </c>
    </row>
    <row r="708">
      <c r="A708" s="286" t="s">
        <v>1763</v>
      </c>
      <c r="B708" s="262" t="s">
        <v>2926</v>
      </c>
      <c r="C708" s="287">
        <v>1.754214733E10</v>
      </c>
      <c r="D708" s="286" t="s">
        <v>2927</v>
      </c>
      <c r="E708" s="286" t="s">
        <v>1409</v>
      </c>
    </row>
    <row r="709">
      <c r="A709" s="286" t="s">
        <v>2928</v>
      </c>
      <c r="B709" s="262"/>
      <c r="C709" s="287">
        <v>1.9096786566E10</v>
      </c>
      <c r="D709" s="286" t="s">
        <v>2929</v>
      </c>
      <c r="E709" s="286" t="s">
        <v>1534</v>
      </c>
    </row>
    <row r="710">
      <c r="A710" s="286" t="s">
        <v>2393</v>
      </c>
      <c r="B710" s="262" t="s">
        <v>2930</v>
      </c>
      <c r="C710" s="287">
        <v>1.305608406E10</v>
      </c>
      <c r="D710" s="286" t="s">
        <v>2931</v>
      </c>
      <c r="E710" s="286" t="s">
        <v>1298</v>
      </c>
    </row>
    <row r="711">
      <c r="A711" s="286" t="s">
        <v>1117</v>
      </c>
      <c r="B711" s="262" t="s">
        <v>2932</v>
      </c>
      <c r="C711" s="287">
        <v>1.9705450306E10</v>
      </c>
      <c r="D711" s="286" t="s">
        <v>2933</v>
      </c>
      <c r="E711" s="286" t="s">
        <v>1298</v>
      </c>
    </row>
    <row r="712">
      <c r="A712" s="286" t="s">
        <v>2424</v>
      </c>
      <c r="B712" s="286" t="s">
        <v>2934</v>
      </c>
      <c r="C712" s="287">
        <v>1.4698553892E10</v>
      </c>
      <c r="D712" s="286" t="s">
        <v>2935</v>
      </c>
      <c r="E712" s="286" t="s">
        <v>1534</v>
      </c>
    </row>
    <row r="713">
      <c r="A713" s="286" t="s">
        <v>2060</v>
      </c>
      <c r="B713" s="286" t="s">
        <v>1471</v>
      </c>
      <c r="C713" s="287">
        <v>1.323370404E10</v>
      </c>
      <c r="D713" s="286" t="s">
        <v>2936</v>
      </c>
      <c r="E713" s="286" t="s">
        <v>1307</v>
      </c>
    </row>
    <row r="714">
      <c r="A714" s="286" t="s">
        <v>2937</v>
      </c>
      <c r="B714" s="262" t="s">
        <v>2938</v>
      </c>
      <c r="C714" s="287">
        <v>1.3477016138E10</v>
      </c>
      <c r="D714" s="286" t="s">
        <v>2939</v>
      </c>
      <c r="E714" s="286" t="s">
        <v>1409</v>
      </c>
    </row>
    <row r="715">
      <c r="A715" s="286" t="s">
        <v>2940</v>
      </c>
      <c r="B715" s="262" t="s">
        <v>2016</v>
      </c>
      <c r="C715" s="287">
        <v>1.7863464281E10</v>
      </c>
      <c r="D715" s="286" t="s">
        <v>2941</v>
      </c>
      <c r="E715" s="286" t="s">
        <v>1409</v>
      </c>
    </row>
    <row r="716">
      <c r="A716" s="286" t="s">
        <v>2816</v>
      </c>
      <c r="B716" s="262" t="s">
        <v>2942</v>
      </c>
      <c r="C716" s="287">
        <v>1.8324900944E10</v>
      </c>
      <c r="D716" s="286" t="s">
        <v>2943</v>
      </c>
      <c r="E716" s="286" t="s">
        <v>1298</v>
      </c>
    </row>
    <row r="717">
      <c r="A717" s="286" t="s">
        <v>1001</v>
      </c>
      <c r="B717" s="286" t="s">
        <v>2944</v>
      </c>
      <c r="C717" s="287">
        <v>1.6892767446E10</v>
      </c>
      <c r="D717" s="286" t="s">
        <v>2945</v>
      </c>
      <c r="E717" s="286" t="s">
        <v>2215</v>
      </c>
    </row>
    <row r="718">
      <c r="A718" s="286" t="s">
        <v>1676</v>
      </c>
      <c r="B718" s="262" t="s">
        <v>2946</v>
      </c>
      <c r="C718" s="287">
        <v>1.2014846177E10</v>
      </c>
      <c r="D718" s="286" t="s">
        <v>2947</v>
      </c>
      <c r="E718" s="286" t="s">
        <v>1409</v>
      </c>
    </row>
    <row r="719">
      <c r="A719" s="286" t="s">
        <v>2948</v>
      </c>
      <c r="B719" s="262" t="s">
        <v>2949</v>
      </c>
      <c r="C719" s="287">
        <v>1.6206212538E10</v>
      </c>
      <c r="D719" s="286" t="s">
        <v>2950</v>
      </c>
      <c r="E719" s="286" t="s">
        <v>1409</v>
      </c>
    </row>
    <row r="720">
      <c r="A720" s="286" t="s">
        <v>2032</v>
      </c>
      <c r="B720" s="286" t="s">
        <v>2951</v>
      </c>
      <c r="C720" s="287">
        <v>1.9565431326E10</v>
      </c>
      <c r="D720" s="286" t="s">
        <v>2952</v>
      </c>
      <c r="E720" s="286" t="s">
        <v>1307</v>
      </c>
    </row>
    <row r="721">
      <c r="A721" s="286" t="s">
        <v>1356</v>
      </c>
      <c r="B721" s="262" t="s">
        <v>2953</v>
      </c>
      <c r="C721" s="287">
        <v>1.5627398016E10</v>
      </c>
      <c r="D721" s="286" t="s">
        <v>2954</v>
      </c>
      <c r="E721" s="286" t="s">
        <v>1409</v>
      </c>
    </row>
    <row r="722">
      <c r="A722" s="286" t="s">
        <v>2955</v>
      </c>
      <c r="B722" s="262" t="s">
        <v>2571</v>
      </c>
      <c r="C722" s="287">
        <v>1.945274762E10</v>
      </c>
      <c r="D722" s="286" t="s">
        <v>2956</v>
      </c>
      <c r="E722" s="286" t="s">
        <v>1298</v>
      </c>
    </row>
    <row r="723">
      <c r="A723" s="286" t="s">
        <v>1681</v>
      </c>
      <c r="B723" s="286" t="s">
        <v>1780</v>
      </c>
      <c r="C723" s="287">
        <v>1.3479717426E10</v>
      </c>
      <c r="D723" s="286" t="s">
        <v>2957</v>
      </c>
      <c r="E723" s="286" t="s">
        <v>2215</v>
      </c>
    </row>
    <row r="724">
      <c r="A724" s="286" t="s">
        <v>2958</v>
      </c>
      <c r="B724" s="286" t="s">
        <v>2493</v>
      </c>
      <c r="C724" s="287">
        <v>1.5512616925E10</v>
      </c>
      <c r="D724" s="286" t="s">
        <v>2959</v>
      </c>
      <c r="E724" s="262"/>
    </row>
    <row r="725">
      <c r="A725" s="286" t="s">
        <v>2112</v>
      </c>
      <c r="B725" s="286" t="s">
        <v>2960</v>
      </c>
      <c r="C725" s="287">
        <v>1.857391043E10</v>
      </c>
      <c r="D725" s="286" t="s">
        <v>2961</v>
      </c>
      <c r="E725" s="286" t="s">
        <v>635</v>
      </c>
    </row>
    <row r="726">
      <c r="A726" s="286" t="s">
        <v>981</v>
      </c>
      <c r="B726" s="286" t="s">
        <v>2962</v>
      </c>
      <c r="C726" s="287">
        <v>1.7863800391E10</v>
      </c>
      <c r="D726" s="286" t="s">
        <v>2963</v>
      </c>
      <c r="E726" s="286" t="s">
        <v>1534</v>
      </c>
    </row>
    <row r="727">
      <c r="A727" s="286" t="s">
        <v>2964</v>
      </c>
      <c r="B727" s="286" t="s">
        <v>1515</v>
      </c>
      <c r="C727" s="287">
        <v>1.6462690787E10</v>
      </c>
      <c r="D727" s="286" t="s">
        <v>2965</v>
      </c>
      <c r="E727" s="286" t="s">
        <v>1307</v>
      </c>
    </row>
    <row r="728">
      <c r="A728" s="286" t="s">
        <v>1681</v>
      </c>
      <c r="B728" s="262" t="s">
        <v>2966</v>
      </c>
      <c r="C728" s="287">
        <v>1.2035581256E10</v>
      </c>
      <c r="D728" s="286" t="s">
        <v>2967</v>
      </c>
      <c r="E728" s="286" t="s">
        <v>2097</v>
      </c>
    </row>
    <row r="729">
      <c r="A729" s="286" t="s">
        <v>2968</v>
      </c>
      <c r="B729" s="286" t="s">
        <v>2969</v>
      </c>
      <c r="C729" s="287">
        <v>1.3053039159E10</v>
      </c>
      <c r="D729" s="286" t="s">
        <v>2970</v>
      </c>
      <c r="E729" s="286" t="s">
        <v>2591</v>
      </c>
    </row>
    <row r="730">
      <c r="A730" s="286" t="s">
        <v>2971</v>
      </c>
      <c r="B730" s="262" t="s">
        <v>2005</v>
      </c>
      <c r="C730" s="287">
        <v>1.2722800866E10</v>
      </c>
      <c r="D730" s="286" t="s">
        <v>2972</v>
      </c>
      <c r="E730" s="286" t="s">
        <v>1409</v>
      </c>
    </row>
    <row r="731">
      <c r="A731" s="286" t="s">
        <v>2973</v>
      </c>
      <c r="B731" s="286" t="s">
        <v>2974</v>
      </c>
      <c r="C731" s="287">
        <v>1.3467629496E10</v>
      </c>
      <c r="D731" s="286" t="s">
        <v>2975</v>
      </c>
      <c r="E731" s="286" t="s">
        <v>2215</v>
      </c>
    </row>
    <row r="732">
      <c r="A732" s="286" t="s">
        <v>2976</v>
      </c>
      <c r="B732" s="262" t="s">
        <v>2977</v>
      </c>
      <c r="C732" s="287">
        <v>1.9548821948E10</v>
      </c>
      <c r="D732" s="286" t="s">
        <v>2978</v>
      </c>
      <c r="E732" s="286" t="s">
        <v>1409</v>
      </c>
    </row>
    <row r="733">
      <c r="A733" s="286" t="s">
        <v>2979</v>
      </c>
      <c r="B733" s="286" t="s">
        <v>1616</v>
      </c>
      <c r="C733" s="287">
        <v>1.8325172179E10</v>
      </c>
      <c r="D733" s="286" t="s">
        <v>2980</v>
      </c>
      <c r="E733" s="286" t="s">
        <v>2034</v>
      </c>
    </row>
    <row r="734">
      <c r="A734" s="286" t="s">
        <v>2981</v>
      </c>
      <c r="B734" s="286" t="s">
        <v>2124</v>
      </c>
      <c r="C734" s="287">
        <v>1.857540355E10</v>
      </c>
      <c r="D734" s="286" t="s">
        <v>2982</v>
      </c>
      <c r="E734" s="286" t="s">
        <v>1307</v>
      </c>
    </row>
    <row r="735">
      <c r="A735" s="286" t="s">
        <v>1441</v>
      </c>
      <c r="B735" s="262" t="s">
        <v>2983</v>
      </c>
      <c r="C735" s="287">
        <v>1.4074044678E10</v>
      </c>
      <c r="D735" s="286" t="s">
        <v>2984</v>
      </c>
      <c r="E735" s="286" t="s">
        <v>1298</v>
      </c>
    </row>
    <row r="736">
      <c r="A736" s="286" t="s">
        <v>2985</v>
      </c>
      <c r="B736" s="262" t="s">
        <v>2969</v>
      </c>
      <c r="C736" s="287">
        <v>1.7866127918E10</v>
      </c>
      <c r="D736" s="286" t="s">
        <v>2986</v>
      </c>
      <c r="E736" s="286" t="s">
        <v>1409</v>
      </c>
    </row>
    <row r="737">
      <c r="A737" s="286" t="s">
        <v>2682</v>
      </c>
      <c r="B737" s="262" t="s">
        <v>2987</v>
      </c>
      <c r="C737" s="287">
        <v>1.7865879051E10</v>
      </c>
      <c r="D737" s="286" t="s">
        <v>2988</v>
      </c>
      <c r="E737" s="286" t="s">
        <v>1409</v>
      </c>
    </row>
    <row r="738">
      <c r="A738" s="286" t="s">
        <v>2989</v>
      </c>
      <c r="B738" s="262" t="s">
        <v>2990</v>
      </c>
      <c r="C738" s="287">
        <v>1.9173555822E10</v>
      </c>
      <c r="D738" s="286" t="s">
        <v>2991</v>
      </c>
      <c r="E738" s="286" t="s">
        <v>2097</v>
      </c>
    </row>
    <row r="739">
      <c r="A739" s="286" t="s">
        <v>1347</v>
      </c>
      <c r="B739" s="262"/>
      <c r="C739" s="287">
        <v>1.9145353503E10</v>
      </c>
      <c r="D739" s="286" t="s">
        <v>2992</v>
      </c>
      <c r="E739" s="286" t="s">
        <v>1307</v>
      </c>
    </row>
    <row r="740">
      <c r="A740" s="286" t="s">
        <v>2514</v>
      </c>
      <c r="B740" s="262" t="s">
        <v>2993</v>
      </c>
      <c r="C740" s="287">
        <v>1.8502924322E10</v>
      </c>
      <c r="D740" s="286" t="s">
        <v>2994</v>
      </c>
      <c r="E740" s="286" t="s">
        <v>2097</v>
      </c>
    </row>
    <row r="741">
      <c r="A741" s="286" t="s">
        <v>2995</v>
      </c>
      <c r="B741" s="262"/>
      <c r="C741" s="287">
        <v>1.9297264824E10</v>
      </c>
      <c r="D741" s="286" t="s">
        <v>2996</v>
      </c>
      <c r="E741" s="286" t="s">
        <v>1409</v>
      </c>
    </row>
    <row r="742">
      <c r="A742" s="286" t="s">
        <v>2989</v>
      </c>
      <c r="B742" s="262" t="s">
        <v>2997</v>
      </c>
      <c r="C742" s="287">
        <v>1.5704971096E10</v>
      </c>
      <c r="D742" s="286" t="s">
        <v>2998</v>
      </c>
      <c r="E742" s="286" t="s">
        <v>2097</v>
      </c>
    </row>
    <row r="743">
      <c r="A743" s="286" t="s">
        <v>2999</v>
      </c>
      <c r="B743" s="286" t="s">
        <v>3000</v>
      </c>
      <c r="C743" s="287">
        <v>1.2408154614E10</v>
      </c>
      <c r="D743" s="286" t="s">
        <v>3001</v>
      </c>
      <c r="E743" s="286" t="s">
        <v>1307</v>
      </c>
    </row>
    <row r="744">
      <c r="A744" s="286" t="s">
        <v>3002</v>
      </c>
      <c r="B744" s="262"/>
      <c r="C744" s="287">
        <v>1.4696622132E10</v>
      </c>
      <c r="D744" s="286" t="s">
        <v>3003</v>
      </c>
      <c r="E744" s="286" t="s">
        <v>1298</v>
      </c>
    </row>
    <row r="745">
      <c r="A745" s="286" t="s">
        <v>3004</v>
      </c>
      <c r="B745" s="262"/>
      <c r="C745" s="287">
        <v>1.9542972511E10</v>
      </c>
      <c r="D745" s="286" t="s">
        <v>3005</v>
      </c>
      <c r="E745" s="286" t="s">
        <v>1307</v>
      </c>
    </row>
    <row r="746">
      <c r="A746" s="286" t="s">
        <v>3006</v>
      </c>
      <c r="B746" s="262" t="s">
        <v>3007</v>
      </c>
      <c r="C746" s="287">
        <v>1.3475258431E10</v>
      </c>
      <c r="D746" s="286" t="s">
        <v>3008</v>
      </c>
      <c r="E746" s="286" t="s">
        <v>1409</v>
      </c>
    </row>
    <row r="747">
      <c r="A747" s="286" t="s">
        <v>2286</v>
      </c>
      <c r="B747" s="262" t="s">
        <v>1761</v>
      </c>
      <c r="C747" s="287">
        <v>1.2249441795E10</v>
      </c>
      <c r="D747" s="286" t="s">
        <v>3009</v>
      </c>
      <c r="E747" s="286" t="s">
        <v>1409</v>
      </c>
    </row>
    <row r="748">
      <c r="A748" s="286" t="s">
        <v>3010</v>
      </c>
      <c r="B748" s="262"/>
      <c r="C748" s="287">
        <v>1.8058949174E10</v>
      </c>
      <c r="D748" s="286" t="s">
        <v>3011</v>
      </c>
      <c r="E748" s="286" t="s">
        <v>1307</v>
      </c>
    </row>
    <row r="749">
      <c r="A749" s="286" t="s">
        <v>1763</v>
      </c>
      <c r="B749" s="286" t="s">
        <v>3012</v>
      </c>
      <c r="C749" s="287">
        <v>1.9176840079E10</v>
      </c>
      <c r="D749" s="286" t="s">
        <v>3013</v>
      </c>
      <c r="E749" s="286" t="s">
        <v>1307</v>
      </c>
    </row>
    <row r="750">
      <c r="A750" s="286" t="s">
        <v>3014</v>
      </c>
      <c r="B750" s="262" t="s">
        <v>3015</v>
      </c>
      <c r="C750" s="287">
        <v>1.2099182413E10</v>
      </c>
      <c r="D750" s="286" t="s">
        <v>3016</v>
      </c>
      <c r="E750" s="286" t="s">
        <v>1409</v>
      </c>
    </row>
    <row r="751">
      <c r="A751" s="286" t="s">
        <v>3017</v>
      </c>
      <c r="B751" s="262" t="s">
        <v>1515</v>
      </c>
      <c r="C751" s="287">
        <v>1.3234769385E10</v>
      </c>
      <c r="D751" s="286" t="s">
        <v>3018</v>
      </c>
      <c r="E751" s="286" t="s">
        <v>1409</v>
      </c>
    </row>
    <row r="752">
      <c r="A752" s="286" t="s">
        <v>1100</v>
      </c>
      <c r="B752" s="262" t="s">
        <v>1471</v>
      </c>
      <c r="C752" s="287">
        <v>1.3109457059E10</v>
      </c>
      <c r="D752" s="286" t="s">
        <v>3019</v>
      </c>
      <c r="E752" s="286" t="s">
        <v>1409</v>
      </c>
    </row>
    <row r="753">
      <c r="A753" s="286" t="s">
        <v>3020</v>
      </c>
      <c r="B753" s="286" t="s">
        <v>3021</v>
      </c>
      <c r="C753" s="287">
        <v>1.6055303366E10</v>
      </c>
      <c r="D753" s="286" t="s">
        <v>3022</v>
      </c>
      <c r="E753" s="286" t="s">
        <v>1307</v>
      </c>
    </row>
    <row r="754">
      <c r="A754" s="286" t="s">
        <v>3023</v>
      </c>
      <c r="B754" s="286" t="s">
        <v>3024</v>
      </c>
      <c r="C754" s="287">
        <v>1.3476340386E10</v>
      </c>
      <c r="D754" s="286" t="s">
        <v>3025</v>
      </c>
      <c r="E754" s="286" t="s">
        <v>1307</v>
      </c>
    </row>
    <row r="755">
      <c r="A755" s="286" t="s">
        <v>1631</v>
      </c>
      <c r="B755" s="286" t="s">
        <v>3026</v>
      </c>
      <c r="C755" s="287">
        <v>1.7182885427E10</v>
      </c>
      <c r="D755" s="286" t="s">
        <v>3027</v>
      </c>
      <c r="E755" s="286" t="s">
        <v>2591</v>
      </c>
    </row>
    <row r="756">
      <c r="A756" s="286" t="s">
        <v>1419</v>
      </c>
      <c r="B756" s="262" t="s">
        <v>3028</v>
      </c>
      <c r="C756" s="287">
        <v>1.90174509E10</v>
      </c>
      <c r="D756" s="286" t="s">
        <v>3029</v>
      </c>
      <c r="E756" s="286" t="s">
        <v>2097</v>
      </c>
    </row>
    <row r="757">
      <c r="A757" s="286" t="s">
        <v>1359</v>
      </c>
      <c r="B757" s="262" t="s">
        <v>3030</v>
      </c>
      <c r="C757" s="287">
        <v>1.8163150185E10</v>
      </c>
      <c r="D757" s="286" t="s">
        <v>3031</v>
      </c>
      <c r="E757" s="286" t="s">
        <v>1298</v>
      </c>
    </row>
    <row r="758">
      <c r="A758" s="286" t="s">
        <v>3032</v>
      </c>
      <c r="B758" s="262"/>
      <c r="C758" s="287">
        <v>1.4072094559E10</v>
      </c>
      <c r="D758" s="286" t="s">
        <v>3033</v>
      </c>
      <c r="E758" s="286" t="s">
        <v>2097</v>
      </c>
    </row>
    <row r="759">
      <c r="A759" s="286" t="s">
        <v>1779</v>
      </c>
      <c r="B759" s="286" t="s">
        <v>3034</v>
      </c>
      <c r="C759" s="287">
        <v>1.8634195441E10</v>
      </c>
      <c r="D759" s="286" t="s">
        <v>3035</v>
      </c>
      <c r="E759" s="286" t="s">
        <v>1307</v>
      </c>
    </row>
    <row r="760">
      <c r="A760" s="286" t="s">
        <v>1725</v>
      </c>
      <c r="B760" s="262" t="s">
        <v>1536</v>
      </c>
      <c r="C760" s="287">
        <v>1.346270682E10</v>
      </c>
      <c r="D760" s="286" t="s">
        <v>3036</v>
      </c>
      <c r="E760" s="286" t="s">
        <v>1409</v>
      </c>
    </row>
    <row r="761">
      <c r="A761" s="286" t="s">
        <v>1984</v>
      </c>
      <c r="B761" s="262" t="s">
        <v>3037</v>
      </c>
      <c r="C761" s="287">
        <v>1.8172237593E10</v>
      </c>
      <c r="D761" s="286" t="s">
        <v>3038</v>
      </c>
      <c r="E761" s="286" t="s">
        <v>1409</v>
      </c>
    </row>
    <row r="762">
      <c r="A762" s="286" t="s">
        <v>3039</v>
      </c>
      <c r="B762" s="262" t="s">
        <v>3040</v>
      </c>
      <c r="C762" s="287">
        <v>1.9299286059E10</v>
      </c>
      <c r="D762" s="286" t="s">
        <v>3041</v>
      </c>
      <c r="E762" s="286" t="s">
        <v>1409</v>
      </c>
    </row>
    <row r="763">
      <c r="A763" s="286" t="s">
        <v>1359</v>
      </c>
      <c r="B763" s="262"/>
      <c r="C763" s="287">
        <v>1.9547083659E10</v>
      </c>
      <c r="D763" s="286" t="s">
        <v>3042</v>
      </c>
      <c r="E763" s="286" t="s">
        <v>2097</v>
      </c>
    </row>
    <row r="764">
      <c r="A764" s="286" t="s">
        <v>2377</v>
      </c>
      <c r="B764" s="286" t="s">
        <v>3043</v>
      </c>
      <c r="C764" s="287">
        <v>1.786477138E10</v>
      </c>
      <c r="D764" s="286" t="s">
        <v>3044</v>
      </c>
      <c r="E764" s="286" t="s">
        <v>1534</v>
      </c>
    </row>
    <row r="765">
      <c r="A765" s="286" t="s">
        <v>3045</v>
      </c>
      <c r="B765" s="262" t="s">
        <v>1536</v>
      </c>
      <c r="C765" s="287">
        <v>1.4698388044E10</v>
      </c>
      <c r="D765" s="286" t="s">
        <v>3046</v>
      </c>
      <c r="E765" s="286" t="s">
        <v>2097</v>
      </c>
    </row>
    <row r="766">
      <c r="A766" s="286" t="s">
        <v>3047</v>
      </c>
      <c r="B766" s="262"/>
      <c r="C766" s="287">
        <v>1.8324061947E10</v>
      </c>
      <c r="D766" s="286" t="s">
        <v>3048</v>
      </c>
      <c r="E766" s="286" t="s">
        <v>1307</v>
      </c>
    </row>
    <row r="767">
      <c r="A767" s="286" t="s">
        <v>1766</v>
      </c>
      <c r="B767" s="286" t="s">
        <v>3049</v>
      </c>
      <c r="C767" s="287">
        <v>1.2142706425E10</v>
      </c>
      <c r="D767" s="286" t="s">
        <v>3050</v>
      </c>
      <c r="E767" s="286" t="s">
        <v>1307</v>
      </c>
    </row>
    <row r="768">
      <c r="A768" s="286" t="s">
        <v>3051</v>
      </c>
      <c r="B768" s="286" t="s">
        <v>3052</v>
      </c>
      <c r="C768" s="287">
        <v>1.7329975024E10</v>
      </c>
      <c r="D768" s="286" t="s">
        <v>3053</v>
      </c>
      <c r="E768" s="286" t="s">
        <v>2525</v>
      </c>
    </row>
    <row r="769">
      <c r="A769" s="286" t="s">
        <v>3054</v>
      </c>
      <c r="B769" s="262" t="s">
        <v>2508</v>
      </c>
      <c r="C769" s="287">
        <v>1.4079609643E10</v>
      </c>
      <c r="D769" s="286" t="s">
        <v>3055</v>
      </c>
      <c r="E769" s="286" t="s">
        <v>2097</v>
      </c>
    </row>
    <row r="770">
      <c r="A770" s="286" t="s">
        <v>3056</v>
      </c>
      <c r="B770" s="262" t="s">
        <v>1331</v>
      </c>
      <c r="C770" s="287">
        <v>1.9562834918E10</v>
      </c>
      <c r="D770" s="286" t="s">
        <v>3057</v>
      </c>
      <c r="E770" s="286" t="s">
        <v>1409</v>
      </c>
    </row>
    <row r="771">
      <c r="A771" s="286" t="s">
        <v>1344</v>
      </c>
      <c r="B771" s="262" t="s">
        <v>3058</v>
      </c>
      <c r="C771" s="287">
        <v>1.7544227095E10</v>
      </c>
      <c r="D771" s="286" t="s">
        <v>3059</v>
      </c>
      <c r="E771" s="286" t="s">
        <v>1298</v>
      </c>
    </row>
    <row r="772">
      <c r="A772" s="286" t="s">
        <v>1590</v>
      </c>
      <c r="B772" s="286" t="s">
        <v>3060</v>
      </c>
      <c r="C772" s="288">
        <v>5.73123E16</v>
      </c>
      <c r="D772" s="286" t="s">
        <v>3061</v>
      </c>
      <c r="E772" s="286" t="s">
        <v>2591</v>
      </c>
    </row>
    <row r="773">
      <c r="A773" s="286" t="s">
        <v>3062</v>
      </c>
      <c r="B773" s="262" t="s">
        <v>3063</v>
      </c>
      <c r="C773" s="287">
        <v>1.4048040476E10</v>
      </c>
      <c r="D773" s="286" t="s">
        <v>3064</v>
      </c>
      <c r="E773" s="286" t="s">
        <v>1298</v>
      </c>
    </row>
    <row r="774">
      <c r="A774" s="286" t="s">
        <v>1636</v>
      </c>
      <c r="B774" s="286" t="s">
        <v>1436</v>
      </c>
      <c r="C774" s="287">
        <v>1.3055282825E10</v>
      </c>
      <c r="D774" s="286" t="s">
        <v>3065</v>
      </c>
      <c r="E774" s="286" t="s">
        <v>1848</v>
      </c>
    </row>
    <row r="775">
      <c r="A775" s="286" t="s">
        <v>1606</v>
      </c>
      <c r="B775" s="262" t="s">
        <v>1964</v>
      </c>
      <c r="C775" s="287">
        <v>1.9282575827E10</v>
      </c>
      <c r="D775" s="286" t="s">
        <v>3066</v>
      </c>
      <c r="E775" s="286" t="s">
        <v>1409</v>
      </c>
    </row>
    <row r="776">
      <c r="A776" s="286" t="s">
        <v>1766</v>
      </c>
      <c r="B776" s="262" t="s">
        <v>2005</v>
      </c>
      <c r="C776" s="287">
        <v>1.3024301558E10</v>
      </c>
      <c r="D776" s="286" t="s">
        <v>3067</v>
      </c>
      <c r="E776" s="286" t="s">
        <v>1409</v>
      </c>
    </row>
    <row r="777">
      <c r="A777" s="286" t="s">
        <v>1356</v>
      </c>
      <c r="B777" s="286" t="s">
        <v>2016</v>
      </c>
      <c r="C777" s="287">
        <v>1.2104623676E10</v>
      </c>
      <c r="D777" s="286" t="s">
        <v>3068</v>
      </c>
      <c r="E777" s="286" t="s">
        <v>1307</v>
      </c>
    </row>
    <row r="778">
      <c r="A778" s="286" t="s">
        <v>1872</v>
      </c>
      <c r="B778" s="262" t="s">
        <v>3069</v>
      </c>
      <c r="C778" s="287">
        <v>1.8152916536E10</v>
      </c>
      <c r="D778" s="286" t="s">
        <v>3070</v>
      </c>
      <c r="E778" s="286" t="s">
        <v>1409</v>
      </c>
    </row>
    <row r="779">
      <c r="A779" s="286" t="s">
        <v>3071</v>
      </c>
      <c r="B779" s="286" t="s">
        <v>3072</v>
      </c>
      <c r="C779" s="287">
        <v>1.8572492603E10</v>
      </c>
      <c r="D779" s="286" t="s">
        <v>3073</v>
      </c>
      <c r="E779" s="286" t="s">
        <v>1414</v>
      </c>
    </row>
    <row r="780">
      <c r="A780" s="286" t="s">
        <v>2081</v>
      </c>
      <c r="B780" s="262" t="s">
        <v>1989</v>
      </c>
      <c r="C780" s="287">
        <v>1.6572637519E10</v>
      </c>
      <c r="D780" s="286" t="s">
        <v>3074</v>
      </c>
      <c r="E780" s="286" t="s">
        <v>1409</v>
      </c>
    </row>
    <row r="781">
      <c r="A781" s="286" t="s">
        <v>3075</v>
      </c>
      <c r="B781" s="286" t="s">
        <v>3076</v>
      </c>
      <c r="C781" s="287">
        <v>1.678677161E10</v>
      </c>
      <c r="D781" s="286" t="s">
        <v>3077</v>
      </c>
      <c r="E781" s="286" t="s">
        <v>1307</v>
      </c>
    </row>
    <row r="782">
      <c r="A782" s="286" t="s">
        <v>1636</v>
      </c>
      <c r="B782" s="262" t="s">
        <v>3078</v>
      </c>
      <c r="C782" s="287">
        <v>1.9088801531E10</v>
      </c>
      <c r="D782" s="286" t="s">
        <v>3079</v>
      </c>
      <c r="E782" s="286" t="s">
        <v>1409</v>
      </c>
    </row>
    <row r="783">
      <c r="A783" s="286" t="s">
        <v>3080</v>
      </c>
      <c r="B783" s="262" t="s">
        <v>3081</v>
      </c>
      <c r="C783" s="287">
        <v>1.7865424846E10</v>
      </c>
      <c r="D783" s="286" t="s">
        <v>3082</v>
      </c>
      <c r="E783" s="286" t="s">
        <v>1409</v>
      </c>
    </row>
    <row r="784">
      <c r="A784" s="286" t="s">
        <v>1171</v>
      </c>
      <c r="B784" s="262" t="s">
        <v>3083</v>
      </c>
      <c r="C784" s="287">
        <v>1.3476975907E10</v>
      </c>
      <c r="D784" s="286" t="s">
        <v>3084</v>
      </c>
      <c r="E784" s="286" t="s">
        <v>1298</v>
      </c>
    </row>
    <row r="785">
      <c r="A785" s="286" t="s">
        <v>3085</v>
      </c>
      <c r="B785" s="262" t="s">
        <v>3086</v>
      </c>
      <c r="C785" s="287">
        <v>1.8637124781E10</v>
      </c>
      <c r="D785" s="286" t="s">
        <v>3087</v>
      </c>
      <c r="E785" s="286" t="s">
        <v>1409</v>
      </c>
    </row>
    <row r="786">
      <c r="A786" s="286" t="s">
        <v>1805</v>
      </c>
      <c r="B786" s="262" t="s">
        <v>2610</v>
      </c>
      <c r="C786" s="287">
        <v>1.8486663834E10</v>
      </c>
      <c r="D786" s="286" t="s">
        <v>3088</v>
      </c>
      <c r="E786" s="286" t="s">
        <v>1409</v>
      </c>
    </row>
    <row r="787">
      <c r="A787" s="286" t="s">
        <v>3089</v>
      </c>
      <c r="B787" s="262"/>
      <c r="C787" s="287">
        <v>1.7873456139E10</v>
      </c>
      <c r="D787" s="286" t="s">
        <v>3090</v>
      </c>
      <c r="E787" s="286" t="s">
        <v>2097</v>
      </c>
    </row>
    <row r="788">
      <c r="A788" s="286" t="s">
        <v>1615</v>
      </c>
      <c r="B788" s="286" t="s">
        <v>2149</v>
      </c>
      <c r="C788" s="287">
        <v>1.8178830514E10</v>
      </c>
      <c r="D788" s="286" t="s">
        <v>3091</v>
      </c>
      <c r="E788" s="286" t="s">
        <v>1534</v>
      </c>
    </row>
    <row r="789">
      <c r="A789" s="286" t="s">
        <v>3092</v>
      </c>
      <c r="B789" s="262"/>
      <c r="C789" s="287">
        <v>1.8134015457E10</v>
      </c>
      <c r="D789" s="286" t="s">
        <v>3093</v>
      </c>
      <c r="E789" s="286" t="s">
        <v>1409</v>
      </c>
    </row>
    <row r="790">
      <c r="A790" s="286" t="s">
        <v>545</v>
      </c>
      <c r="B790" s="262" t="s">
        <v>3094</v>
      </c>
      <c r="C790" s="287">
        <v>1.9733932943E10</v>
      </c>
      <c r="D790" s="286" t="s">
        <v>3095</v>
      </c>
      <c r="E790" s="286" t="s">
        <v>1409</v>
      </c>
    </row>
    <row r="791">
      <c r="A791" s="286" t="s">
        <v>3096</v>
      </c>
      <c r="B791" s="262" t="s">
        <v>1733</v>
      </c>
      <c r="C791" s="287">
        <v>1.9097048246E10</v>
      </c>
      <c r="D791" s="286" t="s">
        <v>3097</v>
      </c>
      <c r="E791" s="286" t="s">
        <v>2097</v>
      </c>
    </row>
    <row r="792">
      <c r="A792" s="286" t="s">
        <v>3098</v>
      </c>
      <c r="B792" s="262"/>
      <c r="C792" s="287">
        <v>1.2107175384E10</v>
      </c>
      <c r="D792" s="286" t="s">
        <v>3099</v>
      </c>
      <c r="E792" s="286" t="s">
        <v>2097</v>
      </c>
    </row>
    <row r="793">
      <c r="A793" s="286" t="s">
        <v>3100</v>
      </c>
      <c r="B793" s="262" t="s">
        <v>2446</v>
      </c>
      <c r="C793" s="287">
        <v>1.8626843499E10</v>
      </c>
      <c r="D793" s="286" t="s">
        <v>3101</v>
      </c>
      <c r="E793" s="286" t="s">
        <v>2097</v>
      </c>
    </row>
    <row r="794">
      <c r="A794" s="286" t="s">
        <v>3017</v>
      </c>
      <c r="B794" s="262" t="s">
        <v>3102</v>
      </c>
      <c r="C794" s="287">
        <v>1.5052672958E10</v>
      </c>
      <c r="D794" s="286" t="s">
        <v>3103</v>
      </c>
      <c r="E794" s="286" t="s">
        <v>2097</v>
      </c>
    </row>
    <row r="795">
      <c r="A795" s="286" t="s">
        <v>3017</v>
      </c>
      <c r="B795" s="286" t="s">
        <v>3104</v>
      </c>
      <c r="C795" s="287">
        <v>1.2066872143E10</v>
      </c>
      <c r="D795" s="286" t="s">
        <v>3105</v>
      </c>
      <c r="E795" s="286" t="s">
        <v>1577</v>
      </c>
    </row>
    <row r="796">
      <c r="A796" s="286" t="s">
        <v>1371</v>
      </c>
      <c r="B796" s="286" t="s">
        <v>3106</v>
      </c>
      <c r="C796" s="287">
        <v>1.4085126297E10</v>
      </c>
      <c r="D796" s="286" t="s">
        <v>3107</v>
      </c>
      <c r="E796" s="286" t="s">
        <v>1307</v>
      </c>
    </row>
    <row r="797">
      <c r="A797" s="286" t="s">
        <v>3108</v>
      </c>
      <c r="B797" s="262" t="s">
        <v>3109</v>
      </c>
      <c r="C797" s="287">
        <v>1.7205940194E10</v>
      </c>
      <c r="D797" s="286" t="s">
        <v>3110</v>
      </c>
      <c r="E797" s="286" t="s">
        <v>1298</v>
      </c>
    </row>
    <row r="798">
      <c r="A798" s="286" t="s">
        <v>3111</v>
      </c>
      <c r="B798" s="262"/>
      <c r="C798" s="287">
        <v>1.9296087397E10</v>
      </c>
      <c r="D798" s="286" t="s">
        <v>3112</v>
      </c>
      <c r="E798" s="286" t="s">
        <v>1409</v>
      </c>
    </row>
    <row r="799">
      <c r="A799" s="286" t="s">
        <v>1615</v>
      </c>
      <c r="B799" s="286" t="s">
        <v>3113</v>
      </c>
      <c r="C799" s="287">
        <v>1.9165980389E10</v>
      </c>
      <c r="D799" s="286" t="s">
        <v>3114</v>
      </c>
      <c r="E799" s="286" t="s">
        <v>1307</v>
      </c>
    </row>
    <row r="800">
      <c r="A800" s="286" t="s">
        <v>3017</v>
      </c>
      <c r="B800" s="262"/>
      <c r="C800" s="287">
        <v>1.5629687342E10</v>
      </c>
      <c r="D800" s="286" t="s">
        <v>3115</v>
      </c>
      <c r="E800" s="286" t="s">
        <v>1409</v>
      </c>
    </row>
    <row r="801">
      <c r="A801" s="286" t="s">
        <v>1669</v>
      </c>
      <c r="B801" s="262" t="s">
        <v>3116</v>
      </c>
      <c r="C801" s="287">
        <v>1.2036959861E10</v>
      </c>
      <c r="D801" s="286" t="s">
        <v>3117</v>
      </c>
      <c r="E801" s="286" t="s">
        <v>1409</v>
      </c>
    </row>
    <row r="802">
      <c r="A802" s="286" t="s">
        <v>1117</v>
      </c>
      <c r="B802" s="286" t="s">
        <v>3118</v>
      </c>
      <c r="C802" s="287">
        <v>1.3238344026E10</v>
      </c>
      <c r="D802" s="286" t="s">
        <v>3119</v>
      </c>
      <c r="E802" s="286" t="s">
        <v>1534</v>
      </c>
    </row>
    <row r="803">
      <c r="A803" s="286" t="s">
        <v>3120</v>
      </c>
      <c r="B803" s="262" t="s">
        <v>3121</v>
      </c>
      <c r="C803" s="287">
        <v>1.6198793654E10</v>
      </c>
      <c r="D803" s="286" t="s">
        <v>3122</v>
      </c>
      <c r="E803" s="286" t="s">
        <v>2097</v>
      </c>
    </row>
    <row r="804">
      <c r="A804" s="286" t="s">
        <v>3123</v>
      </c>
      <c r="B804" s="286" t="s">
        <v>3124</v>
      </c>
      <c r="C804" s="287">
        <v>1.6627720985E10</v>
      </c>
      <c r="D804" s="286" t="s">
        <v>3125</v>
      </c>
      <c r="E804" s="286" t="s">
        <v>2278</v>
      </c>
    </row>
    <row r="805">
      <c r="A805" s="286" t="s">
        <v>1304</v>
      </c>
      <c r="B805" s="262" t="s">
        <v>1681</v>
      </c>
      <c r="C805" s="287">
        <v>1.6784783337E10</v>
      </c>
      <c r="D805" s="286" t="s">
        <v>3126</v>
      </c>
      <c r="E805" s="286" t="s">
        <v>2097</v>
      </c>
    </row>
    <row r="806">
      <c r="A806" s="286" t="s">
        <v>1779</v>
      </c>
      <c r="B806" s="262" t="s">
        <v>2506</v>
      </c>
      <c r="C806" s="287">
        <v>1.9728158335E10</v>
      </c>
      <c r="D806" s="286" t="s">
        <v>3127</v>
      </c>
      <c r="E806" s="286" t="s">
        <v>1409</v>
      </c>
    </row>
    <row r="807">
      <c r="A807" s="286" t="s">
        <v>3128</v>
      </c>
      <c r="B807" s="262" t="s">
        <v>3129</v>
      </c>
      <c r="C807" s="287">
        <v>1.6153899099E10</v>
      </c>
      <c r="D807" s="286" t="s">
        <v>3130</v>
      </c>
      <c r="E807" s="286" t="s">
        <v>1298</v>
      </c>
    </row>
    <row r="808">
      <c r="A808" s="286" t="s">
        <v>2632</v>
      </c>
      <c r="C808" s="287">
        <v>1.6267311587E10</v>
      </c>
      <c r="D808" s="286" t="s">
        <v>3131</v>
      </c>
      <c r="E808" s="286" t="s">
        <v>1307</v>
      </c>
    </row>
    <row r="809">
      <c r="A809" s="286" t="s">
        <v>2259</v>
      </c>
      <c r="B809" s="286" t="s">
        <v>2074</v>
      </c>
      <c r="C809" s="287">
        <v>1.7866600808E10</v>
      </c>
      <c r="D809" s="286" t="s">
        <v>3132</v>
      </c>
      <c r="E809" s="286" t="s">
        <v>2525</v>
      </c>
    </row>
    <row r="810">
      <c r="A810" s="286" t="s">
        <v>3133</v>
      </c>
      <c r="B810" s="286" t="s">
        <v>1579</v>
      </c>
      <c r="C810" s="287">
        <v>1.3852668806E10</v>
      </c>
      <c r="D810" s="286" t="s">
        <v>3134</v>
      </c>
      <c r="E810" s="286" t="s">
        <v>2525</v>
      </c>
    </row>
    <row r="811">
      <c r="A811" s="286" t="s">
        <v>3135</v>
      </c>
      <c r="B811" s="286" t="s">
        <v>1384</v>
      </c>
      <c r="C811" s="287">
        <v>1.3476035616E10</v>
      </c>
      <c r="D811" s="286" t="s">
        <v>3136</v>
      </c>
      <c r="E811" s="286" t="s">
        <v>2796</v>
      </c>
    </row>
    <row r="812">
      <c r="A812" s="286" t="s">
        <v>3137</v>
      </c>
      <c r="B812" s="286" t="s">
        <v>3138</v>
      </c>
      <c r="C812" s="287">
        <v>1.5163107271E10</v>
      </c>
      <c r="D812" s="286" t="s">
        <v>3139</v>
      </c>
      <c r="E812" s="286" t="s">
        <v>1414</v>
      </c>
    </row>
    <row r="813">
      <c r="A813" s="286" t="s">
        <v>589</v>
      </c>
      <c r="B813" s="262" t="s">
        <v>3140</v>
      </c>
      <c r="C813" s="287">
        <v>1.7864525552E10</v>
      </c>
      <c r="D813" s="286" t="s">
        <v>3141</v>
      </c>
      <c r="E813" s="286" t="s">
        <v>2097</v>
      </c>
    </row>
    <row r="814">
      <c r="A814" s="286" t="s">
        <v>3142</v>
      </c>
      <c r="B814" s="286" t="s">
        <v>3143</v>
      </c>
      <c r="C814" s="288">
        <v>5.73155E16</v>
      </c>
      <c r="D814" s="286" t="s">
        <v>3144</v>
      </c>
      <c r="E814" s="286" t="s">
        <v>1307</v>
      </c>
    </row>
    <row r="815">
      <c r="A815" s="286" t="s">
        <v>3145</v>
      </c>
      <c r="B815" s="262" t="s">
        <v>3146</v>
      </c>
      <c r="C815" s="287">
        <v>1.806841095E10</v>
      </c>
      <c r="D815" s="286" t="s">
        <v>3147</v>
      </c>
      <c r="E815" s="286" t="s">
        <v>1409</v>
      </c>
    </row>
    <row r="816">
      <c r="A816" s="286" t="s">
        <v>2669</v>
      </c>
      <c r="B816" s="262" t="s">
        <v>2887</v>
      </c>
      <c r="C816" s="287">
        <v>1.5615280192E10</v>
      </c>
      <c r="D816" s="286" t="s">
        <v>3148</v>
      </c>
      <c r="E816" s="286" t="s">
        <v>1409</v>
      </c>
    </row>
    <row r="817">
      <c r="A817" s="286" t="s">
        <v>1636</v>
      </c>
      <c r="B817" s="262"/>
      <c r="C817" s="287">
        <v>1.7862906239E10</v>
      </c>
      <c r="D817" s="286" t="s">
        <v>3149</v>
      </c>
      <c r="E817" s="286" t="s">
        <v>1307</v>
      </c>
    </row>
    <row r="818">
      <c r="A818" s="286" t="s">
        <v>2368</v>
      </c>
      <c r="B818" s="262"/>
      <c r="C818" s="287">
        <v>1.9099977002E10</v>
      </c>
      <c r="D818" s="286" t="s">
        <v>3150</v>
      </c>
      <c r="E818" s="286" t="s">
        <v>1409</v>
      </c>
    </row>
    <row r="819">
      <c r="A819" s="286" t="s">
        <v>1319</v>
      </c>
      <c r="B819" s="286" t="s">
        <v>3151</v>
      </c>
      <c r="C819" s="287">
        <v>1.3475927704E10</v>
      </c>
      <c r="D819" s="286" t="s">
        <v>3152</v>
      </c>
      <c r="E819" s="286" t="s">
        <v>1307</v>
      </c>
    </row>
    <row r="820">
      <c r="A820" s="286" t="s">
        <v>3153</v>
      </c>
      <c r="B820" s="286" t="s">
        <v>3154</v>
      </c>
      <c r="C820" s="287">
        <v>1.2672707689E10</v>
      </c>
      <c r="D820" s="286" t="s">
        <v>3155</v>
      </c>
      <c r="E820" s="286" t="s">
        <v>1577</v>
      </c>
    </row>
    <row r="821">
      <c r="A821" s="286" t="s">
        <v>3156</v>
      </c>
      <c r="B821" s="286" t="s">
        <v>1424</v>
      </c>
      <c r="C821" s="287">
        <v>1.571269204E10</v>
      </c>
      <c r="D821" s="286" t="s">
        <v>3157</v>
      </c>
      <c r="E821" s="286" t="s">
        <v>1307</v>
      </c>
    </row>
    <row r="822">
      <c r="A822" s="286" t="s">
        <v>3158</v>
      </c>
      <c r="B822" s="286" t="s">
        <v>3159</v>
      </c>
      <c r="C822" s="287">
        <v>1.8327402811E10</v>
      </c>
      <c r="D822" s="286" t="s">
        <v>3160</v>
      </c>
      <c r="E822" s="286" t="s">
        <v>2525</v>
      </c>
    </row>
    <row r="823">
      <c r="A823" s="286" t="s">
        <v>1596</v>
      </c>
      <c r="B823" s="262"/>
      <c r="C823" s="287">
        <v>1.9565698086E10</v>
      </c>
      <c r="D823" s="286" t="s">
        <v>3161</v>
      </c>
      <c r="E823" s="286" t="s">
        <v>1409</v>
      </c>
    </row>
    <row r="824">
      <c r="A824" s="286" t="s">
        <v>1344</v>
      </c>
      <c r="B824" s="262" t="s">
        <v>3162</v>
      </c>
      <c r="C824" s="287">
        <v>1.3102519443E10</v>
      </c>
      <c r="D824" s="286" t="s">
        <v>3163</v>
      </c>
      <c r="E824" s="286" t="s">
        <v>2097</v>
      </c>
    </row>
    <row r="825">
      <c r="A825" s="286" t="s">
        <v>1610</v>
      </c>
      <c r="B825" s="286" t="s">
        <v>1677</v>
      </c>
      <c r="C825" s="287">
        <v>1.5514038844E10</v>
      </c>
      <c r="D825" s="286" t="s">
        <v>3164</v>
      </c>
      <c r="E825" s="286" t="s">
        <v>1307</v>
      </c>
    </row>
    <row r="826">
      <c r="A826" s="286" t="s">
        <v>3165</v>
      </c>
      <c r="B826" s="286" t="s">
        <v>3166</v>
      </c>
      <c r="C826" s="287">
        <v>1.7089946605E10</v>
      </c>
      <c r="D826" s="286" t="s">
        <v>3167</v>
      </c>
      <c r="E826" s="286" t="s">
        <v>1307</v>
      </c>
    </row>
    <row r="827">
      <c r="A827" s="286" t="s">
        <v>3168</v>
      </c>
      <c r="C827" s="287">
        <v>1.7028096037E10</v>
      </c>
      <c r="D827" s="286" t="s">
        <v>3169</v>
      </c>
      <c r="E827" s="286" t="s">
        <v>1307</v>
      </c>
    </row>
    <row r="828">
      <c r="A828" s="286" t="s">
        <v>1406</v>
      </c>
      <c r="B828" s="262" t="s">
        <v>3170</v>
      </c>
      <c r="C828" s="287">
        <v>1.9543974903E10</v>
      </c>
      <c r="D828" s="286" t="s">
        <v>3171</v>
      </c>
      <c r="E828" s="286" t="s">
        <v>1409</v>
      </c>
    </row>
    <row r="829">
      <c r="A829" s="286" t="s">
        <v>1984</v>
      </c>
      <c r="B829" s="286" t="s">
        <v>3172</v>
      </c>
      <c r="C829" s="287">
        <v>1.7722695109E10</v>
      </c>
      <c r="D829" s="286" t="s">
        <v>3173</v>
      </c>
      <c r="E829" s="286" t="s">
        <v>1307</v>
      </c>
    </row>
    <row r="830">
      <c r="A830" s="286" t="s">
        <v>3174</v>
      </c>
      <c r="B830" s="286" t="s">
        <v>3175</v>
      </c>
      <c r="C830" s="287">
        <v>1.9047535903E10</v>
      </c>
      <c r="D830" s="286" t="s">
        <v>3176</v>
      </c>
      <c r="E830" s="286" t="s">
        <v>1307</v>
      </c>
    </row>
    <row r="831">
      <c r="A831" s="286" t="s">
        <v>1779</v>
      </c>
      <c r="B831" s="262" t="s">
        <v>3177</v>
      </c>
      <c r="C831" s="287">
        <v>1.8328632252E10</v>
      </c>
      <c r="D831" s="286" t="s">
        <v>3178</v>
      </c>
      <c r="E831" s="286" t="s">
        <v>2097</v>
      </c>
    </row>
    <row r="832">
      <c r="A832" s="286" t="s">
        <v>1327</v>
      </c>
      <c r="B832" s="262" t="s">
        <v>3179</v>
      </c>
      <c r="C832" s="287">
        <v>1.9562023571E10</v>
      </c>
      <c r="D832" s="286" t="s">
        <v>3180</v>
      </c>
      <c r="E832" s="286" t="s">
        <v>2097</v>
      </c>
    </row>
    <row r="833">
      <c r="A833" s="286" t="s">
        <v>3181</v>
      </c>
      <c r="B833" s="262" t="s">
        <v>3182</v>
      </c>
      <c r="C833" s="287">
        <v>1.3852216063E10</v>
      </c>
      <c r="D833" s="286" t="s">
        <v>3183</v>
      </c>
      <c r="E833" s="286" t="s">
        <v>1409</v>
      </c>
    </row>
    <row r="834">
      <c r="A834" s="286" t="s">
        <v>1766</v>
      </c>
      <c r="B834" s="262" t="s">
        <v>2461</v>
      </c>
      <c r="C834" s="287">
        <v>1.7866249229E10</v>
      </c>
      <c r="D834" s="286" t="s">
        <v>3184</v>
      </c>
      <c r="E834" s="286" t="s">
        <v>1298</v>
      </c>
    </row>
    <row r="835">
      <c r="A835" s="286" t="s">
        <v>1344</v>
      </c>
      <c r="B835" s="262" t="s">
        <v>3185</v>
      </c>
      <c r="C835" s="287">
        <v>1.608504846E10</v>
      </c>
      <c r="D835" s="286" t="s">
        <v>3186</v>
      </c>
      <c r="E835" s="286" t="s">
        <v>1409</v>
      </c>
    </row>
    <row r="836">
      <c r="A836" s="286" t="s">
        <v>3187</v>
      </c>
      <c r="B836" s="262" t="s">
        <v>3024</v>
      </c>
      <c r="C836" s="287">
        <v>1.201868435E10</v>
      </c>
      <c r="D836" s="286" t="s">
        <v>3188</v>
      </c>
      <c r="E836" s="286" t="s">
        <v>1409</v>
      </c>
    </row>
    <row r="837">
      <c r="A837" s="286" t="s">
        <v>2064</v>
      </c>
      <c r="B837" s="286" t="s">
        <v>3189</v>
      </c>
      <c r="C837" s="287">
        <v>1.5082931528E10</v>
      </c>
      <c r="D837" s="286" t="s">
        <v>3190</v>
      </c>
      <c r="E837" s="286" t="s">
        <v>1307</v>
      </c>
    </row>
    <row r="838">
      <c r="A838" s="286" t="s">
        <v>3191</v>
      </c>
      <c r="B838" s="286" t="s">
        <v>3192</v>
      </c>
      <c r="C838" s="287">
        <v>1.3238474777E10</v>
      </c>
      <c r="D838" s="286" t="s">
        <v>3193</v>
      </c>
      <c r="E838" s="286" t="s">
        <v>2354</v>
      </c>
    </row>
    <row r="839">
      <c r="A839" s="286" t="s">
        <v>1356</v>
      </c>
      <c r="B839" s="262" t="s">
        <v>3118</v>
      </c>
      <c r="C839" s="287">
        <v>1.7864882649E10</v>
      </c>
      <c r="D839" s="286" t="s">
        <v>3194</v>
      </c>
      <c r="E839" s="286" t="s">
        <v>1409</v>
      </c>
    </row>
    <row r="840">
      <c r="A840" s="286" t="s">
        <v>3195</v>
      </c>
      <c r="B840" s="286" t="s">
        <v>3196</v>
      </c>
      <c r="C840" s="287">
        <v>1.3462103838E10</v>
      </c>
      <c r="D840" s="286" t="s">
        <v>3197</v>
      </c>
      <c r="E840" s="286" t="s">
        <v>2215</v>
      </c>
    </row>
    <row r="841">
      <c r="A841" s="286" t="s">
        <v>3198</v>
      </c>
      <c r="B841" s="286" t="s">
        <v>3199</v>
      </c>
      <c r="C841" s="287">
        <v>1.713366985E10</v>
      </c>
      <c r="D841" s="286" t="s">
        <v>3200</v>
      </c>
      <c r="E841" s="286" t="s">
        <v>1307</v>
      </c>
    </row>
    <row r="842">
      <c r="A842" s="286" t="s">
        <v>3201</v>
      </c>
      <c r="B842" s="262" t="s">
        <v>3202</v>
      </c>
      <c r="C842" s="287">
        <v>1.2136519531E10</v>
      </c>
      <c r="D842" s="286" t="s">
        <v>3203</v>
      </c>
      <c r="E842" s="286" t="s">
        <v>1298</v>
      </c>
    </row>
    <row r="843">
      <c r="A843" s="286" t="s">
        <v>3204</v>
      </c>
      <c r="B843" s="262" t="s">
        <v>3205</v>
      </c>
      <c r="C843" s="287">
        <v>1.3059720509E10</v>
      </c>
      <c r="D843" s="286" t="s">
        <v>3206</v>
      </c>
      <c r="E843" s="286" t="s">
        <v>1409</v>
      </c>
    </row>
    <row r="844">
      <c r="A844" s="286" t="s">
        <v>3207</v>
      </c>
      <c r="B844" s="286" t="s">
        <v>3208</v>
      </c>
      <c r="C844" s="287">
        <v>1.5618128495E10</v>
      </c>
      <c r="D844" s="286" t="s">
        <v>3209</v>
      </c>
      <c r="E844" s="286" t="s">
        <v>1534</v>
      </c>
    </row>
    <row r="845">
      <c r="A845" s="286" t="s">
        <v>1556</v>
      </c>
      <c r="B845" s="286" t="s">
        <v>3210</v>
      </c>
      <c r="C845" s="287">
        <v>1.7027820928E10</v>
      </c>
      <c r="D845" s="286" t="s">
        <v>3211</v>
      </c>
      <c r="E845" s="286" t="s">
        <v>1860</v>
      </c>
    </row>
    <row r="846">
      <c r="A846" s="286" t="s">
        <v>1344</v>
      </c>
      <c r="B846" s="286" t="s">
        <v>2444</v>
      </c>
      <c r="C846" s="287">
        <v>1.3524317534E10</v>
      </c>
      <c r="D846" s="286" t="s">
        <v>3212</v>
      </c>
      <c r="E846" s="286" t="s">
        <v>1307</v>
      </c>
    </row>
    <row r="847">
      <c r="A847" s="286" t="s">
        <v>3213</v>
      </c>
      <c r="B847" s="286" t="s">
        <v>1430</v>
      </c>
      <c r="C847" s="287">
        <v>1.6466037346E10</v>
      </c>
      <c r="D847" s="286" t="s">
        <v>3214</v>
      </c>
      <c r="E847" s="286" t="s">
        <v>1307</v>
      </c>
    </row>
    <row r="848">
      <c r="A848" s="286" t="s">
        <v>3215</v>
      </c>
      <c r="B848" s="262" t="s">
        <v>1366</v>
      </c>
      <c r="C848" s="287">
        <v>1.2109662489E10</v>
      </c>
      <c r="D848" s="286" t="s">
        <v>3216</v>
      </c>
      <c r="E848" s="286" t="s">
        <v>1409</v>
      </c>
    </row>
    <row r="849">
      <c r="A849" s="286" t="s">
        <v>3217</v>
      </c>
      <c r="B849" s="262" t="s">
        <v>3218</v>
      </c>
      <c r="C849" s="287">
        <v>1.9084040008E10</v>
      </c>
      <c r="D849" s="286" t="s">
        <v>3219</v>
      </c>
      <c r="E849" s="286" t="s">
        <v>1409</v>
      </c>
    </row>
    <row r="850">
      <c r="A850" s="286" t="s">
        <v>3220</v>
      </c>
      <c r="B850" s="286" t="s">
        <v>1734</v>
      </c>
      <c r="C850" s="287">
        <v>1.6693358716E10</v>
      </c>
      <c r="D850" s="286" t="s">
        <v>3221</v>
      </c>
      <c r="E850" s="286" t="s">
        <v>1307</v>
      </c>
    </row>
    <row r="851">
      <c r="A851" s="286" t="s">
        <v>545</v>
      </c>
      <c r="B851" s="262" t="s">
        <v>1345</v>
      </c>
      <c r="C851" s="287">
        <v>1.8454619656E10</v>
      </c>
      <c r="D851" s="286" t="s">
        <v>3222</v>
      </c>
      <c r="E851" s="286" t="s">
        <v>1409</v>
      </c>
    </row>
    <row r="852">
      <c r="A852" s="286" t="s">
        <v>1733</v>
      </c>
      <c r="B852" s="262" t="s">
        <v>2990</v>
      </c>
      <c r="C852" s="287">
        <v>1.3467301285E10</v>
      </c>
      <c r="D852" s="286" t="s">
        <v>3223</v>
      </c>
      <c r="E852" s="286" t="s">
        <v>1409</v>
      </c>
    </row>
    <row r="853">
      <c r="A853" s="286" t="s">
        <v>3224</v>
      </c>
      <c r="B853" s="286" t="s">
        <v>3225</v>
      </c>
      <c r="C853" s="287">
        <v>1.6013311631E10</v>
      </c>
      <c r="D853" s="286" t="s">
        <v>3226</v>
      </c>
      <c r="E853" s="286" t="s">
        <v>1307</v>
      </c>
    </row>
    <row r="854">
      <c r="A854" s="286" t="s">
        <v>981</v>
      </c>
      <c r="B854" s="286" t="s">
        <v>3227</v>
      </c>
      <c r="C854" s="287">
        <v>1.2092071277E10</v>
      </c>
      <c r="D854" s="286" t="s">
        <v>3228</v>
      </c>
      <c r="E854" s="286" t="s">
        <v>1307</v>
      </c>
    </row>
    <row r="855">
      <c r="A855" s="286" t="s">
        <v>3229</v>
      </c>
      <c r="B855" s="262" t="s">
        <v>3230</v>
      </c>
      <c r="C855" s="287">
        <v>1.3412369889E10</v>
      </c>
      <c r="D855" s="286" t="s">
        <v>3231</v>
      </c>
      <c r="E855" s="286" t="s">
        <v>1409</v>
      </c>
    </row>
    <row r="856">
      <c r="A856" s="286" t="s">
        <v>1615</v>
      </c>
      <c r="B856" s="262" t="s">
        <v>3232</v>
      </c>
      <c r="C856" s="287">
        <v>1.2093314914E10</v>
      </c>
      <c r="D856" s="286" t="s">
        <v>3233</v>
      </c>
      <c r="E856" s="286" t="s">
        <v>1409</v>
      </c>
    </row>
    <row r="857">
      <c r="A857" s="286" t="s">
        <v>3234</v>
      </c>
      <c r="B857" s="286" t="s">
        <v>3235</v>
      </c>
      <c r="C857" s="287">
        <v>1.9084993951E10</v>
      </c>
      <c r="D857" s="286" t="s">
        <v>3236</v>
      </c>
      <c r="E857" s="286" t="s">
        <v>2896</v>
      </c>
    </row>
    <row r="858">
      <c r="A858" s="286" t="s">
        <v>3237</v>
      </c>
      <c r="B858" s="286" t="s">
        <v>3238</v>
      </c>
      <c r="C858" s="287">
        <v>1.2035016762E10</v>
      </c>
      <c r="D858" s="286" t="s">
        <v>3239</v>
      </c>
      <c r="E858" s="286" t="s">
        <v>1307</v>
      </c>
    </row>
    <row r="859">
      <c r="A859" s="286" t="s">
        <v>3240</v>
      </c>
      <c r="B859" s="262" t="s">
        <v>1468</v>
      </c>
      <c r="C859" s="287">
        <v>1.8325979325E10</v>
      </c>
      <c r="D859" s="286" t="s">
        <v>3241</v>
      </c>
      <c r="E859" s="286" t="s">
        <v>1409</v>
      </c>
    </row>
    <row r="860">
      <c r="A860" s="286" t="s">
        <v>1465</v>
      </c>
      <c r="B860" s="286" t="s">
        <v>3242</v>
      </c>
      <c r="C860" s="287">
        <v>1.832563867E10</v>
      </c>
      <c r="D860" s="286" t="s">
        <v>3243</v>
      </c>
      <c r="E860" s="286" t="s">
        <v>1307</v>
      </c>
    </row>
    <row r="861">
      <c r="A861" s="286" t="s">
        <v>2316</v>
      </c>
      <c r="B861" s="262"/>
      <c r="C861" s="287">
        <v>1.7865973396E10</v>
      </c>
      <c r="D861" s="286" t="s">
        <v>3244</v>
      </c>
      <c r="E861" s="286" t="s">
        <v>1409</v>
      </c>
    </row>
    <row r="862">
      <c r="A862" s="286" t="s">
        <v>3245</v>
      </c>
      <c r="B862" s="262"/>
      <c r="C862" s="287">
        <v>1.6469862748E10</v>
      </c>
      <c r="D862" s="286" t="s">
        <v>3246</v>
      </c>
      <c r="E862" s="286" t="s">
        <v>1409</v>
      </c>
    </row>
    <row r="863">
      <c r="A863" s="286" t="s">
        <v>1344</v>
      </c>
      <c r="B863" s="262" t="s">
        <v>2016</v>
      </c>
      <c r="C863" s="287">
        <v>1.9566006882E10</v>
      </c>
      <c r="D863" s="286" t="s">
        <v>3247</v>
      </c>
      <c r="E863" s="286" t="s">
        <v>1409</v>
      </c>
    </row>
    <row r="864">
      <c r="A864" s="286" t="s">
        <v>3248</v>
      </c>
      <c r="B864" s="262" t="s">
        <v>3249</v>
      </c>
      <c r="C864" s="287">
        <v>1.3477443743E10</v>
      </c>
      <c r="D864" s="286" t="s">
        <v>3250</v>
      </c>
      <c r="E864" s="286" t="s">
        <v>1409</v>
      </c>
    </row>
    <row r="865">
      <c r="A865" s="286" t="s">
        <v>1406</v>
      </c>
      <c r="B865" s="262"/>
      <c r="C865" s="287">
        <v>1.9548683575E10</v>
      </c>
      <c r="D865" s="286" t="s">
        <v>3251</v>
      </c>
      <c r="E865" s="286" t="s">
        <v>2591</v>
      </c>
    </row>
    <row r="866">
      <c r="A866" s="286" t="s">
        <v>981</v>
      </c>
      <c r="B866" s="286" t="s">
        <v>3252</v>
      </c>
      <c r="C866" s="287">
        <v>1.9724155897E10</v>
      </c>
      <c r="D866" s="286" t="s">
        <v>3253</v>
      </c>
      <c r="E866" s="286" t="s">
        <v>1307</v>
      </c>
    </row>
    <row r="867">
      <c r="A867" s="286" t="s">
        <v>3254</v>
      </c>
      <c r="B867" s="286" t="s">
        <v>3255</v>
      </c>
      <c r="C867" s="287">
        <v>1.5616685464E10</v>
      </c>
      <c r="D867" s="286" t="s">
        <v>3256</v>
      </c>
      <c r="E867" s="286" t="s">
        <v>1307</v>
      </c>
    </row>
    <row r="868">
      <c r="A868" s="286" t="s">
        <v>579</v>
      </c>
      <c r="B868" s="286" t="s">
        <v>3257</v>
      </c>
      <c r="C868" s="287">
        <v>1.4709492823E10</v>
      </c>
      <c r="D868" s="286" t="s">
        <v>3258</v>
      </c>
      <c r="E868" s="286" t="s">
        <v>1307</v>
      </c>
    </row>
    <row r="869">
      <c r="A869" s="286" t="s">
        <v>3259</v>
      </c>
      <c r="B869" s="286" t="s">
        <v>3260</v>
      </c>
      <c r="C869" s="287">
        <v>1.2134142905E10</v>
      </c>
      <c r="D869" s="286" t="s">
        <v>3261</v>
      </c>
      <c r="E869" s="286" t="s">
        <v>1307</v>
      </c>
    </row>
    <row r="870">
      <c r="A870" s="286" t="s">
        <v>3262</v>
      </c>
      <c r="B870" s="262"/>
      <c r="C870" s="287">
        <v>1.909273428E10</v>
      </c>
      <c r="D870" s="286" t="s">
        <v>3263</v>
      </c>
      <c r="E870" s="286" t="s">
        <v>1409</v>
      </c>
    </row>
    <row r="871">
      <c r="A871" s="286" t="s">
        <v>3217</v>
      </c>
      <c r="B871" s="262" t="s">
        <v>2436</v>
      </c>
      <c r="C871" s="287">
        <v>1.8134513091E10</v>
      </c>
      <c r="D871" s="286" t="s">
        <v>3264</v>
      </c>
      <c r="E871" s="286" t="s">
        <v>1409</v>
      </c>
    </row>
    <row r="872">
      <c r="A872" s="286" t="s">
        <v>1763</v>
      </c>
      <c r="B872" s="286" t="s">
        <v>3265</v>
      </c>
      <c r="C872" s="287">
        <v>1.4059197702E10</v>
      </c>
      <c r="D872" s="286" t="s">
        <v>3266</v>
      </c>
      <c r="E872" s="286" t="s">
        <v>1738</v>
      </c>
    </row>
    <row r="873">
      <c r="A873" s="286" t="s">
        <v>1501</v>
      </c>
      <c r="B873" s="286" t="s">
        <v>2213</v>
      </c>
      <c r="C873" s="287">
        <v>1.5029032241E10</v>
      </c>
      <c r="D873" s="286" t="s">
        <v>3267</v>
      </c>
      <c r="E873" s="286" t="s">
        <v>298</v>
      </c>
    </row>
    <row r="874">
      <c r="A874" s="286" t="s">
        <v>1802</v>
      </c>
      <c r="B874" s="286" t="s">
        <v>1530</v>
      </c>
      <c r="C874" s="287">
        <v>1.9546386532E10</v>
      </c>
      <c r="D874" s="286" t="s">
        <v>3268</v>
      </c>
      <c r="E874" s="286" t="s">
        <v>1307</v>
      </c>
    </row>
    <row r="875">
      <c r="A875" s="286" t="s">
        <v>3269</v>
      </c>
      <c r="B875" s="286" t="s">
        <v>3270</v>
      </c>
      <c r="C875" s="287">
        <v>1.2073177609E10</v>
      </c>
      <c r="D875" s="286" t="s">
        <v>3271</v>
      </c>
      <c r="E875" s="286" t="s">
        <v>3272</v>
      </c>
    </row>
    <row r="876">
      <c r="A876" s="286" t="s">
        <v>2971</v>
      </c>
      <c r="B876" s="262" t="s">
        <v>1357</v>
      </c>
      <c r="C876" s="287">
        <v>1.5059074809E10</v>
      </c>
      <c r="D876" s="286" t="s">
        <v>3273</v>
      </c>
      <c r="E876" s="286" t="s">
        <v>1409</v>
      </c>
    </row>
    <row r="877">
      <c r="A877" s="286" t="s">
        <v>1650</v>
      </c>
      <c r="B877" s="286" t="s">
        <v>3274</v>
      </c>
      <c r="C877" s="287">
        <v>1.929350395E10</v>
      </c>
      <c r="D877" s="286" t="s">
        <v>3275</v>
      </c>
      <c r="E877" s="286" t="s">
        <v>1738</v>
      </c>
    </row>
    <row r="878">
      <c r="A878" s="286" t="s">
        <v>2898</v>
      </c>
      <c r="B878" s="286" t="s">
        <v>3276</v>
      </c>
      <c r="C878" s="287">
        <v>1.4088306622E10</v>
      </c>
      <c r="D878" s="286" t="s">
        <v>3277</v>
      </c>
      <c r="E878" s="286" t="s">
        <v>1738</v>
      </c>
    </row>
    <row r="879">
      <c r="A879" s="286" t="s">
        <v>3278</v>
      </c>
      <c r="B879" s="286" t="s">
        <v>3279</v>
      </c>
      <c r="C879" s="287">
        <v>1.3479909488E10</v>
      </c>
      <c r="D879" s="286" t="s">
        <v>3280</v>
      </c>
      <c r="E879" s="286" t="s">
        <v>2896</v>
      </c>
    </row>
    <row r="880">
      <c r="A880" s="286" t="s">
        <v>1394</v>
      </c>
      <c r="B880" s="262" t="s">
        <v>3281</v>
      </c>
      <c r="C880" s="287">
        <v>1.9518507289E10</v>
      </c>
      <c r="D880" s="286" t="s">
        <v>3282</v>
      </c>
      <c r="E880" s="286" t="s">
        <v>1409</v>
      </c>
    </row>
    <row r="881">
      <c r="A881" s="286" t="s">
        <v>3283</v>
      </c>
      <c r="B881" s="262" t="s">
        <v>1569</v>
      </c>
      <c r="C881" s="287">
        <v>1.7866317751E10</v>
      </c>
      <c r="D881" s="286" t="s">
        <v>3284</v>
      </c>
      <c r="E881" s="286" t="s">
        <v>1409</v>
      </c>
    </row>
    <row r="882">
      <c r="A882" s="286" t="s">
        <v>1805</v>
      </c>
      <c r="B882" s="262" t="s">
        <v>1430</v>
      </c>
      <c r="C882" s="287">
        <v>1.7035594075E10</v>
      </c>
      <c r="D882" s="286" t="s">
        <v>3285</v>
      </c>
      <c r="E882" s="286" t="s">
        <v>1409</v>
      </c>
    </row>
    <row r="883">
      <c r="A883" s="286" t="s">
        <v>3286</v>
      </c>
      <c r="B883" s="286" t="s">
        <v>3287</v>
      </c>
      <c r="C883" s="287">
        <v>1.5049208785E10</v>
      </c>
      <c r="D883" s="286" t="s">
        <v>3288</v>
      </c>
      <c r="E883" s="286" t="s">
        <v>1307</v>
      </c>
    </row>
    <row r="884">
      <c r="A884" s="286" t="s">
        <v>1817</v>
      </c>
      <c r="B884" s="286" t="s">
        <v>3289</v>
      </c>
      <c r="C884" s="287">
        <v>1.7723237003E10</v>
      </c>
      <c r="D884" s="286" t="s">
        <v>3290</v>
      </c>
      <c r="E884" s="286" t="s">
        <v>1307</v>
      </c>
    </row>
    <row r="885">
      <c r="A885" s="286" t="s">
        <v>3291</v>
      </c>
      <c r="B885" s="262" t="s">
        <v>1536</v>
      </c>
      <c r="C885" s="287">
        <v>1.7325565492E10</v>
      </c>
      <c r="D885" s="286" t="s">
        <v>3292</v>
      </c>
      <c r="E885" s="286" t="s">
        <v>1409</v>
      </c>
    </row>
    <row r="886">
      <c r="A886" s="286" t="s">
        <v>2084</v>
      </c>
      <c r="B886" s="286" t="s">
        <v>3293</v>
      </c>
      <c r="C886" s="287">
        <v>1.2163146525E10</v>
      </c>
      <c r="D886" s="286" t="s">
        <v>3294</v>
      </c>
      <c r="E886" s="286" t="s">
        <v>1307</v>
      </c>
    </row>
    <row r="887">
      <c r="A887" s="286" t="s">
        <v>1134</v>
      </c>
      <c r="B887" s="286" t="s">
        <v>3295</v>
      </c>
      <c r="C887" s="287">
        <v>1.407749311E10</v>
      </c>
      <c r="D887" s="286" t="s">
        <v>3296</v>
      </c>
      <c r="E887" s="286" t="s">
        <v>1738</v>
      </c>
    </row>
    <row r="888">
      <c r="A888" s="286" t="s">
        <v>3297</v>
      </c>
      <c r="B888" s="262"/>
      <c r="C888" s="287">
        <v>1.3864507208E10</v>
      </c>
      <c r="D888" s="286" t="s">
        <v>3298</v>
      </c>
      <c r="E888" s="286" t="s">
        <v>1738</v>
      </c>
    </row>
    <row r="889">
      <c r="A889" s="286" t="s">
        <v>3299</v>
      </c>
      <c r="B889" s="286" t="s">
        <v>1618</v>
      </c>
      <c r="C889" s="287">
        <v>1.7867621375E10</v>
      </c>
      <c r="D889" s="286" t="s">
        <v>3300</v>
      </c>
      <c r="E889" s="286" t="s">
        <v>1534</v>
      </c>
    </row>
    <row r="890">
      <c r="A890" s="286" t="s">
        <v>2141</v>
      </c>
      <c r="B890" s="286" t="s">
        <v>3301</v>
      </c>
      <c r="C890" s="287">
        <v>1.7874622535E10</v>
      </c>
      <c r="D890" s="286" t="s">
        <v>3302</v>
      </c>
      <c r="E890" s="286" t="s">
        <v>1738</v>
      </c>
    </row>
    <row r="891">
      <c r="A891" s="286" t="s">
        <v>1100</v>
      </c>
      <c r="B891" s="286" t="s">
        <v>3063</v>
      </c>
      <c r="C891" s="287">
        <v>1.4058017923E10</v>
      </c>
      <c r="D891" s="286" t="s">
        <v>3303</v>
      </c>
      <c r="E891" s="286" t="s">
        <v>1307</v>
      </c>
    </row>
    <row r="892">
      <c r="A892" s="286" t="s">
        <v>3304</v>
      </c>
      <c r="B892" s="262" t="s">
        <v>3305</v>
      </c>
      <c r="C892" s="287">
        <v>1.562681923E10</v>
      </c>
      <c r="D892" s="286" t="s">
        <v>3306</v>
      </c>
      <c r="E892" s="286" t="s">
        <v>1409</v>
      </c>
    </row>
    <row r="893">
      <c r="A893" s="286" t="s">
        <v>3307</v>
      </c>
      <c r="B893" s="262"/>
      <c r="C893" s="287">
        <v>1.9542268313E10</v>
      </c>
      <c r="D893" s="286" t="s">
        <v>3308</v>
      </c>
      <c r="E893" s="286" t="s">
        <v>1738</v>
      </c>
    </row>
    <row r="894">
      <c r="A894" s="286" t="s">
        <v>3309</v>
      </c>
      <c r="B894" s="262" t="s">
        <v>2077</v>
      </c>
      <c r="C894" s="287">
        <v>1.786468581E10</v>
      </c>
      <c r="D894" s="286" t="s">
        <v>3310</v>
      </c>
      <c r="E894" s="286" t="s">
        <v>1409</v>
      </c>
    </row>
    <row r="895">
      <c r="A895" s="286" t="s">
        <v>1117</v>
      </c>
      <c r="B895" s="262"/>
      <c r="C895" s="287">
        <v>1.92951495E10</v>
      </c>
      <c r="D895" s="286" t="s">
        <v>3311</v>
      </c>
      <c r="E895" s="286" t="s">
        <v>1307</v>
      </c>
    </row>
    <row r="896">
      <c r="A896" s="286" t="s">
        <v>1636</v>
      </c>
      <c r="B896" s="286" t="s">
        <v>2176</v>
      </c>
      <c r="C896" s="287">
        <v>1.9174029656E10</v>
      </c>
      <c r="D896" s="286" t="s">
        <v>3312</v>
      </c>
      <c r="E896" s="286" t="s">
        <v>1307</v>
      </c>
    </row>
    <row r="897">
      <c r="A897" s="286" t="s">
        <v>1925</v>
      </c>
      <c r="B897" s="286" t="s">
        <v>3313</v>
      </c>
      <c r="C897" s="287">
        <v>1.6623715236E10</v>
      </c>
      <c r="D897" s="286" t="s">
        <v>3314</v>
      </c>
      <c r="E897" s="286" t="s">
        <v>1307</v>
      </c>
    </row>
    <row r="898">
      <c r="A898" s="286" t="s">
        <v>3315</v>
      </c>
      <c r="B898" s="286" t="s">
        <v>3316</v>
      </c>
      <c r="C898" s="287">
        <v>1.7209350726E10</v>
      </c>
      <c r="D898" s="286" t="s">
        <v>3317</v>
      </c>
      <c r="E898" s="286" t="s">
        <v>1307</v>
      </c>
    </row>
    <row r="899">
      <c r="A899" s="286" t="s">
        <v>2357</v>
      </c>
      <c r="B899" s="262" t="s">
        <v>3318</v>
      </c>
      <c r="C899" s="287">
        <v>1.9319805931E10</v>
      </c>
      <c r="D899" s="286" t="s">
        <v>3319</v>
      </c>
      <c r="E899" s="286" t="s">
        <v>1409</v>
      </c>
    </row>
    <row r="900">
      <c r="A900" s="286" t="s">
        <v>1763</v>
      </c>
      <c r="B900" s="286" t="s">
        <v>3320</v>
      </c>
      <c r="C900" s="287">
        <v>1.3462896622E10</v>
      </c>
      <c r="D900" s="286" t="s">
        <v>3321</v>
      </c>
      <c r="E900" s="286" t="s">
        <v>1414</v>
      </c>
    </row>
    <row r="901">
      <c r="A901" s="286" t="s">
        <v>1333</v>
      </c>
      <c r="B901" s="262" t="s">
        <v>3322</v>
      </c>
      <c r="C901" s="287">
        <v>1.352800253E10</v>
      </c>
      <c r="D901" s="286" t="s">
        <v>3323</v>
      </c>
      <c r="E901" s="286" t="s">
        <v>1409</v>
      </c>
    </row>
    <row r="902">
      <c r="A902" s="286" t="s">
        <v>3324</v>
      </c>
      <c r="B902" s="286" t="s">
        <v>1923</v>
      </c>
      <c r="C902" s="287">
        <v>1.8456828047E10</v>
      </c>
      <c r="D902" s="286" t="s">
        <v>3325</v>
      </c>
      <c r="E902" s="286" t="s">
        <v>1307</v>
      </c>
    </row>
    <row r="903">
      <c r="A903" s="286" t="s">
        <v>1460</v>
      </c>
      <c r="B903" s="286" t="s">
        <v>3326</v>
      </c>
      <c r="C903" s="287">
        <v>1.6467276379E10</v>
      </c>
      <c r="D903" s="286" t="s">
        <v>3327</v>
      </c>
      <c r="E903" s="286" t="s">
        <v>1738</v>
      </c>
    </row>
    <row r="904">
      <c r="A904" s="286" t="s">
        <v>3324</v>
      </c>
      <c r="B904" s="262" t="s">
        <v>3328</v>
      </c>
      <c r="C904" s="287">
        <v>1.6464921222E10</v>
      </c>
      <c r="D904" s="286" t="s">
        <v>3329</v>
      </c>
      <c r="E904" s="286" t="s">
        <v>1409</v>
      </c>
    </row>
    <row r="905">
      <c r="A905" s="286" t="s">
        <v>1558</v>
      </c>
      <c r="B905" s="286" t="s">
        <v>1479</v>
      </c>
      <c r="C905" s="287">
        <v>1.9092435917E10</v>
      </c>
      <c r="D905" s="286" t="s">
        <v>3330</v>
      </c>
      <c r="E905" s="286" t="s">
        <v>1307</v>
      </c>
    </row>
    <row r="906">
      <c r="A906" s="286" t="s">
        <v>3331</v>
      </c>
      <c r="B906" s="286" t="s">
        <v>2242</v>
      </c>
      <c r="C906" s="288">
        <v>5.73182E16</v>
      </c>
      <c r="D906" s="286" t="s">
        <v>3332</v>
      </c>
      <c r="E906" s="286" t="s">
        <v>1307</v>
      </c>
    </row>
    <row r="907">
      <c r="A907" s="286" t="s">
        <v>579</v>
      </c>
      <c r="B907" s="286" t="s">
        <v>1931</v>
      </c>
      <c r="C907" s="287">
        <v>1.3322694524E10</v>
      </c>
      <c r="D907" s="286" t="s">
        <v>3333</v>
      </c>
      <c r="E907" s="286" t="s">
        <v>1307</v>
      </c>
    </row>
    <row r="908">
      <c r="A908" s="286" t="s">
        <v>2787</v>
      </c>
      <c r="B908" s="286" t="s">
        <v>3334</v>
      </c>
      <c r="C908" s="287">
        <v>1.7865993472E10</v>
      </c>
      <c r="D908" s="286" t="s">
        <v>3335</v>
      </c>
      <c r="E908" s="286" t="s">
        <v>1738</v>
      </c>
    </row>
    <row r="909">
      <c r="A909" s="286" t="s">
        <v>3336</v>
      </c>
      <c r="B909" s="262" t="s">
        <v>3337</v>
      </c>
      <c r="C909" s="287">
        <v>1.9299195567E10</v>
      </c>
      <c r="D909" s="286" t="s">
        <v>3338</v>
      </c>
      <c r="E909" s="286" t="s">
        <v>1409</v>
      </c>
    </row>
    <row r="910">
      <c r="A910" s="286" t="s">
        <v>579</v>
      </c>
      <c r="B910" s="262" t="s">
        <v>1536</v>
      </c>
      <c r="C910" s="287">
        <v>1.404992475E10</v>
      </c>
      <c r="D910" s="286" t="s">
        <v>3339</v>
      </c>
      <c r="E910" s="286" t="s">
        <v>1409</v>
      </c>
    </row>
    <row r="911">
      <c r="A911" s="286" t="s">
        <v>3340</v>
      </c>
      <c r="B911" s="286" t="s">
        <v>3341</v>
      </c>
      <c r="C911" s="287">
        <v>1.5078618692E10</v>
      </c>
      <c r="D911" s="286" t="s">
        <v>3342</v>
      </c>
      <c r="E911" s="286" t="s">
        <v>1534</v>
      </c>
    </row>
    <row r="912">
      <c r="A912" s="286" t="s">
        <v>2218</v>
      </c>
      <c r="B912" s="262" t="s">
        <v>3343</v>
      </c>
      <c r="C912" s="287">
        <v>1.6315388939E10</v>
      </c>
      <c r="D912" s="286" t="s">
        <v>3344</v>
      </c>
      <c r="E912" s="286" t="s">
        <v>1409</v>
      </c>
    </row>
    <row r="913">
      <c r="A913" s="286" t="s">
        <v>3345</v>
      </c>
      <c r="B913" s="286" t="s">
        <v>2478</v>
      </c>
      <c r="C913" s="287">
        <v>1.9789602682E10</v>
      </c>
      <c r="D913" s="286" t="s">
        <v>3346</v>
      </c>
      <c r="E913" s="286" t="s">
        <v>1307</v>
      </c>
    </row>
    <row r="914">
      <c r="A914" s="286" t="s">
        <v>1763</v>
      </c>
      <c r="B914" s="262" t="s">
        <v>3347</v>
      </c>
      <c r="C914" s="287">
        <v>1.7032312348E10</v>
      </c>
      <c r="D914" s="286" t="s">
        <v>3348</v>
      </c>
      <c r="E914" s="286" t="s">
        <v>1409</v>
      </c>
    </row>
    <row r="915">
      <c r="A915" s="286" t="s">
        <v>3349</v>
      </c>
      <c r="B915" s="262"/>
      <c r="C915" s="287">
        <v>1.8093231104E10</v>
      </c>
      <c r="D915" s="286" t="s">
        <v>3350</v>
      </c>
      <c r="E915" s="286" t="s">
        <v>1307</v>
      </c>
    </row>
    <row r="916">
      <c r="A916" s="286" t="s">
        <v>2842</v>
      </c>
      <c r="B916" s="262" t="s">
        <v>3351</v>
      </c>
      <c r="C916" s="287">
        <v>1.9566161647E10</v>
      </c>
      <c r="D916" s="286" t="s">
        <v>3352</v>
      </c>
      <c r="E916" s="286" t="s">
        <v>1409</v>
      </c>
    </row>
    <row r="917">
      <c r="A917" s="286" t="s">
        <v>579</v>
      </c>
      <c r="B917" s="262" t="s">
        <v>3353</v>
      </c>
      <c r="C917" s="287">
        <v>1.8135385588E10</v>
      </c>
      <c r="D917" s="286" t="s">
        <v>3354</v>
      </c>
      <c r="E917" s="286" t="s">
        <v>1409</v>
      </c>
    </row>
    <row r="918">
      <c r="A918" s="286" t="s">
        <v>2870</v>
      </c>
      <c r="B918" s="262" t="s">
        <v>2446</v>
      </c>
      <c r="C918" s="287">
        <v>1.4807588636E10</v>
      </c>
      <c r="D918" s="286" t="s">
        <v>3355</v>
      </c>
      <c r="E918" s="286" t="s">
        <v>1409</v>
      </c>
    </row>
    <row r="919">
      <c r="A919" s="286" t="s">
        <v>3356</v>
      </c>
      <c r="B919" s="286" t="s">
        <v>2556</v>
      </c>
      <c r="C919" s="287">
        <v>1.3123661634E10</v>
      </c>
      <c r="D919" s="286" t="s">
        <v>3357</v>
      </c>
      <c r="E919" s="286" t="s">
        <v>1307</v>
      </c>
    </row>
    <row r="920">
      <c r="A920" s="286" t="s">
        <v>3358</v>
      </c>
      <c r="B920" s="286" t="s">
        <v>3359</v>
      </c>
      <c r="C920" s="287">
        <v>1.8624409879E10</v>
      </c>
      <c r="D920" s="286" t="s">
        <v>3360</v>
      </c>
      <c r="E920" s="286" t="s">
        <v>1307</v>
      </c>
    </row>
    <row r="921">
      <c r="A921" s="286" t="s">
        <v>3361</v>
      </c>
      <c r="B921" s="262" t="s">
        <v>3362</v>
      </c>
      <c r="C921" s="288">
        <v>5.95976E16</v>
      </c>
      <c r="D921" s="286" t="s">
        <v>3363</v>
      </c>
      <c r="E921" s="286" t="s">
        <v>1409</v>
      </c>
    </row>
    <row r="922">
      <c r="A922" s="286" t="s">
        <v>3364</v>
      </c>
      <c r="B922" s="262" t="s">
        <v>3365</v>
      </c>
      <c r="C922" s="287">
        <v>1.9565006242E10</v>
      </c>
      <c r="D922" s="286" t="s">
        <v>3366</v>
      </c>
      <c r="E922" s="286" t="s">
        <v>1409</v>
      </c>
    </row>
    <row r="923">
      <c r="A923" s="286" t="s">
        <v>3367</v>
      </c>
      <c r="B923" s="262" t="s">
        <v>3368</v>
      </c>
      <c r="C923" s="287">
        <v>1.8138599206E10</v>
      </c>
      <c r="D923" s="286" t="s">
        <v>3369</v>
      </c>
      <c r="E923" s="286" t="s">
        <v>1409</v>
      </c>
    </row>
    <row r="924">
      <c r="A924" s="286" t="s">
        <v>497</v>
      </c>
      <c r="B924" s="286" t="s">
        <v>1328</v>
      </c>
      <c r="C924" s="287">
        <v>1.6575055617E10</v>
      </c>
      <c r="D924" s="286" t="s">
        <v>3370</v>
      </c>
      <c r="E924" s="286" t="s">
        <v>1307</v>
      </c>
    </row>
    <row r="925">
      <c r="A925" s="286" t="s">
        <v>3096</v>
      </c>
      <c r="B925" s="262" t="s">
        <v>1659</v>
      </c>
      <c r="C925" s="287">
        <v>5.0250514816E10</v>
      </c>
      <c r="D925" s="286" t="s">
        <v>3371</v>
      </c>
      <c r="E925" s="286" t="s">
        <v>1409</v>
      </c>
    </row>
    <row r="926">
      <c r="A926" s="286" t="s">
        <v>2276</v>
      </c>
      <c r="B926" s="286" t="s">
        <v>3372</v>
      </c>
      <c r="C926" s="288">
        <v>5.73145E16</v>
      </c>
      <c r="D926" s="286" t="s">
        <v>3373</v>
      </c>
      <c r="E926" s="286" t="s">
        <v>1307</v>
      </c>
    </row>
    <row r="927">
      <c r="A927" s="286" t="s">
        <v>3374</v>
      </c>
      <c r="B927" s="262"/>
      <c r="C927" s="287">
        <v>1.7865908891E10</v>
      </c>
      <c r="D927" s="286" t="s">
        <v>3375</v>
      </c>
      <c r="E927" s="286" t="s">
        <v>1409</v>
      </c>
    </row>
    <row r="928">
      <c r="A928" s="286" t="s">
        <v>3376</v>
      </c>
      <c r="B928" s="286" t="s">
        <v>3377</v>
      </c>
      <c r="C928" s="288">
        <v>5.73114E16</v>
      </c>
      <c r="D928" s="286" t="s">
        <v>3378</v>
      </c>
      <c r="E928" s="286" t="s">
        <v>1307</v>
      </c>
    </row>
    <row r="929">
      <c r="A929" s="286" t="s">
        <v>3379</v>
      </c>
      <c r="B929" s="286" t="s">
        <v>3380</v>
      </c>
      <c r="C929" s="287">
        <v>1.809827034E10</v>
      </c>
      <c r="D929" s="286" t="s">
        <v>3381</v>
      </c>
      <c r="E929" s="286" t="s">
        <v>1307</v>
      </c>
    </row>
    <row r="930">
      <c r="A930" s="286" t="s">
        <v>1779</v>
      </c>
      <c r="B930" s="262" t="s">
        <v>1331</v>
      </c>
      <c r="C930" s="288">
        <v>5.73024E16</v>
      </c>
      <c r="D930" s="286" t="s">
        <v>3382</v>
      </c>
      <c r="E930" s="286" t="s">
        <v>1409</v>
      </c>
    </row>
    <row r="931">
      <c r="A931" s="286" t="s">
        <v>3383</v>
      </c>
      <c r="B931" s="262" t="s">
        <v>3384</v>
      </c>
      <c r="C931" s="287">
        <v>1.9194427108E10</v>
      </c>
      <c r="D931" s="286" t="s">
        <v>3385</v>
      </c>
      <c r="E931" s="286" t="s">
        <v>1409</v>
      </c>
    </row>
    <row r="932">
      <c r="A932" s="286" t="s">
        <v>3386</v>
      </c>
      <c r="B932" s="286" t="s">
        <v>2571</v>
      </c>
      <c r="C932" s="288">
        <v>5.73135E16</v>
      </c>
      <c r="D932" s="286" t="s">
        <v>3387</v>
      </c>
      <c r="E932" s="286" t="s">
        <v>1307</v>
      </c>
    </row>
    <row r="933">
      <c r="A933" s="286" t="s">
        <v>1615</v>
      </c>
      <c r="B933" s="286" t="s">
        <v>1908</v>
      </c>
      <c r="C933" s="288">
        <v>5.73135E16</v>
      </c>
      <c r="D933" s="286" t="s">
        <v>3388</v>
      </c>
      <c r="E933" s="286" t="s">
        <v>1307</v>
      </c>
    </row>
    <row r="934">
      <c r="A934" s="286" t="s">
        <v>3389</v>
      </c>
      <c r="B934" s="286" t="s">
        <v>3390</v>
      </c>
      <c r="C934" s="287">
        <v>1.8297215555E10</v>
      </c>
      <c r="D934" s="286" t="s">
        <v>3391</v>
      </c>
      <c r="E934" s="286" t="s">
        <v>1307</v>
      </c>
    </row>
    <row r="935">
      <c r="A935" s="286" t="s">
        <v>3045</v>
      </c>
      <c r="B935" s="262" t="s">
        <v>3392</v>
      </c>
      <c r="C935" s="288">
        <v>5.95972E16</v>
      </c>
      <c r="D935" s="286" t="s">
        <v>3393</v>
      </c>
      <c r="E935" s="286" t="s">
        <v>1409</v>
      </c>
    </row>
    <row r="936">
      <c r="A936" s="286" t="s">
        <v>3394</v>
      </c>
      <c r="B936" s="262" t="s">
        <v>3395</v>
      </c>
      <c r="C936" s="288">
        <v>5.84166E16</v>
      </c>
      <c r="D936" s="286" t="s">
        <v>3396</v>
      </c>
      <c r="E936" s="286" t="s">
        <v>1409</v>
      </c>
    </row>
    <row r="937">
      <c r="A937" s="286" t="s">
        <v>2357</v>
      </c>
      <c r="B937" s="262"/>
      <c r="C937" s="287">
        <v>1.6784625322E10</v>
      </c>
      <c r="D937" s="286" t="s">
        <v>3397</v>
      </c>
      <c r="E937" s="286" t="s">
        <v>1307</v>
      </c>
    </row>
    <row r="938">
      <c r="A938" s="286" t="s">
        <v>3398</v>
      </c>
      <c r="B938" s="262" t="s">
        <v>1656</v>
      </c>
      <c r="C938" s="288">
        <v>5.95992E16</v>
      </c>
      <c r="D938" s="286" t="s">
        <v>3399</v>
      </c>
      <c r="E938" s="286" t="s">
        <v>1409</v>
      </c>
    </row>
    <row r="939">
      <c r="A939" s="286" t="s">
        <v>2212</v>
      </c>
      <c r="B939" s="286" t="s">
        <v>3400</v>
      </c>
      <c r="C939" s="288">
        <v>5.73138E16</v>
      </c>
      <c r="D939" s="286" t="s">
        <v>3401</v>
      </c>
      <c r="E939" s="286" t="s">
        <v>1307</v>
      </c>
    </row>
    <row r="940">
      <c r="A940" s="286" t="s">
        <v>3402</v>
      </c>
      <c r="B940" s="262"/>
      <c r="C940" s="288">
        <v>5.73224E16</v>
      </c>
      <c r="D940" s="286" t="s">
        <v>3403</v>
      </c>
      <c r="E940" s="286" t="s">
        <v>1307</v>
      </c>
    </row>
    <row r="941">
      <c r="A941" s="286" t="s">
        <v>1925</v>
      </c>
      <c r="B941" s="286" t="s">
        <v>3404</v>
      </c>
      <c r="C941" s="287">
        <v>1.8296699631E10</v>
      </c>
      <c r="D941" s="286" t="s">
        <v>3405</v>
      </c>
      <c r="E941" s="286" t="s">
        <v>1307</v>
      </c>
    </row>
    <row r="942">
      <c r="A942" s="286" t="s">
        <v>3406</v>
      </c>
      <c r="B942" s="286" t="s">
        <v>2552</v>
      </c>
      <c r="C942" s="287">
        <v>1.7866851387E10</v>
      </c>
      <c r="D942" s="286" t="s">
        <v>3407</v>
      </c>
      <c r="E942" s="286" t="s">
        <v>1307</v>
      </c>
    </row>
    <row r="943">
      <c r="A943" s="286" t="s">
        <v>3408</v>
      </c>
      <c r="B943" s="286" t="s">
        <v>3409</v>
      </c>
      <c r="C943" s="287">
        <v>1.829307859E10</v>
      </c>
      <c r="D943" s="286" t="s">
        <v>3410</v>
      </c>
      <c r="E943" s="286" t="s">
        <v>1307</v>
      </c>
    </row>
    <row r="944">
      <c r="A944" s="286" t="s">
        <v>1763</v>
      </c>
      <c r="B944" s="262" t="s">
        <v>3411</v>
      </c>
      <c r="C944" s="288">
        <v>5.73118E16</v>
      </c>
      <c r="D944" s="286" t="s">
        <v>3412</v>
      </c>
      <c r="E944" s="286" t="s">
        <v>1409</v>
      </c>
    </row>
    <row r="945">
      <c r="A945" s="286" t="s">
        <v>3413</v>
      </c>
      <c r="B945" s="286" t="s">
        <v>3414</v>
      </c>
      <c r="C945" s="288">
        <v>5.73153E16</v>
      </c>
      <c r="D945" s="286" t="s">
        <v>3415</v>
      </c>
      <c r="E945" s="286" t="s">
        <v>1307</v>
      </c>
    </row>
    <row r="946">
      <c r="A946" s="286" t="s">
        <v>1805</v>
      </c>
      <c r="B946" s="262" t="s">
        <v>3416</v>
      </c>
      <c r="C946" s="288">
        <v>5.73188E16</v>
      </c>
      <c r="D946" s="286" t="s">
        <v>3417</v>
      </c>
      <c r="E946" s="286" t="s">
        <v>1409</v>
      </c>
    </row>
    <row r="947">
      <c r="A947" s="286" t="s">
        <v>3418</v>
      </c>
      <c r="B947" s="286" t="s">
        <v>1430</v>
      </c>
      <c r="C947" s="287">
        <v>1.2486884755E10</v>
      </c>
      <c r="D947" s="286" t="s">
        <v>3419</v>
      </c>
      <c r="E947" s="286" t="s">
        <v>1307</v>
      </c>
    </row>
    <row r="948">
      <c r="A948" s="286" t="s">
        <v>1658</v>
      </c>
      <c r="B948" s="262" t="s">
        <v>3420</v>
      </c>
      <c r="C948" s="287">
        <v>1.829279297E10</v>
      </c>
      <c r="D948" s="286" t="s">
        <v>3421</v>
      </c>
      <c r="E948" s="286" t="s">
        <v>1409</v>
      </c>
    </row>
    <row r="949">
      <c r="A949" s="286" t="s">
        <v>3422</v>
      </c>
      <c r="B949" s="262" t="s">
        <v>3423</v>
      </c>
      <c r="C949" s="288">
        <v>5.95972E16</v>
      </c>
      <c r="D949" s="286" t="s">
        <v>3424</v>
      </c>
      <c r="E949" s="286" t="s">
        <v>1409</v>
      </c>
    </row>
    <row r="950">
      <c r="A950" s="286" t="s">
        <v>3425</v>
      </c>
      <c r="B950" s="286" t="s">
        <v>1616</v>
      </c>
      <c r="C950" s="288">
        <v>5.73128E16</v>
      </c>
      <c r="D950" s="286" t="s">
        <v>3426</v>
      </c>
      <c r="E950" s="286" t="s">
        <v>1307</v>
      </c>
    </row>
    <row r="951">
      <c r="A951" s="286" t="s">
        <v>1590</v>
      </c>
      <c r="B951" s="286" t="s">
        <v>3427</v>
      </c>
      <c r="C951" s="287">
        <v>1.3472592928E10</v>
      </c>
      <c r="D951" s="286" t="s">
        <v>3428</v>
      </c>
      <c r="E951" s="286" t="s">
        <v>2591</v>
      </c>
    </row>
    <row r="952">
      <c r="A952" s="286" t="s">
        <v>1117</v>
      </c>
      <c r="B952" s="286" t="s">
        <v>1811</v>
      </c>
      <c r="C952" s="288">
        <v>5.542E15</v>
      </c>
      <c r="D952" s="286" t="s">
        <v>3429</v>
      </c>
      <c r="E952" s="286" t="s">
        <v>1307</v>
      </c>
    </row>
    <row r="953">
      <c r="A953" s="286" t="s">
        <v>3430</v>
      </c>
      <c r="B953" s="286" t="s">
        <v>3431</v>
      </c>
      <c r="C953" s="288">
        <v>5.73226E16</v>
      </c>
      <c r="D953" s="286" t="s">
        <v>3432</v>
      </c>
      <c r="E953" s="286" t="s">
        <v>1307</v>
      </c>
    </row>
    <row r="954">
      <c r="A954" s="286" t="s">
        <v>2400</v>
      </c>
      <c r="B954" s="262"/>
      <c r="C954" s="287">
        <v>1.646229892E10</v>
      </c>
      <c r="D954" s="286" t="s">
        <v>3433</v>
      </c>
      <c r="E954" s="286" t="s">
        <v>1409</v>
      </c>
    </row>
    <row r="955">
      <c r="A955" s="286" t="s">
        <v>3434</v>
      </c>
      <c r="B955" s="286" t="s">
        <v>3435</v>
      </c>
      <c r="C955" s="288">
        <v>5.73157E16</v>
      </c>
      <c r="D955" s="286" t="s">
        <v>3436</v>
      </c>
      <c r="E955" s="286" t="s">
        <v>1307</v>
      </c>
    </row>
    <row r="956">
      <c r="A956" s="286" t="s">
        <v>3437</v>
      </c>
      <c r="B956" s="286" t="s">
        <v>1811</v>
      </c>
      <c r="C956" s="287">
        <v>5.1942241438E10</v>
      </c>
      <c r="D956" s="286" t="s">
        <v>3438</v>
      </c>
      <c r="E956" s="286" t="s">
        <v>1307</v>
      </c>
    </row>
    <row r="957">
      <c r="A957" s="286" t="s">
        <v>3439</v>
      </c>
      <c r="B957" s="286" t="s">
        <v>3440</v>
      </c>
      <c r="C957" s="288">
        <v>5.25646E16</v>
      </c>
      <c r="D957" s="286" t="s">
        <v>3441</v>
      </c>
      <c r="E957" s="286" t="s">
        <v>1307</v>
      </c>
    </row>
    <row r="958">
      <c r="A958" s="286" t="s">
        <v>3442</v>
      </c>
      <c r="B958" s="286" t="s">
        <v>3443</v>
      </c>
      <c r="C958" s="287">
        <v>5.1970058471E10</v>
      </c>
      <c r="D958" s="286" t="s">
        <v>3444</v>
      </c>
      <c r="E958" s="286" t="s">
        <v>1307</v>
      </c>
    </row>
    <row r="959">
      <c r="A959" s="286" t="s">
        <v>3445</v>
      </c>
      <c r="B959" s="262"/>
      <c r="C959" s="287">
        <v>5.1935195226E10</v>
      </c>
      <c r="D959" s="286" t="s">
        <v>3446</v>
      </c>
      <c r="E959" s="286" t="s">
        <v>1307</v>
      </c>
    </row>
    <row r="960">
      <c r="A960" s="286" t="s">
        <v>1984</v>
      </c>
      <c r="B960" s="286" t="s">
        <v>3447</v>
      </c>
      <c r="C960" s="287">
        <v>5.0258711519E10</v>
      </c>
      <c r="D960" s="286" t="s">
        <v>3448</v>
      </c>
      <c r="E960" s="286" t="s">
        <v>1307</v>
      </c>
    </row>
    <row r="961">
      <c r="A961" s="286" t="s">
        <v>589</v>
      </c>
      <c r="B961" s="286" t="s">
        <v>3449</v>
      </c>
      <c r="C961" s="287">
        <v>5.1983964145E10</v>
      </c>
      <c r="D961" s="286" t="s">
        <v>3450</v>
      </c>
      <c r="E961" s="286" t="s">
        <v>1307</v>
      </c>
    </row>
    <row r="962">
      <c r="A962" s="286" t="s">
        <v>3451</v>
      </c>
      <c r="B962" s="262"/>
      <c r="C962" s="287">
        <v>1.4803701807E10</v>
      </c>
      <c r="D962" s="286" t="s">
        <v>3452</v>
      </c>
      <c r="E962" s="286" t="s">
        <v>1409</v>
      </c>
    </row>
    <row r="963">
      <c r="A963" s="286" t="s">
        <v>3174</v>
      </c>
      <c r="B963" s="286" t="s">
        <v>3453</v>
      </c>
      <c r="C963" s="287">
        <v>5.1996396586E10</v>
      </c>
      <c r="D963" s="286" t="s">
        <v>3454</v>
      </c>
      <c r="E963" s="286" t="s">
        <v>1307</v>
      </c>
    </row>
    <row r="964">
      <c r="A964" s="286" t="s">
        <v>1952</v>
      </c>
      <c r="B964" s="286" t="s">
        <v>3455</v>
      </c>
      <c r="C964" s="288">
        <v>5.27341E16</v>
      </c>
      <c r="D964" s="286" t="s">
        <v>3456</v>
      </c>
      <c r="E964" s="288">
        <v>1.20234E22</v>
      </c>
    </row>
    <row r="965">
      <c r="A965" s="286" t="s">
        <v>3457</v>
      </c>
      <c r="B965" s="262" t="s">
        <v>1695</v>
      </c>
      <c r="C965" s="288">
        <v>5.73028E16</v>
      </c>
      <c r="D965" s="286" t="s">
        <v>3458</v>
      </c>
      <c r="E965" s="286" t="s">
        <v>1409</v>
      </c>
    </row>
    <row r="966">
      <c r="A966" s="286" t="s">
        <v>3459</v>
      </c>
      <c r="B966" s="286" t="s">
        <v>2061</v>
      </c>
      <c r="C966" s="287">
        <v>5.1900592184E10</v>
      </c>
      <c r="D966" s="286" t="s">
        <v>3460</v>
      </c>
      <c r="E966" s="286" t="s">
        <v>1307</v>
      </c>
    </row>
    <row r="967">
      <c r="A967" s="286" t="s">
        <v>3461</v>
      </c>
      <c r="B967" s="286" t="s">
        <v>3462</v>
      </c>
      <c r="C967" s="287">
        <v>5.1970597198E10</v>
      </c>
      <c r="D967" s="286" t="s">
        <v>3463</v>
      </c>
      <c r="E967" s="286" t="s">
        <v>1307</v>
      </c>
    </row>
    <row r="968">
      <c r="A968" s="286" t="s">
        <v>2659</v>
      </c>
      <c r="B968" s="262" t="s">
        <v>1661</v>
      </c>
      <c r="C968" s="288">
        <v>5.24891E16</v>
      </c>
      <c r="D968" s="286" t="s">
        <v>3464</v>
      </c>
      <c r="E968" s="286" t="s">
        <v>1409</v>
      </c>
    </row>
    <row r="969">
      <c r="A969" s="286" t="s">
        <v>3465</v>
      </c>
      <c r="B969" s="286" t="s">
        <v>3466</v>
      </c>
      <c r="C969" s="287">
        <v>5.1927776784E10</v>
      </c>
      <c r="D969" s="286" t="s">
        <v>3467</v>
      </c>
      <c r="E969" s="286" t="s">
        <v>1307</v>
      </c>
    </row>
    <row r="970">
      <c r="A970" s="286" t="s">
        <v>3248</v>
      </c>
      <c r="B970" s="286" t="s">
        <v>3468</v>
      </c>
      <c r="C970" s="287">
        <v>5.1976044932E10</v>
      </c>
      <c r="D970" s="286" t="s">
        <v>3469</v>
      </c>
      <c r="E970" s="286" t="s">
        <v>3470</v>
      </c>
    </row>
    <row r="971">
      <c r="A971" s="286" t="s">
        <v>3471</v>
      </c>
      <c r="B971" s="286" t="s">
        <v>3472</v>
      </c>
      <c r="C971" s="287">
        <v>5.0230703385E10</v>
      </c>
      <c r="D971" s="286" t="s">
        <v>3473</v>
      </c>
      <c r="E971" s="286" t="s">
        <v>1307</v>
      </c>
    </row>
    <row r="972">
      <c r="A972" s="286" t="s">
        <v>3474</v>
      </c>
      <c r="B972" s="286" t="s">
        <v>2990</v>
      </c>
      <c r="C972" s="288">
        <v>5.73165E16</v>
      </c>
      <c r="D972" s="286" t="s">
        <v>3475</v>
      </c>
      <c r="E972" s="286" t="s">
        <v>1307</v>
      </c>
    </row>
    <row r="973">
      <c r="A973" s="286" t="s">
        <v>3476</v>
      </c>
      <c r="B973" s="262" t="s">
        <v>3477</v>
      </c>
      <c r="C973" s="287">
        <v>1.4692337209E10</v>
      </c>
      <c r="D973" s="286" t="s">
        <v>3478</v>
      </c>
      <c r="E973" s="286" t="s">
        <v>1409</v>
      </c>
    </row>
    <row r="974">
      <c r="A974" s="286" t="s">
        <v>3479</v>
      </c>
      <c r="B974" s="262"/>
      <c r="C974" s="287">
        <v>1.8492455989E10</v>
      </c>
      <c r="D974" s="286" t="s">
        <v>3480</v>
      </c>
      <c r="E974" s="286" t="s">
        <v>1307</v>
      </c>
    </row>
    <row r="975">
      <c r="A975" s="286" t="s">
        <v>1344</v>
      </c>
      <c r="B975" s="262"/>
      <c r="C975" s="288">
        <v>5.73026E16</v>
      </c>
      <c r="D975" s="286" t="s">
        <v>3481</v>
      </c>
      <c r="E975" s="286" t="s">
        <v>1409</v>
      </c>
    </row>
    <row r="976">
      <c r="A976" s="286" t="s">
        <v>1568</v>
      </c>
      <c r="B976" s="262"/>
      <c r="C976" s="287">
        <v>5.0242264529E10</v>
      </c>
      <c r="D976" s="286" t="s">
        <v>3482</v>
      </c>
      <c r="E976" s="286" t="s">
        <v>1307</v>
      </c>
    </row>
    <row r="977">
      <c r="A977" s="286" t="s">
        <v>2847</v>
      </c>
      <c r="B977" s="286" t="s">
        <v>3483</v>
      </c>
      <c r="C977" s="287">
        <v>5.0231711452E10</v>
      </c>
      <c r="D977" s="286" t="s">
        <v>3484</v>
      </c>
      <c r="E977" s="286" t="s">
        <v>1307</v>
      </c>
    </row>
    <row r="978">
      <c r="A978" s="286" t="s">
        <v>3485</v>
      </c>
      <c r="B978" s="262"/>
      <c r="C978" s="287">
        <v>1.760802E10</v>
      </c>
      <c r="D978" s="286" t="s">
        <v>3486</v>
      </c>
      <c r="E978" s="286" t="s">
        <v>1409</v>
      </c>
    </row>
    <row r="979">
      <c r="A979" s="286" t="s">
        <v>3487</v>
      </c>
      <c r="B979" s="286" t="s">
        <v>1989</v>
      </c>
      <c r="C979" s="288">
        <v>5.73004E16</v>
      </c>
      <c r="D979" s="286" t="s">
        <v>3488</v>
      </c>
      <c r="E979" s="286" t="s">
        <v>1307</v>
      </c>
    </row>
    <row r="980">
      <c r="A980" s="286" t="s">
        <v>3489</v>
      </c>
      <c r="B980" s="286" t="s">
        <v>3490</v>
      </c>
      <c r="C980" s="287">
        <v>5.0238572837E10</v>
      </c>
      <c r="D980" s="286" t="s">
        <v>3491</v>
      </c>
      <c r="E980" s="286" t="s">
        <v>1307</v>
      </c>
    </row>
    <row r="981">
      <c r="A981" s="286" t="s">
        <v>3492</v>
      </c>
      <c r="B981" s="286" t="s">
        <v>3493</v>
      </c>
      <c r="C981" s="287">
        <v>5.1970070452E10</v>
      </c>
      <c r="D981" s="286" t="s">
        <v>3494</v>
      </c>
      <c r="E981" s="286" t="s">
        <v>1307</v>
      </c>
    </row>
    <row r="982">
      <c r="A982" s="286" t="s">
        <v>2542</v>
      </c>
      <c r="B982" s="286" t="s">
        <v>3495</v>
      </c>
      <c r="C982" s="287">
        <v>5.1982647886E10</v>
      </c>
      <c r="D982" s="286" t="s">
        <v>3496</v>
      </c>
      <c r="E982" s="286" t="s">
        <v>1307</v>
      </c>
    </row>
    <row r="983">
      <c r="A983" s="286" t="s">
        <v>1918</v>
      </c>
      <c r="B983" s="262"/>
      <c r="C983" s="287">
        <v>5.0232075724E10</v>
      </c>
      <c r="D983" s="286" t="s">
        <v>3497</v>
      </c>
      <c r="E983" s="286" t="s">
        <v>1307</v>
      </c>
    </row>
    <row r="984">
      <c r="A984" s="286" t="s">
        <v>981</v>
      </c>
      <c r="B984" s="286" t="s">
        <v>1536</v>
      </c>
      <c r="C984" s="287">
        <v>1.509398342E10</v>
      </c>
      <c r="D984" s="286" t="s">
        <v>3498</v>
      </c>
      <c r="E984" s="286" t="s">
        <v>1307</v>
      </c>
    </row>
    <row r="985">
      <c r="A985" s="286" t="s">
        <v>579</v>
      </c>
      <c r="B985" s="262"/>
      <c r="C985" s="288">
        <v>5.73047E16</v>
      </c>
      <c r="D985" s="286" t="s">
        <v>3499</v>
      </c>
      <c r="E985" s="286" t="s">
        <v>1307</v>
      </c>
    </row>
    <row r="986">
      <c r="A986" s="286" t="s">
        <v>3500</v>
      </c>
      <c r="B986" s="262" t="s">
        <v>3299</v>
      </c>
      <c r="C986" s="287">
        <v>1.8483665493E10</v>
      </c>
      <c r="D986" s="286" t="s">
        <v>3501</v>
      </c>
      <c r="E986" s="286" t="s">
        <v>1409</v>
      </c>
    </row>
    <row r="987">
      <c r="A987" s="286" t="s">
        <v>3502</v>
      </c>
      <c r="B987" s="286" t="s">
        <v>2022</v>
      </c>
      <c r="C987" s="287">
        <v>5.1916682731E10</v>
      </c>
      <c r="D987" s="286" t="s">
        <v>3503</v>
      </c>
      <c r="E987" s="286" t="s">
        <v>1307</v>
      </c>
    </row>
    <row r="988">
      <c r="A988" s="286" t="s">
        <v>3504</v>
      </c>
      <c r="B988" s="286" t="s">
        <v>3505</v>
      </c>
      <c r="C988" s="288">
        <v>5.73247E16</v>
      </c>
      <c r="D988" s="286" t="s">
        <v>3506</v>
      </c>
      <c r="E988" s="286" t="s">
        <v>1307</v>
      </c>
    </row>
    <row r="989">
      <c r="A989" s="286" t="s">
        <v>3507</v>
      </c>
      <c r="B989" s="286" t="s">
        <v>3508</v>
      </c>
      <c r="C989" s="287">
        <v>1.8099055799E10</v>
      </c>
      <c r="D989" s="286" t="s">
        <v>3509</v>
      </c>
      <c r="E989" s="286" t="s">
        <v>1860</v>
      </c>
    </row>
    <row r="990">
      <c r="A990" s="286" t="s">
        <v>3510</v>
      </c>
      <c r="B990" s="262"/>
      <c r="C990" s="288">
        <v>5.29581E16</v>
      </c>
      <c r="D990" s="286" t="s">
        <v>3511</v>
      </c>
      <c r="E990" s="286" t="s">
        <v>1860</v>
      </c>
    </row>
    <row r="991">
      <c r="A991" s="286" t="s">
        <v>3512</v>
      </c>
      <c r="B991" s="286" t="s">
        <v>2934</v>
      </c>
      <c r="C991" s="288">
        <v>5.26671E16</v>
      </c>
      <c r="D991" s="286" t="s">
        <v>3513</v>
      </c>
      <c r="E991" s="286" t="s">
        <v>1307</v>
      </c>
    </row>
    <row r="992">
      <c r="A992" s="286" t="s">
        <v>3514</v>
      </c>
      <c r="B992" s="286" t="s">
        <v>3515</v>
      </c>
      <c r="C992" s="287">
        <v>1.8298539432E10</v>
      </c>
      <c r="D992" s="286" t="s">
        <v>3516</v>
      </c>
      <c r="E992" s="286" t="s">
        <v>1307</v>
      </c>
    </row>
    <row r="993">
      <c r="A993" s="286" t="s">
        <v>2976</v>
      </c>
      <c r="B993" s="262"/>
      <c r="C993" s="287">
        <v>1.8095432327E10</v>
      </c>
      <c r="D993" s="286" t="s">
        <v>3517</v>
      </c>
      <c r="E993" s="286" t="s">
        <v>1307</v>
      </c>
    </row>
    <row r="994">
      <c r="A994" s="286" t="s">
        <v>2444</v>
      </c>
      <c r="B994" s="286" t="s">
        <v>3518</v>
      </c>
      <c r="C994" s="288">
        <v>5.73022E16</v>
      </c>
      <c r="D994" s="286" t="s">
        <v>3519</v>
      </c>
      <c r="E994" s="286" t="s">
        <v>1307</v>
      </c>
    </row>
    <row r="995">
      <c r="A995" s="286" t="s">
        <v>1671</v>
      </c>
      <c r="B995" s="286" t="s">
        <v>3520</v>
      </c>
      <c r="C995" s="288">
        <v>5.24776E16</v>
      </c>
      <c r="D995" s="286" t="s">
        <v>3521</v>
      </c>
      <c r="E995" s="286" t="s">
        <v>1307</v>
      </c>
    </row>
    <row r="996">
      <c r="A996" s="286" t="s">
        <v>2726</v>
      </c>
      <c r="B996" s="262" t="s">
        <v>3522</v>
      </c>
      <c r="C996" s="287">
        <v>5.0253535372E10</v>
      </c>
      <c r="D996" s="286" t="s">
        <v>3523</v>
      </c>
      <c r="E996" s="286" t="s">
        <v>1409</v>
      </c>
    </row>
    <row r="997">
      <c r="A997" s="286" t="s">
        <v>1465</v>
      </c>
      <c r="B997" s="262" t="s">
        <v>3524</v>
      </c>
      <c r="C997" s="287">
        <v>1.9199488426E10</v>
      </c>
      <c r="D997" s="286" t="s">
        <v>3525</v>
      </c>
      <c r="E997" s="286" t="s">
        <v>1409</v>
      </c>
    </row>
    <row r="998">
      <c r="A998" s="286" t="s">
        <v>2094</v>
      </c>
      <c r="B998" s="262" t="s">
        <v>3526</v>
      </c>
      <c r="C998" s="287">
        <v>1.2109961218E10</v>
      </c>
      <c r="D998" s="286" t="s">
        <v>3527</v>
      </c>
      <c r="E998" s="286" t="s">
        <v>1409</v>
      </c>
    </row>
    <row r="999">
      <c r="A999" s="286" t="s">
        <v>2334</v>
      </c>
      <c r="B999" s="286" t="s">
        <v>3528</v>
      </c>
      <c r="C999" s="287">
        <v>1.8096530791E10</v>
      </c>
      <c r="D999" s="286" t="s">
        <v>3529</v>
      </c>
      <c r="E999" s="286" t="s">
        <v>1307</v>
      </c>
    </row>
    <row r="1000">
      <c r="A1000" s="286" t="s">
        <v>3530</v>
      </c>
      <c r="B1000" s="286" t="s">
        <v>3531</v>
      </c>
      <c r="C1000" s="288">
        <v>5.95985E16</v>
      </c>
      <c r="D1000" s="286" t="s">
        <v>3532</v>
      </c>
      <c r="E1000" s="286" t="s">
        <v>1307</v>
      </c>
    </row>
    <row r="1001">
      <c r="A1001" s="286" t="s">
        <v>3533</v>
      </c>
      <c r="B1001" s="286" t="s">
        <v>1471</v>
      </c>
      <c r="C1001" s="288">
        <v>5.7316E15</v>
      </c>
      <c r="D1001" s="286" t="s">
        <v>3534</v>
      </c>
      <c r="E1001" s="286" t="s">
        <v>1860</v>
      </c>
    </row>
    <row r="1002">
      <c r="A1002" s="286" t="s">
        <v>1984</v>
      </c>
      <c r="B1002" s="262"/>
      <c r="C1002" s="287">
        <v>1.7605502559E10</v>
      </c>
      <c r="D1002" s="286" t="s">
        <v>3535</v>
      </c>
      <c r="E1002" s="286" t="s">
        <v>1307</v>
      </c>
    </row>
    <row r="1003">
      <c r="A1003" s="286" t="s">
        <v>3248</v>
      </c>
      <c r="B1003" s="286" t="s">
        <v>3536</v>
      </c>
      <c r="C1003" s="287">
        <v>1.8098278136E10</v>
      </c>
      <c r="D1003" s="286" t="s">
        <v>3537</v>
      </c>
      <c r="E1003" s="286" t="s">
        <v>1307</v>
      </c>
    </row>
    <row r="1004">
      <c r="A1004" s="286" t="s">
        <v>1117</v>
      </c>
      <c r="B1004" s="286" t="s">
        <v>2632</v>
      </c>
      <c r="C1004" s="287">
        <v>1.8294412901E10</v>
      </c>
      <c r="D1004" s="286" t="s">
        <v>3538</v>
      </c>
      <c r="E1004" s="286" t="s">
        <v>1307</v>
      </c>
    </row>
    <row r="1005">
      <c r="A1005" s="286" t="s">
        <v>1308</v>
      </c>
      <c r="B1005" s="286" t="s">
        <v>3539</v>
      </c>
      <c r="C1005" s="288">
        <v>5.73001E16</v>
      </c>
      <c r="D1005" s="286" t="s">
        <v>3540</v>
      </c>
      <c r="E1005" s="286" t="s">
        <v>1307</v>
      </c>
    </row>
    <row r="1006">
      <c r="A1006" s="286" t="s">
        <v>3541</v>
      </c>
      <c r="B1006" s="262" t="s">
        <v>1117</v>
      </c>
      <c r="C1006" s="287">
        <v>1.9292333108E10</v>
      </c>
      <c r="D1006" s="286" t="s">
        <v>3542</v>
      </c>
      <c r="E1006" s="286" t="s">
        <v>1409</v>
      </c>
    </row>
    <row r="1007">
      <c r="A1007" s="290" t="s">
        <v>3543</v>
      </c>
      <c r="B1007" s="286" t="s">
        <v>3544</v>
      </c>
      <c r="C1007" s="288">
        <v>5.24432E16</v>
      </c>
      <c r="D1007" s="286" t="s">
        <v>3545</v>
      </c>
      <c r="E1007" s="286" t="s">
        <v>1307</v>
      </c>
    </row>
    <row r="1008">
      <c r="A1008" s="286" t="s">
        <v>2098</v>
      </c>
      <c r="B1008" s="286" t="s">
        <v>3546</v>
      </c>
      <c r="C1008" s="288">
        <v>5.27331E16</v>
      </c>
      <c r="D1008" s="286" t="s">
        <v>3547</v>
      </c>
      <c r="E1008" s="286" t="s">
        <v>1307</v>
      </c>
    </row>
    <row r="1009">
      <c r="A1009" s="286" t="s">
        <v>1406</v>
      </c>
      <c r="B1009" s="262" t="s">
        <v>1618</v>
      </c>
      <c r="C1009" s="287">
        <v>1.6094339262E10</v>
      </c>
      <c r="D1009" s="286" t="s">
        <v>3548</v>
      </c>
      <c r="E1009" s="286" t="s">
        <v>1409</v>
      </c>
    </row>
    <row r="1010">
      <c r="A1010" s="286" t="s">
        <v>2262</v>
      </c>
      <c r="B1010" s="286" t="s">
        <v>1331</v>
      </c>
      <c r="C1010" s="287">
        <v>1.8097850795E10</v>
      </c>
      <c r="D1010" s="286" t="s">
        <v>3549</v>
      </c>
      <c r="E1010" s="286" t="s">
        <v>1307</v>
      </c>
    </row>
    <row r="1011">
      <c r="A1011" s="286" t="s">
        <v>1606</v>
      </c>
      <c r="B1011" s="286" t="s">
        <v>3199</v>
      </c>
      <c r="C1011" s="288">
        <v>5.73028E16</v>
      </c>
      <c r="D1011" s="286" t="s">
        <v>3550</v>
      </c>
      <c r="E1011" s="286" t="s">
        <v>1307</v>
      </c>
    </row>
    <row r="1012">
      <c r="A1012" s="286" t="s">
        <v>3551</v>
      </c>
      <c r="B1012" s="262" t="s">
        <v>3552</v>
      </c>
      <c r="C1012" s="287">
        <v>1.8016964869E10</v>
      </c>
      <c r="D1012" s="286" t="s">
        <v>3553</v>
      </c>
      <c r="E1012" s="286" t="s">
        <v>1409</v>
      </c>
    </row>
    <row r="1013">
      <c r="A1013" s="286" t="s">
        <v>3554</v>
      </c>
      <c r="B1013" s="262" t="s">
        <v>3555</v>
      </c>
      <c r="C1013" s="287">
        <v>1.8297539333E10</v>
      </c>
      <c r="D1013" s="286" t="s">
        <v>3556</v>
      </c>
      <c r="E1013" s="286" t="s">
        <v>1409</v>
      </c>
    </row>
    <row r="1014">
      <c r="A1014" s="286" t="s">
        <v>1344</v>
      </c>
      <c r="B1014" s="262" t="s">
        <v>3557</v>
      </c>
      <c r="C1014" s="287">
        <v>1.4804303962E10</v>
      </c>
      <c r="D1014" s="286" t="s">
        <v>3558</v>
      </c>
      <c r="E1014" s="286" t="s">
        <v>1409</v>
      </c>
    </row>
    <row r="1015">
      <c r="A1015" s="286" t="s">
        <v>3559</v>
      </c>
      <c r="B1015" s="286" t="s">
        <v>1661</v>
      </c>
      <c r="C1015" s="288">
        <v>5.73133E16</v>
      </c>
      <c r="D1015" s="286" t="s">
        <v>3560</v>
      </c>
      <c r="E1015" s="286" t="s">
        <v>1307</v>
      </c>
    </row>
    <row r="1016">
      <c r="A1016" s="286" t="s">
        <v>2377</v>
      </c>
      <c r="B1016" s="262"/>
      <c r="C1016" s="288">
        <v>5.25529E16</v>
      </c>
      <c r="D1016" s="286" t="s">
        <v>3561</v>
      </c>
      <c r="E1016" s="286" t="s">
        <v>1307</v>
      </c>
    </row>
    <row r="1017">
      <c r="A1017" s="286" t="s">
        <v>2862</v>
      </c>
      <c r="B1017" s="286" t="s">
        <v>3562</v>
      </c>
      <c r="C1017" s="288">
        <v>5.95992E16</v>
      </c>
      <c r="D1017" s="286" t="s">
        <v>3563</v>
      </c>
      <c r="E1017" s="286" t="s">
        <v>1307</v>
      </c>
    </row>
    <row r="1018">
      <c r="A1018" s="286" t="s">
        <v>2259</v>
      </c>
      <c r="B1018" s="286" t="s">
        <v>3564</v>
      </c>
      <c r="C1018" s="288">
        <v>5.24614E16</v>
      </c>
      <c r="D1018" s="286" t="s">
        <v>3565</v>
      </c>
      <c r="E1018" s="286" t="s">
        <v>1307</v>
      </c>
    </row>
    <row r="1019">
      <c r="A1019" s="286" t="s">
        <v>1406</v>
      </c>
      <c r="B1019" s="286" t="s">
        <v>3566</v>
      </c>
      <c r="C1019" s="288">
        <v>5.73113E16</v>
      </c>
      <c r="D1019" s="286" t="s">
        <v>3567</v>
      </c>
      <c r="E1019" s="286" t="s">
        <v>1307</v>
      </c>
    </row>
    <row r="1020">
      <c r="A1020" s="286" t="s">
        <v>2259</v>
      </c>
      <c r="B1020" s="286" t="s">
        <v>2478</v>
      </c>
      <c r="C1020" s="287">
        <v>1.8299266937E10</v>
      </c>
      <c r="D1020" s="286" t="s">
        <v>3568</v>
      </c>
      <c r="E1020" s="286" t="s">
        <v>1307</v>
      </c>
    </row>
    <row r="1021">
      <c r="A1021" s="286" t="s">
        <v>1560</v>
      </c>
      <c r="B1021" s="286" t="s">
        <v>3569</v>
      </c>
      <c r="C1021" s="287">
        <v>1.8296195423E10</v>
      </c>
      <c r="D1021" s="286" t="s">
        <v>3570</v>
      </c>
      <c r="E1021" s="286" t="s">
        <v>1307</v>
      </c>
    </row>
    <row r="1022">
      <c r="A1022" s="286" t="s">
        <v>3004</v>
      </c>
      <c r="B1022" s="262"/>
      <c r="C1022" s="287">
        <v>1.8097809604E10</v>
      </c>
      <c r="D1022" s="286" t="s">
        <v>3571</v>
      </c>
      <c r="E1022" s="286" t="s">
        <v>1307</v>
      </c>
    </row>
    <row r="1023">
      <c r="A1023" s="286" t="s">
        <v>1481</v>
      </c>
      <c r="B1023" s="286" t="s">
        <v>2176</v>
      </c>
      <c r="C1023" s="287">
        <v>5.0243373052E10</v>
      </c>
      <c r="D1023" s="286" t="s">
        <v>3572</v>
      </c>
      <c r="E1023" s="286" t="s">
        <v>1307</v>
      </c>
    </row>
    <row r="1024">
      <c r="A1024" s="286" t="s">
        <v>3573</v>
      </c>
      <c r="B1024" s="286" t="s">
        <v>1515</v>
      </c>
      <c r="C1024" s="287">
        <v>5.1927963401E10</v>
      </c>
      <c r="D1024" s="286" t="s">
        <v>3574</v>
      </c>
      <c r="E1024" s="286" t="s">
        <v>1307</v>
      </c>
    </row>
    <row r="1025">
      <c r="A1025" s="286" t="s">
        <v>1308</v>
      </c>
      <c r="B1025" s="286" t="s">
        <v>3575</v>
      </c>
      <c r="C1025" s="288">
        <v>5.95992E16</v>
      </c>
      <c r="D1025" s="286" t="s">
        <v>3576</v>
      </c>
      <c r="E1025" s="286" t="s">
        <v>1307</v>
      </c>
    </row>
    <row r="1026">
      <c r="A1026" s="286" t="s">
        <v>3577</v>
      </c>
      <c r="B1026" s="286" t="s">
        <v>3578</v>
      </c>
      <c r="C1026" s="288">
        <v>5.95984E16</v>
      </c>
      <c r="D1026" s="286" t="s">
        <v>3579</v>
      </c>
      <c r="E1026" s="286" t="s">
        <v>1307</v>
      </c>
    </row>
    <row r="1027">
      <c r="A1027" s="286" t="s">
        <v>1722</v>
      </c>
      <c r="B1027" s="286" t="s">
        <v>3580</v>
      </c>
      <c r="C1027" s="287">
        <v>5.0259781797E10</v>
      </c>
      <c r="D1027" s="286" t="s">
        <v>3581</v>
      </c>
      <c r="E1027" s="286" t="s">
        <v>1307</v>
      </c>
    </row>
    <row r="1028">
      <c r="A1028" s="286" t="s">
        <v>3582</v>
      </c>
      <c r="B1028" s="286" t="s">
        <v>3583</v>
      </c>
      <c r="C1028" s="288">
        <v>5.23311E16</v>
      </c>
      <c r="D1028" s="286" t="s">
        <v>3584</v>
      </c>
      <c r="E1028" s="286" t="s">
        <v>1307</v>
      </c>
    </row>
    <row r="1029">
      <c r="A1029" s="286" t="s">
        <v>3585</v>
      </c>
      <c r="B1029" s="286" t="s">
        <v>3586</v>
      </c>
      <c r="C1029" s="287">
        <v>1.9802292127E10</v>
      </c>
      <c r="D1029" s="286" t="s">
        <v>3587</v>
      </c>
      <c r="E1029" s="286" t="s">
        <v>1307</v>
      </c>
    </row>
    <row r="1030">
      <c r="A1030" s="286" t="s">
        <v>3461</v>
      </c>
      <c r="B1030" s="286" t="s">
        <v>1791</v>
      </c>
      <c r="C1030" s="287">
        <v>1.8095136824E10</v>
      </c>
      <c r="D1030" s="286" t="s">
        <v>3588</v>
      </c>
      <c r="E1030" s="286" t="s">
        <v>1307</v>
      </c>
    </row>
    <row r="1031">
      <c r="A1031" s="286" t="s">
        <v>1747</v>
      </c>
      <c r="B1031" s="262" t="s">
        <v>3589</v>
      </c>
      <c r="C1031" s="288">
        <v>5.29993E16</v>
      </c>
      <c r="D1031" s="286" t="s">
        <v>3590</v>
      </c>
      <c r="E1031" s="286" t="s">
        <v>1409</v>
      </c>
    </row>
    <row r="1032">
      <c r="A1032" s="286" t="s">
        <v>1631</v>
      </c>
      <c r="B1032" s="286" t="s">
        <v>3591</v>
      </c>
      <c r="C1032" s="287">
        <v>1.8295523472E10</v>
      </c>
      <c r="D1032" s="286" t="s">
        <v>3592</v>
      </c>
      <c r="E1032" s="286" t="s">
        <v>1307</v>
      </c>
    </row>
    <row r="1033">
      <c r="A1033" s="286" t="s">
        <v>3593</v>
      </c>
      <c r="B1033" s="262"/>
      <c r="C1033" s="288">
        <v>5.95982E16</v>
      </c>
      <c r="D1033" s="286" t="s">
        <v>3594</v>
      </c>
      <c r="E1033" s="286" t="s">
        <v>1307</v>
      </c>
    </row>
    <row r="1034">
      <c r="A1034" s="286" t="s">
        <v>3595</v>
      </c>
      <c r="B1034" s="286" t="s">
        <v>1811</v>
      </c>
      <c r="C1034" s="288">
        <v>5.59598E17</v>
      </c>
      <c r="D1034" s="286" t="s">
        <v>3596</v>
      </c>
      <c r="E1034" s="286" t="s">
        <v>1307</v>
      </c>
    </row>
    <row r="1035">
      <c r="A1035" s="286" t="s">
        <v>1918</v>
      </c>
      <c r="B1035" s="286" t="s">
        <v>3597</v>
      </c>
      <c r="C1035" s="288">
        <v>5.73135E16</v>
      </c>
      <c r="D1035" s="286" t="s">
        <v>3598</v>
      </c>
      <c r="E1035" s="286" t="s">
        <v>1307</v>
      </c>
    </row>
    <row r="1036">
      <c r="A1036" s="286" t="s">
        <v>3599</v>
      </c>
      <c r="B1036" s="262" t="s">
        <v>1424</v>
      </c>
      <c r="C1036" s="287">
        <v>1.7876434374E10</v>
      </c>
      <c r="D1036" s="286" t="s">
        <v>3600</v>
      </c>
      <c r="E1036" s="286" t="s">
        <v>1409</v>
      </c>
    </row>
    <row r="1037">
      <c r="A1037" s="286" t="s">
        <v>2653</v>
      </c>
      <c r="B1037" s="286" t="s">
        <v>1420</v>
      </c>
      <c r="C1037" s="288">
        <v>5.29617E16</v>
      </c>
      <c r="D1037" s="286" t="s">
        <v>3601</v>
      </c>
      <c r="E1037" s="286" t="s">
        <v>1307</v>
      </c>
    </row>
    <row r="1038">
      <c r="A1038" s="286" t="s">
        <v>579</v>
      </c>
      <c r="B1038" s="262" t="s">
        <v>1677</v>
      </c>
      <c r="C1038" s="287">
        <v>5.0241545526E10</v>
      </c>
      <c r="D1038" s="286" t="s">
        <v>3602</v>
      </c>
      <c r="E1038" s="286" t="s">
        <v>1409</v>
      </c>
    </row>
    <row r="1039">
      <c r="A1039" s="286" t="s">
        <v>3603</v>
      </c>
      <c r="B1039" s="286" t="s">
        <v>3604</v>
      </c>
      <c r="C1039" s="288">
        <v>5.73196E16</v>
      </c>
      <c r="D1039" s="286" t="s">
        <v>3605</v>
      </c>
      <c r="E1039" s="286" t="s">
        <v>1307</v>
      </c>
    </row>
    <row r="1040">
      <c r="A1040" s="286" t="s">
        <v>1512</v>
      </c>
      <c r="B1040" s="262" t="s">
        <v>3606</v>
      </c>
      <c r="C1040" s="287">
        <v>1.5127700213E10</v>
      </c>
      <c r="D1040" s="286" t="s">
        <v>3607</v>
      </c>
      <c r="E1040" s="286" t="s">
        <v>1409</v>
      </c>
    </row>
    <row r="1041">
      <c r="A1041" s="286" t="s">
        <v>3608</v>
      </c>
      <c r="B1041" s="286" t="s">
        <v>3609</v>
      </c>
      <c r="C1041" s="287">
        <v>1.3125430933E10</v>
      </c>
      <c r="D1041" s="286" t="s">
        <v>3610</v>
      </c>
      <c r="E1041" s="286" t="s">
        <v>1307</v>
      </c>
    </row>
    <row r="1042">
      <c r="A1042" s="286" t="s">
        <v>3017</v>
      </c>
      <c r="B1042" s="262" t="s">
        <v>2486</v>
      </c>
      <c r="C1042" s="287">
        <v>1.2564700798E10</v>
      </c>
      <c r="D1042" s="286" t="s">
        <v>3611</v>
      </c>
      <c r="E1042" s="286" t="s">
        <v>1409</v>
      </c>
    </row>
    <row r="1043">
      <c r="A1043" s="286" t="s">
        <v>1117</v>
      </c>
      <c r="B1043" s="286" t="s">
        <v>3612</v>
      </c>
      <c r="C1043" s="287">
        <v>1.8294278763E10</v>
      </c>
      <c r="D1043" s="286" t="s">
        <v>3613</v>
      </c>
      <c r="E1043" s="288">
        <v>1.20234E22</v>
      </c>
    </row>
    <row r="1044">
      <c r="A1044" s="286" t="s">
        <v>3614</v>
      </c>
      <c r="B1044" s="262" t="s">
        <v>3615</v>
      </c>
      <c r="C1044" s="288">
        <v>5.73127E16</v>
      </c>
      <c r="D1044" s="286" t="s">
        <v>3616</v>
      </c>
      <c r="E1044" s="286" t="s">
        <v>1409</v>
      </c>
    </row>
    <row r="1045">
      <c r="A1045" s="286" t="s">
        <v>1681</v>
      </c>
      <c r="B1045" s="262" t="s">
        <v>3617</v>
      </c>
      <c r="C1045" s="287">
        <v>1.826721668E10</v>
      </c>
      <c r="D1045" s="286" t="s">
        <v>3618</v>
      </c>
      <c r="E1045" s="286" t="s">
        <v>1409</v>
      </c>
    </row>
    <row r="1046">
      <c r="A1046" s="286" t="s">
        <v>2825</v>
      </c>
      <c r="B1046" s="262" t="s">
        <v>1542</v>
      </c>
      <c r="C1046" s="287">
        <v>5.0242580824E10</v>
      </c>
      <c r="D1046" s="286" t="s">
        <v>3619</v>
      </c>
      <c r="E1046" s="286" t="s">
        <v>1409</v>
      </c>
    </row>
    <row r="1047">
      <c r="A1047" s="286" t="s">
        <v>3620</v>
      </c>
      <c r="B1047" s="286" t="s">
        <v>3621</v>
      </c>
      <c r="C1047" s="287">
        <v>1.8293478304E10</v>
      </c>
      <c r="D1047" s="286" t="s">
        <v>3622</v>
      </c>
      <c r="E1047" s="286" t="s">
        <v>1307</v>
      </c>
    </row>
    <row r="1048">
      <c r="A1048" s="286" t="s">
        <v>1636</v>
      </c>
      <c r="B1048" s="262" t="s">
        <v>981</v>
      </c>
      <c r="C1048" s="288">
        <v>5.73106E16</v>
      </c>
      <c r="D1048" s="286" t="s">
        <v>3623</v>
      </c>
      <c r="E1048" s="286" t="s">
        <v>1409</v>
      </c>
    </row>
    <row r="1049">
      <c r="A1049" s="286" t="s">
        <v>3624</v>
      </c>
      <c r="B1049" s="262"/>
      <c r="C1049" s="288">
        <v>5.59598E17</v>
      </c>
      <c r="D1049" s="286" t="s">
        <v>3625</v>
      </c>
      <c r="E1049" s="286" t="s">
        <v>1307</v>
      </c>
    </row>
    <row r="1050">
      <c r="A1050" s="286" t="s">
        <v>1392</v>
      </c>
      <c r="B1050" s="286" t="s">
        <v>3626</v>
      </c>
      <c r="C1050" s="287">
        <v>1.6149025753E10</v>
      </c>
      <c r="D1050" s="286" t="s">
        <v>1201</v>
      </c>
      <c r="E1050" s="286" t="s">
        <v>1307</v>
      </c>
    </row>
    <row r="1051">
      <c r="A1051" s="286" t="s">
        <v>3627</v>
      </c>
      <c r="B1051" s="286" t="s">
        <v>3628</v>
      </c>
      <c r="C1051" s="287">
        <v>1.8096743582E10</v>
      </c>
      <c r="D1051" s="286" t="s">
        <v>3629</v>
      </c>
      <c r="E1051" s="286" t="s">
        <v>1307</v>
      </c>
    </row>
    <row r="1052">
      <c r="A1052" s="286" t="s">
        <v>3051</v>
      </c>
      <c r="B1052" s="262" t="s">
        <v>1659</v>
      </c>
      <c r="C1052" s="287">
        <v>1.4072676053E10</v>
      </c>
      <c r="D1052" s="286" t="s">
        <v>3630</v>
      </c>
      <c r="E1052" s="286" t="s">
        <v>1409</v>
      </c>
    </row>
    <row r="1053">
      <c r="A1053" s="286" t="s">
        <v>3089</v>
      </c>
      <c r="B1053" s="262" t="s">
        <v>3631</v>
      </c>
      <c r="C1053" s="287">
        <v>1.6123883607E10</v>
      </c>
      <c r="D1053" s="286" t="s">
        <v>3632</v>
      </c>
      <c r="E1053" s="286" t="s">
        <v>1409</v>
      </c>
    </row>
    <row r="1054">
      <c r="A1054" s="286" t="s">
        <v>1650</v>
      </c>
      <c r="B1054" s="262" t="s">
        <v>2456</v>
      </c>
      <c r="C1054" s="287">
        <v>1.6124722074E10</v>
      </c>
      <c r="D1054" s="286" t="s">
        <v>3633</v>
      </c>
      <c r="E1054" s="286" t="s">
        <v>1409</v>
      </c>
    </row>
    <row r="1055">
      <c r="A1055" s="286" t="s">
        <v>579</v>
      </c>
      <c r="B1055" s="286" t="s">
        <v>3634</v>
      </c>
      <c r="C1055" s="287">
        <v>1.7865560924E10</v>
      </c>
      <c r="D1055" s="286" t="s">
        <v>3635</v>
      </c>
      <c r="E1055" s="286" t="s">
        <v>1307</v>
      </c>
    </row>
    <row r="1056">
      <c r="A1056" s="286" t="s">
        <v>3636</v>
      </c>
      <c r="B1056" s="286" t="s">
        <v>1345</v>
      </c>
      <c r="C1056" s="287">
        <v>1.9512398963E10</v>
      </c>
      <c r="D1056" s="286" t="s">
        <v>3637</v>
      </c>
      <c r="E1056" s="286" t="s">
        <v>1307</v>
      </c>
    </row>
    <row r="1057">
      <c r="A1057" s="286" t="s">
        <v>1805</v>
      </c>
      <c r="B1057" s="286" t="s">
        <v>2446</v>
      </c>
      <c r="C1057" s="287">
        <v>1.3473604651E10</v>
      </c>
      <c r="D1057" s="286" t="s">
        <v>3638</v>
      </c>
      <c r="E1057" s="286" t="s">
        <v>1860</v>
      </c>
    </row>
    <row r="1058">
      <c r="A1058" s="286" t="s">
        <v>2184</v>
      </c>
      <c r="B1058" s="286" t="s">
        <v>1515</v>
      </c>
      <c r="C1058" s="287">
        <v>1.4433069035E10</v>
      </c>
      <c r="D1058" s="286" t="s">
        <v>3639</v>
      </c>
      <c r="E1058" s="286" t="s">
        <v>1307</v>
      </c>
    </row>
    <row r="1059">
      <c r="A1059" s="286" t="s">
        <v>1701</v>
      </c>
      <c r="B1059" s="262" t="s">
        <v>1763</v>
      </c>
      <c r="C1059" s="287">
        <v>1.40741406E10</v>
      </c>
      <c r="D1059" s="286" t="s">
        <v>3640</v>
      </c>
      <c r="E1059" s="286" t="s">
        <v>1409</v>
      </c>
    </row>
    <row r="1060">
      <c r="A1060" s="286" t="s">
        <v>3641</v>
      </c>
      <c r="B1060" s="262" t="s">
        <v>2946</v>
      </c>
      <c r="C1060" s="287">
        <v>5.6932651798E10</v>
      </c>
      <c r="D1060" s="286" t="s">
        <v>3642</v>
      </c>
      <c r="E1060" s="286" t="s">
        <v>1409</v>
      </c>
    </row>
    <row r="1061">
      <c r="A1061" s="286" t="s">
        <v>3643</v>
      </c>
      <c r="B1061" s="286" t="s">
        <v>1677</v>
      </c>
      <c r="C1061" s="287">
        <v>1.7472148725E10</v>
      </c>
      <c r="D1061" s="286" t="s">
        <v>3644</v>
      </c>
      <c r="E1061" s="286" t="s">
        <v>1307</v>
      </c>
    </row>
    <row r="1062">
      <c r="A1062" s="286" t="s">
        <v>3645</v>
      </c>
      <c r="B1062" s="262"/>
      <c r="C1062" s="287">
        <v>1.78672739E10</v>
      </c>
      <c r="D1062" s="286" t="s">
        <v>3646</v>
      </c>
      <c r="E1062" s="286" t="s">
        <v>3647</v>
      </c>
    </row>
    <row r="1063">
      <c r="A1063" s="286" t="s">
        <v>1636</v>
      </c>
      <c r="B1063" s="262" t="s">
        <v>3648</v>
      </c>
      <c r="C1063" s="287">
        <v>1.7865431192E10</v>
      </c>
      <c r="D1063" s="286" t="s">
        <v>3649</v>
      </c>
      <c r="E1063" s="286" t="s">
        <v>1409</v>
      </c>
    </row>
    <row r="1064">
      <c r="A1064" s="286" t="s">
        <v>545</v>
      </c>
      <c r="B1064" s="286" t="s">
        <v>3493</v>
      </c>
      <c r="C1064" s="287">
        <v>1.830456202E10</v>
      </c>
      <c r="D1064" s="286" t="s">
        <v>3650</v>
      </c>
      <c r="E1064" s="286" t="s">
        <v>3647</v>
      </c>
    </row>
    <row r="1065">
      <c r="A1065" s="286" t="s">
        <v>1308</v>
      </c>
      <c r="B1065" s="262" t="s">
        <v>3651</v>
      </c>
      <c r="C1065" s="287">
        <v>1.6467530123E10</v>
      </c>
      <c r="D1065" s="286" t="s">
        <v>3652</v>
      </c>
      <c r="E1065" s="286" t="s">
        <v>1409</v>
      </c>
    </row>
    <row r="1066">
      <c r="A1066" s="286" t="s">
        <v>1615</v>
      </c>
      <c r="B1066" s="262"/>
      <c r="C1066" s="287">
        <v>1.8623015522E10</v>
      </c>
      <c r="D1066" s="286" t="s">
        <v>3653</v>
      </c>
      <c r="E1066" s="286" t="s">
        <v>1409</v>
      </c>
    </row>
    <row r="1067">
      <c r="A1067" s="286" t="s">
        <v>3654</v>
      </c>
      <c r="B1067" s="262"/>
      <c r="C1067" s="287">
        <v>1.9095099295E10</v>
      </c>
      <c r="D1067" s="286" t="s">
        <v>3655</v>
      </c>
      <c r="E1067" s="286" t="s">
        <v>1307</v>
      </c>
    </row>
    <row r="1068">
      <c r="A1068" s="286" t="s">
        <v>1344</v>
      </c>
      <c r="B1068" s="262"/>
      <c r="C1068" s="287">
        <v>1.3104086253E10</v>
      </c>
      <c r="D1068" s="286" t="s">
        <v>3656</v>
      </c>
      <c r="E1068" s="288">
        <v>1.20233E22</v>
      </c>
    </row>
    <row r="1069">
      <c r="A1069" s="286" t="s">
        <v>3657</v>
      </c>
      <c r="B1069" s="286" t="s">
        <v>3658</v>
      </c>
      <c r="C1069" s="287">
        <v>1.8187499656E10</v>
      </c>
      <c r="D1069" s="286" t="s">
        <v>3659</v>
      </c>
      <c r="E1069" s="286" t="s">
        <v>1307</v>
      </c>
    </row>
    <row r="1070">
      <c r="A1070" s="286" t="s">
        <v>1134</v>
      </c>
      <c r="B1070" s="286" t="s">
        <v>3660</v>
      </c>
      <c r="C1070" s="287">
        <v>1.808384542E10</v>
      </c>
      <c r="D1070" s="286" t="s">
        <v>3661</v>
      </c>
      <c r="E1070" s="286" t="s">
        <v>3647</v>
      </c>
    </row>
    <row r="1071">
      <c r="A1071" s="286" t="s">
        <v>1319</v>
      </c>
      <c r="B1071" s="286" t="s">
        <v>3662</v>
      </c>
      <c r="C1071" s="287">
        <v>1.3236219401E10</v>
      </c>
      <c r="D1071" s="286" t="s">
        <v>3663</v>
      </c>
      <c r="E1071" s="286" t="s">
        <v>1307</v>
      </c>
    </row>
    <row r="1072">
      <c r="A1072" s="286" t="s">
        <v>1631</v>
      </c>
      <c r="B1072" s="262"/>
      <c r="C1072" s="287">
        <v>1.7047793752E10</v>
      </c>
      <c r="D1072" s="286" t="s">
        <v>3664</v>
      </c>
      <c r="E1072" s="286" t="s">
        <v>1307</v>
      </c>
    </row>
    <row r="1073">
      <c r="A1073" s="286" t="s">
        <v>1344</v>
      </c>
      <c r="B1073" s="286" t="s">
        <v>3665</v>
      </c>
      <c r="C1073" s="287">
        <v>1.2095895524E10</v>
      </c>
      <c r="D1073" s="286" t="s">
        <v>3666</v>
      </c>
      <c r="E1073" s="286" t="s">
        <v>1307</v>
      </c>
    </row>
    <row r="1074">
      <c r="A1074" s="286" t="s">
        <v>3667</v>
      </c>
      <c r="B1074" s="286" t="s">
        <v>3668</v>
      </c>
      <c r="C1074" s="287">
        <v>1.8182987237E10</v>
      </c>
      <c r="D1074" s="286" t="s">
        <v>3669</v>
      </c>
      <c r="E1074" s="286" t="s">
        <v>1307</v>
      </c>
    </row>
    <row r="1075">
      <c r="A1075" s="286" t="s">
        <v>3670</v>
      </c>
      <c r="B1075" s="286" t="s">
        <v>3671</v>
      </c>
      <c r="C1075" s="287">
        <v>1.5519991706E10</v>
      </c>
      <c r="D1075" s="286" t="s">
        <v>3672</v>
      </c>
      <c r="E1075" s="286" t="s">
        <v>1307</v>
      </c>
    </row>
    <row r="1076">
      <c r="A1076" s="286" t="s">
        <v>3673</v>
      </c>
      <c r="B1076" s="286" t="s">
        <v>1471</v>
      </c>
      <c r="C1076" s="287">
        <v>1.646753086E10</v>
      </c>
      <c r="D1076" s="286" t="s">
        <v>3674</v>
      </c>
      <c r="E1076" s="286" t="s">
        <v>3647</v>
      </c>
    </row>
    <row r="1077">
      <c r="A1077" s="286" t="s">
        <v>3675</v>
      </c>
      <c r="B1077" s="286" t="s">
        <v>2005</v>
      </c>
      <c r="C1077" s="287">
        <v>1.3193316251E10</v>
      </c>
      <c r="D1077" s="286" t="s">
        <v>3676</v>
      </c>
      <c r="E1077" s="286" t="s">
        <v>1307</v>
      </c>
    </row>
    <row r="1078">
      <c r="A1078" s="286" t="s">
        <v>3677</v>
      </c>
      <c r="B1078" s="262"/>
      <c r="C1078" s="287">
        <v>1.3177955618E10</v>
      </c>
      <c r="D1078" s="286" t="s">
        <v>3678</v>
      </c>
      <c r="E1078" s="286" t="s">
        <v>3647</v>
      </c>
    </row>
    <row r="1079">
      <c r="A1079" s="286" t="s">
        <v>589</v>
      </c>
      <c r="B1079" s="286" t="s">
        <v>3679</v>
      </c>
      <c r="C1079" s="287">
        <v>1.8572371782E10</v>
      </c>
      <c r="D1079" s="286" t="s">
        <v>3680</v>
      </c>
      <c r="E1079" s="286" t="s">
        <v>3647</v>
      </c>
    </row>
    <row r="1080">
      <c r="A1080" s="286" t="s">
        <v>3217</v>
      </c>
      <c r="B1080" s="286" t="s">
        <v>3681</v>
      </c>
      <c r="C1080" s="287">
        <v>1.3312459135E10</v>
      </c>
      <c r="D1080" s="286" t="s">
        <v>3682</v>
      </c>
      <c r="E1080" s="286" t="s">
        <v>1307</v>
      </c>
    </row>
    <row r="1081">
      <c r="A1081" s="286" t="s">
        <v>3683</v>
      </c>
      <c r="B1081" s="286" t="s">
        <v>3684</v>
      </c>
      <c r="C1081" s="287">
        <v>1.6124081432E10</v>
      </c>
      <c r="D1081" s="286" t="s">
        <v>3685</v>
      </c>
      <c r="E1081" s="286" t="s">
        <v>1307</v>
      </c>
    </row>
    <row r="1082">
      <c r="A1082" s="286" t="s">
        <v>1394</v>
      </c>
      <c r="B1082" s="286" t="s">
        <v>1651</v>
      </c>
      <c r="C1082" s="287">
        <v>1.8324520868E10</v>
      </c>
      <c r="D1082" s="286" t="s">
        <v>3686</v>
      </c>
      <c r="E1082" s="286" t="s">
        <v>1307</v>
      </c>
    </row>
    <row r="1083">
      <c r="A1083" s="286" t="s">
        <v>3457</v>
      </c>
      <c r="C1083" s="287">
        <v>1.3235716119E10</v>
      </c>
      <c r="D1083" s="286" t="s">
        <v>3687</v>
      </c>
      <c r="E1083" s="286" t="s">
        <v>1307</v>
      </c>
    </row>
    <row r="1084">
      <c r="A1084" s="286" t="s">
        <v>2874</v>
      </c>
      <c r="B1084" s="286" t="s">
        <v>3688</v>
      </c>
      <c r="C1084" s="287">
        <v>1.2245735493E10</v>
      </c>
      <c r="D1084" s="286" t="s">
        <v>3689</v>
      </c>
      <c r="E1084" s="286" t="s">
        <v>1307</v>
      </c>
    </row>
    <row r="1085">
      <c r="A1085" s="286" t="s">
        <v>3690</v>
      </c>
      <c r="B1085" s="262"/>
      <c r="C1085" s="287">
        <v>1.4046716684E10</v>
      </c>
      <c r="D1085" s="286" t="s">
        <v>3691</v>
      </c>
      <c r="E1085" s="286" t="s">
        <v>1860</v>
      </c>
    </row>
    <row r="1086">
      <c r="A1086" s="286" t="s">
        <v>1347</v>
      </c>
      <c r="B1086" s="262" t="s">
        <v>3692</v>
      </c>
      <c r="C1086" s="287">
        <v>1.4045450673E10</v>
      </c>
      <c r="D1086" s="286" t="s">
        <v>3693</v>
      </c>
      <c r="E1086" s="286" t="s">
        <v>1298</v>
      </c>
    </row>
    <row r="1087">
      <c r="A1087" s="286" t="s">
        <v>3694</v>
      </c>
      <c r="B1087" s="286" t="s">
        <v>1345</v>
      </c>
      <c r="C1087" s="287">
        <v>1.4046459155E10</v>
      </c>
      <c r="D1087" s="286" t="s">
        <v>3695</v>
      </c>
      <c r="E1087" s="286" t="s">
        <v>1848</v>
      </c>
    </row>
    <row r="1088">
      <c r="A1088" s="286" t="s">
        <v>2279</v>
      </c>
      <c r="B1088" s="286" t="s">
        <v>3696</v>
      </c>
      <c r="C1088" s="287">
        <v>1.5615841184E10</v>
      </c>
      <c r="D1088" s="286" t="s">
        <v>3697</v>
      </c>
      <c r="E1088" s="286" t="s">
        <v>1577</v>
      </c>
    </row>
    <row r="1089">
      <c r="A1089" s="286" t="s">
        <v>1918</v>
      </c>
      <c r="B1089" s="262"/>
      <c r="C1089" s="287">
        <v>1.9723754199E10</v>
      </c>
      <c r="D1089" s="286" t="s">
        <v>3698</v>
      </c>
      <c r="E1089" s="286" t="s">
        <v>1409</v>
      </c>
    </row>
    <row r="1090">
      <c r="A1090" s="286" t="s">
        <v>3699</v>
      </c>
      <c r="B1090" s="262" t="s">
        <v>1745</v>
      </c>
      <c r="C1090" s="287">
        <v>1.7863142429E10</v>
      </c>
      <c r="D1090" s="286" t="s">
        <v>3700</v>
      </c>
      <c r="E1090" s="286" t="s">
        <v>1409</v>
      </c>
    </row>
    <row r="1091">
      <c r="A1091" s="286" t="s">
        <v>1390</v>
      </c>
      <c r="B1091" s="286" t="s">
        <v>1515</v>
      </c>
      <c r="C1091" s="287">
        <v>1.3852531147E10</v>
      </c>
      <c r="D1091" s="286" t="s">
        <v>3701</v>
      </c>
      <c r="E1091" s="286" t="s">
        <v>3647</v>
      </c>
    </row>
    <row r="1092">
      <c r="A1092" s="286" t="s">
        <v>3702</v>
      </c>
      <c r="B1092" s="286" t="s">
        <v>3703</v>
      </c>
      <c r="C1092" s="287">
        <v>1.4077798824E10</v>
      </c>
      <c r="D1092" s="286" t="s">
        <v>3704</v>
      </c>
      <c r="E1092" s="286" t="s">
        <v>2278</v>
      </c>
    </row>
    <row r="1093">
      <c r="A1093" s="286" t="s">
        <v>3705</v>
      </c>
      <c r="B1093" s="262"/>
      <c r="C1093" s="287">
        <v>1.2097016036E10</v>
      </c>
      <c r="D1093" s="286" t="s">
        <v>3706</v>
      </c>
      <c r="E1093" s="286" t="s">
        <v>1860</v>
      </c>
    </row>
    <row r="1094">
      <c r="A1094" s="286" t="s">
        <v>3707</v>
      </c>
      <c r="B1094" s="286" t="s">
        <v>2005</v>
      </c>
      <c r="C1094" s="287">
        <v>1.2039941723E10</v>
      </c>
      <c r="D1094" s="286" t="s">
        <v>3708</v>
      </c>
      <c r="E1094" s="286" t="s">
        <v>1534</v>
      </c>
    </row>
    <row r="1095">
      <c r="A1095" s="286" t="s">
        <v>3709</v>
      </c>
      <c r="B1095" s="286" t="s">
        <v>3710</v>
      </c>
      <c r="C1095" s="287">
        <v>1.7134744668E10</v>
      </c>
      <c r="D1095" s="286" t="s">
        <v>3711</v>
      </c>
      <c r="E1095" s="286" t="s">
        <v>1577</v>
      </c>
    </row>
    <row r="1096">
      <c r="A1096" s="286" t="s">
        <v>3712</v>
      </c>
      <c r="B1096" s="286" t="s">
        <v>1761</v>
      </c>
      <c r="C1096" s="287">
        <v>1.4073738312E10</v>
      </c>
      <c r="D1096" s="286" t="s">
        <v>3713</v>
      </c>
      <c r="E1096" s="286" t="s">
        <v>1887</v>
      </c>
    </row>
    <row r="1097">
      <c r="A1097" s="286" t="s">
        <v>3714</v>
      </c>
      <c r="B1097" s="262" t="s">
        <v>3715</v>
      </c>
      <c r="C1097" s="287">
        <v>1.3478062778E10</v>
      </c>
      <c r="D1097" s="286" t="s">
        <v>3716</v>
      </c>
      <c r="E1097" s="286" t="s">
        <v>1409</v>
      </c>
    </row>
    <row r="1098">
      <c r="A1098" s="286" t="s">
        <v>1631</v>
      </c>
      <c r="B1098" s="262" t="s">
        <v>3717</v>
      </c>
      <c r="C1098" s="287">
        <v>1.9149240536E10</v>
      </c>
      <c r="D1098" s="286" t="s">
        <v>3718</v>
      </c>
      <c r="E1098" s="286" t="s">
        <v>1409</v>
      </c>
    </row>
    <row r="1099">
      <c r="A1099" s="286" t="s">
        <v>3719</v>
      </c>
      <c r="B1099" s="262" t="s">
        <v>1356</v>
      </c>
      <c r="C1099" s="287">
        <v>1.2109075739E10</v>
      </c>
      <c r="D1099" s="286" t="s">
        <v>3720</v>
      </c>
      <c r="E1099" s="286" t="s">
        <v>1409</v>
      </c>
    </row>
    <row r="1100">
      <c r="A1100" s="286" t="s">
        <v>2715</v>
      </c>
      <c r="B1100" s="286" t="s">
        <v>3721</v>
      </c>
      <c r="C1100" s="287">
        <v>5.0232237776E10</v>
      </c>
      <c r="D1100" s="286" t="s">
        <v>3722</v>
      </c>
      <c r="E1100" s="286" t="s">
        <v>1307</v>
      </c>
    </row>
    <row r="1101">
      <c r="A1101" s="286" t="s">
        <v>1344</v>
      </c>
      <c r="B1101" s="262" t="s">
        <v>1369</v>
      </c>
      <c r="C1101" s="288">
        <v>5.27607E16</v>
      </c>
      <c r="D1101" s="286" t="s">
        <v>3723</v>
      </c>
      <c r="E1101" s="286" t="s">
        <v>1298</v>
      </c>
    </row>
    <row r="1102">
      <c r="A1102" s="286" t="s">
        <v>3724</v>
      </c>
      <c r="B1102" s="286" t="s">
        <v>2244</v>
      </c>
      <c r="C1102" s="287">
        <v>1.3238300838E10</v>
      </c>
      <c r="D1102" s="286" t="s">
        <v>3725</v>
      </c>
      <c r="E1102" s="286" t="s">
        <v>1307</v>
      </c>
    </row>
    <row r="1103">
      <c r="A1103" s="286" t="s">
        <v>1805</v>
      </c>
      <c r="B1103" s="286" t="s">
        <v>2868</v>
      </c>
      <c r="C1103" s="287">
        <v>1.4084317627E10</v>
      </c>
      <c r="D1103" s="286" t="s">
        <v>3726</v>
      </c>
      <c r="E1103" s="286" t="s">
        <v>1307</v>
      </c>
    </row>
    <row r="1104">
      <c r="A1104" s="286" t="s">
        <v>2058</v>
      </c>
      <c r="B1104" s="262" t="s">
        <v>1471</v>
      </c>
      <c r="C1104" s="287">
        <v>1.5517228538E10</v>
      </c>
      <c r="D1104" s="286" t="s">
        <v>3727</v>
      </c>
      <c r="E1104" s="286" t="s">
        <v>1409</v>
      </c>
    </row>
    <row r="1105">
      <c r="A1105" s="286" t="s">
        <v>2047</v>
      </c>
      <c r="B1105" s="286" t="s">
        <v>3728</v>
      </c>
      <c r="C1105" s="287">
        <v>1.3603888688E10</v>
      </c>
      <c r="D1105" s="286" t="s">
        <v>3729</v>
      </c>
      <c r="E1105" s="286" t="s">
        <v>1307</v>
      </c>
    </row>
    <row r="1106">
      <c r="A1106" s="286" t="s">
        <v>3730</v>
      </c>
      <c r="B1106" s="286" t="s">
        <v>3731</v>
      </c>
      <c r="C1106" s="287">
        <v>1.914501931E10</v>
      </c>
      <c r="D1106" s="286" t="s">
        <v>3732</v>
      </c>
      <c r="E1106" s="286" t="s">
        <v>1860</v>
      </c>
    </row>
    <row r="1107">
      <c r="A1107" s="286" t="s">
        <v>3733</v>
      </c>
      <c r="B1107" s="286" t="s">
        <v>3734</v>
      </c>
      <c r="C1107" s="287">
        <v>1.7867796063E10</v>
      </c>
      <c r="D1107" s="286" t="s">
        <v>3735</v>
      </c>
      <c r="E1107" s="286" t="s">
        <v>2591</v>
      </c>
    </row>
    <row r="1108">
      <c r="A1108" s="286" t="s">
        <v>3736</v>
      </c>
      <c r="B1108" s="286" t="s">
        <v>1345</v>
      </c>
      <c r="C1108" s="287">
        <v>5.0258692813E10</v>
      </c>
      <c r="D1108" s="286" t="s">
        <v>3737</v>
      </c>
      <c r="E1108" s="286" t="s">
        <v>1307</v>
      </c>
    </row>
    <row r="1109">
      <c r="A1109" s="286" t="s">
        <v>3738</v>
      </c>
      <c r="B1109" s="286" t="s">
        <v>3739</v>
      </c>
      <c r="C1109" s="287">
        <v>1.562348923E10</v>
      </c>
      <c r="D1109" s="286" t="s">
        <v>3740</v>
      </c>
      <c r="E1109" s="286" t="s">
        <v>2591</v>
      </c>
    </row>
    <row r="1110">
      <c r="A1110" s="286" t="s">
        <v>3741</v>
      </c>
      <c r="B1110" s="286" t="s">
        <v>3742</v>
      </c>
      <c r="C1110" s="287">
        <v>1.7083141209E10</v>
      </c>
      <c r="D1110" s="286" t="s">
        <v>3743</v>
      </c>
      <c r="E1110" s="286" t="s">
        <v>1534</v>
      </c>
    </row>
    <row r="1111">
      <c r="A1111" s="286" t="s">
        <v>3744</v>
      </c>
      <c r="B1111" s="262" t="s">
        <v>1659</v>
      </c>
      <c r="C1111" s="287">
        <v>1.9089261957E10</v>
      </c>
      <c r="D1111" s="286" t="s">
        <v>3745</v>
      </c>
      <c r="E1111" s="286" t="s">
        <v>1298</v>
      </c>
    </row>
    <row r="1112">
      <c r="A1112" s="286" t="s">
        <v>1911</v>
      </c>
      <c r="B1112" s="262" t="s">
        <v>3746</v>
      </c>
      <c r="C1112" s="287">
        <v>1.3478247678E10</v>
      </c>
      <c r="D1112" s="286" t="s">
        <v>3747</v>
      </c>
      <c r="E1112" s="286" t="s">
        <v>1298</v>
      </c>
    </row>
    <row r="1113">
      <c r="A1113" s="286" t="s">
        <v>3748</v>
      </c>
      <c r="B1113" s="286" t="s">
        <v>3749</v>
      </c>
      <c r="C1113" s="287">
        <v>1.2398957128E10</v>
      </c>
      <c r="D1113" s="286" t="s">
        <v>3750</v>
      </c>
      <c r="E1113" s="286" t="s">
        <v>1738</v>
      </c>
    </row>
    <row r="1114">
      <c r="A1114" s="286" t="s">
        <v>3751</v>
      </c>
      <c r="B1114" s="286" t="s">
        <v>3752</v>
      </c>
      <c r="C1114" s="288">
        <v>5.73042E16</v>
      </c>
      <c r="D1114" s="286" t="s">
        <v>3753</v>
      </c>
      <c r="E1114" s="286" t="s">
        <v>1307</v>
      </c>
    </row>
    <row r="1115">
      <c r="A1115" s="286" t="s">
        <v>1849</v>
      </c>
      <c r="B1115" s="286" t="s">
        <v>3754</v>
      </c>
      <c r="C1115" s="288">
        <v>5.73149E16</v>
      </c>
      <c r="D1115" s="286" t="s">
        <v>3755</v>
      </c>
      <c r="E1115" s="286" t="s">
        <v>1307</v>
      </c>
    </row>
    <row r="1116">
      <c r="A1116" s="286" t="s">
        <v>3756</v>
      </c>
      <c r="B1116" s="286" t="s">
        <v>2713</v>
      </c>
      <c r="C1116" s="287">
        <v>5.0241215124E10</v>
      </c>
      <c r="D1116" s="286" t="s">
        <v>3757</v>
      </c>
      <c r="E1116" s="286" t="s">
        <v>1307</v>
      </c>
    </row>
    <row r="1117">
      <c r="A1117" s="286" t="s">
        <v>1636</v>
      </c>
      <c r="B1117" s="286" t="s">
        <v>1952</v>
      </c>
      <c r="C1117" s="288">
        <v>5.73225E16</v>
      </c>
      <c r="D1117" s="286" t="s">
        <v>3758</v>
      </c>
      <c r="E1117" s="286" t="s">
        <v>1307</v>
      </c>
    </row>
    <row r="1118">
      <c r="A1118" s="286" t="s">
        <v>3759</v>
      </c>
      <c r="B1118" s="286" t="s">
        <v>2649</v>
      </c>
      <c r="C1118" s="287">
        <v>1.6787676541E10</v>
      </c>
      <c r="D1118" s="286" t="s">
        <v>3760</v>
      </c>
      <c r="E1118" s="286" t="s">
        <v>1534</v>
      </c>
    </row>
    <row r="1119">
      <c r="A1119" s="286" t="s">
        <v>3761</v>
      </c>
      <c r="B1119" s="286" t="s">
        <v>1926</v>
      </c>
      <c r="C1119" s="288">
        <v>5.73238E16</v>
      </c>
      <c r="D1119" s="286" t="s">
        <v>3762</v>
      </c>
      <c r="E1119" s="286" t="s">
        <v>1307</v>
      </c>
    </row>
    <row r="1120">
      <c r="A1120" s="286" t="s">
        <v>2659</v>
      </c>
      <c r="B1120" s="286" t="s">
        <v>3763</v>
      </c>
      <c r="C1120" s="287">
        <v>1.9545885615E10</v>
      </c>
      <c r="D1120" s="286" t="s">
        <v>3764</v>
      </c>
      <c r="E1120" s="286" t="s">
        <v>1307</v>
      </c>
    </row>
    <row r="1121">
      <c r="A1121" s="286" t="s">
        <v>3765</v>
      </c>
      <c r="B1121" s="286" t="s">
        <v>3765</v>
      </c>
      <c r="C1121" s="287">
        <v>1.8098782833E10</v>
      </c>
      <c r="D1121" s="286" t="s">
        <v>3766</v>
      </c>
      <c r="E1121" s="288">
        <v>1.20234E22</v>
      </c>
    </row>
    <row r="1122">
      <c r="A1122" s="286" t="s">
        <v>3349</v>
      </c>
      <c r="B1122" s="286" t="s">
        <v>3767</v>
      </c>
      <c r="C1122" s="287">
        <v>1.2542215602E10</v>
      </c>
      <c r="D1122" s="286" t="s">
        <v>3768</v>
      </c>
      <c r="E1122" s="286" t="s">
        <v>1307</v>
      </c>
    </row>
    <row r="1123">
      <c r="A1123" s="286" t="s">
        <v>3769</v>
      </c>
      <c r="B1123" s="262" t="s">
        <v>3770</v>
      </c>
      <c r="C1123" s="287">
        <v>5.0233219931E10</v>
      </c>
      <c r="D1123" s="286" t="s">
        <v>3771</v>
      </c>
      <c r="E1123" s="286" t="s">
        <v>1409</v>
      </c>
    </row>
    <row r="1124">
      <c r="A1124" s="286" t="s">
        <v>1644</v>
      </c>
      <c r="B1124" s="286" t="s">
        <v>1596</v>
      </c>
      <c r="C1124" s="287">
        <v>5.0257512236E10</v>
      </c>
      <c r="D1124" s="286" t="s">
        <v>3772</v>
      </c>
      <c r="E1124" s="288">
        <v>1.20234E22</v>
      </c>
    </row>
    <row r="1125">
      <c r="A1125" s="286" t="s">
        <v>3500</v>
      </c>
      <c r="B1125" s="286" t="s">
        <v>3773</v>
      </c>
      <c r="C1125" s="287">
        <v>5.0255550562E10</v>
      </c>
      <c r="D1125" s="286" t="s">
        <v>3774</v>
      </c>
      <c r="E1125" s="286" t="s">
        <v>1738</v>
      </c>
    </row>
    <row r="1126">
      <c r="A1126" s="286" t="s">
        <v>3775</v>
      </c>
      <c r="B1126" s="286" t="s">
        <v>3776</v>
      </c>
      <c r="C1126" s="287">
        <v>1.4134593447E10</v>
      </c>
      <c r="D1126" s="286" t="s">
        <v>3777</v>
      </c>
      <c r="E1126" s="286" t="s">
        <v>1307</v>
      </c>
    </row>
    <row r="1127">
      <c r="A1127" s="286" t="s">
        <v>3778</v>
      </c>
      <c r="B1127" s="286" t="s">
        <v>3779</v>
      </c>
      <c r="C1127" s="287">
        <v>1.2014780431E10</v>
      </c>
      <c r="D1127" s="286" t="s">
        <v>3780</v>
      </c>
      <c r="E1127" s="286" t="s">
        <v>1534</v>
      </c>
    </row>
    <row r="1128">
      <c r="A1128" s="286" t="s">
        <v>3781</v>
      </c>
      <c r="B1128" s="286" t="s">
        <v>1791</v>
      </c>
      <c r="C1128" s="287">
        <v>1.7864164709E10</v>
      </c>
      <c r="D1128" s="286" t="s">
        <v>3782</v>
      </c>
      <c r="E1128" s="286" t="s">
        <v>1307</v>
      </c>
    </row>
    <row r="1129">
      <c r="A1129" s="286" t="s">
        <v>3783</v>
      </c>
      <c r="B1129" s="262" t="s">
        <v>3784</v>
      </c>
      <c r="C1129" s="287">
        <v>1.908404645E10</v>
      </c>
      <c r="D1129" s="286" t="s">
        <v>3785</v>
      </c>
      <c r="E1129" s="286" t="s">
        <v>1409</v>
      </c>
    </row>
    <row r="1130">
      <c r="A1130" s="286" t="s">
        <v>1001</v>
      </c>
      <c r="B1130" s="286" t="s">
        <v>1515</v>
      </c>
      <c r="C1130" s="287">
        <v>1.3202888984E10</v>
      </c>
      <c r="D1130" s="286" t="s">
        <v>3786</v>
      </c>
      <c r="E1130" s="286" t="s">
        <v>2591</v>
      </c>
    </row>
    <row r="1131">
      <c r="A1131" s="286" t="s">
        <v>1333</v>
      </c>
      <c r="B1131" s="262" t="s">
        <v>3787</v>
      </c>
      <c r="C1131" s="287">
        <v>1.7194927801E10</v>
      </c>
      <c r="D1131" s="286" t="s">
        <v>3788</v>
      </c>
      <c r="E1131" s="286" t="s">
        <v>1409</v>
      </c>
    </row>
    <row r="1132">
      <c r="A1132" s="286" t="s">
        <v>2286</v>
      </c>
      <c r="B1132" s="286" t="s">
        <v>2446</v>
      </c>
      <c r="C1132" s="287">
        <v>1.3055301883E10</v>
      </c>
      <c r="D1132" s="286" t="s">
        <v>3789</v>
      </c>
      <c r="E1132" s="286" t="s">
        <v>3647</v>
      </c>
    </row>
    <row r="1133">
      <c r="A1133" s="286" t="s">
        <v>3790</v>
      </c>
      <c r="B1133" s="262" t="s">
        <v>3791</v>
      </c>
      <c r="C1133" s="287">
        <v>1.979220611E10</v>
      </c>
      <c r="D1133" s="286" t="s">
        <v>3792</v>
      </c>
      <c r="E1133" s="286" t="s">
        <v>1409</v>
      </c>
    </row>
    <row r="1134">
      <c r="A1134" s="286" t="s">
        <v>2842</v>
      </c>
      <c r="B1134" s="286" t="s">
        <v>3793</v>
      </c>
      <c r="C1134" s="287">
        <v>1.9416503261E10</v>
      </c>
      <c r="D1134" s="286" t="s">
        <v>3794</v>
      </c>
      <c r="E1134" s="286" t="s">
        <v>1738</v>
      </c>
    </row>
    <row r="1135">
      <c r="A1135" s="286" t="s">
        <v>658</v>
      </c>
      <c r="B1135" s="286" t="s">
        <v>3795</v>
      </c>
      <c r="C1135" s="287">
        <v>1.4075450674E10</v>
      </c>
      <c r="D1135" s="286" t="s">
        <v>3796</v>
      </c>
      <c r="E1135" s="286" t="s">
        <v>1307</v>
      </c>
    </row>
    <row r="1136">
      <c r="A1136" s="286" t="s">
        <v>1658</v>
      </c>
      <c r="B1136" s="262" t="s">
        <v>3797</v>
      </c>
      <c r="C1136" s="287">
        <v>1.7736331034E10</v>
      </c>
      <c r="D1136" s="286" t="s">
        <v>3798</v>
      </c>
      <c r="E1136" s="286" t="s">
        <v>1298</v>
      </c>
    </row>
    <row r="1137">
      <c r="A1137" s="286" t="s">
        <v>1344</v>
      </c>
      <c r="B1137" s="286" t="s">
        <v>3799</v>
      </c>
      <c r="C1137" s="288">
        <v>5.27721E16</v>
      </c>
      <c r="D1137" s="286" t="s">
        <v>3800</v>
      </c>
      <c r="E1137" s="286" t="s">
        <v>1307</v>
      </c>
    </row>
    <row r="1138">
      <c r="A1138" s="286" t="s">
        <v>1344</v>
      </c>
      <c r="B1138" s="286" t="s">
        <v>3801</v>
      </c>
      <c r="C1138" s="287">
        <v>1.5615425741E10</v>
      </c>
      <c r="D1138" s="286" t="s">
        <v>3802</v>
      </c>
      <c r="E1138" s="286" t="s">
        <v>1307</v>
      </c>
    </row>
    <row r="1139">
      <c r="A1139" s="286" t="s">
        <v>1348</v>
      </c>
      <c r="B1139" s="286" t="s">
        <v>1509</v>
      </c>
      <c r="C1139" s="287">
        <v>1.2032159652E10</v>
      </c>
      <c r="D1139" s="286" t="s">
        <v>3803</v>
      </c>
      <c r="E1139" s="286" t="s">
        <v>2278</v>
      </c>
    </row>
    <row r="1140">
      <c r="A1140" s="286" t="s">
        <v>1805</v>
      </c>
      <c r="B1140" s="286" t="s">
        <v>1659</v>
      </c>
      <c r="C1140" s="287">
        <v>1.6083328239E10</v>
      </c>
      <c r="D1140" s="286" t="s">
        <v>3804</v>
      </c>
      <c r="E1140" s="286" t="s">
        <v>1307</v>
      </c>
    </row>
    <row r="1141">
      <c r="A1141" s="286" t="s">
        <v>1403</v>
      </c>
      <c r="B1141" s="286" t="s">
        <v>2147</v>
      </c>
      <c r="C1141" s="287">
        <v>1.8325863501E10</v>
      </c>
      <c r="D1141" s="286" t="s">
        <v>3805</v>
      </c>
      <c r="E1141" s="286" t="s">
        <v>1534</v>
      </c>
    </row>
    <row r="1142">
      <c r="A1142" s="286" t="s">
        <v>1918</v>
      </c>
      <c r="B1142" s="286" t="s">
        <v>3806</v>
      </c>
      <c r="C1142" s="287">
        <v>1.9154901366E10</v>
      </c>
      <c r="D1142" s="286" t="s">
        <v>3807</v>
      </c>
      <c r="E1142" s="286" t="s">
        <v>1307</v>
      </c>
    </row>
    <row r="1143">
      <c r="A1143" s="286" t="s">
        <v>2653</v>
      </c>
      <c r="B1143" s="262" t="s">
        <v>1803</v>
      </c>
      <c r="C1143" s="287">
        <v>1.7608509256E10</v>
      </c>
      <c r="D1143" s="286" t="s">
        <v>3808</v>
      </c>
      <c r="E1143" s="286" t="s">
        <v>1298</v>
      </c>
    </row>
    <row r="1144">
      <c r="A1144" s="286" t="s">
        <v>1371</v>
      </c>
      <c r="B1144" s="262" t="s">
        <v>3809</v>
      </c>
      <c r="C1144" s="287">
        <v>1.4809347521E10</v>
      </c>
      <c r="D1144" s="286" t="s">
        <v>3810</v>
      </c>
      <c r="E1144" s="286" t="s">
        <v>1298</v>
      </c>
    </row>
    <row r="1145">
      <c r="A1145" s="286" t="s">
        <v>3811</v>
      </c>
      <c r="B1145" s="286" t="s">
        <v>2022</v>
      </c>
      <c r="C1145" s="287">
        <v>5.1919665199E10</v>
      </c>
      <c r="D1145" s="286" t="s">
        <v>3812</v>
      </c>
      <c r="E1145" s="286" t="s">
        <v>1307</v>
      </c>
    </row>
    <row r="1146">
      <c r="A1146" s="286" t="s">
        <v>3813</v>
      </c>
      <c r="B1146" s="262" t="s">
        <v>3814</v>
      </c>
      <c r="C1146" s="287">
        <v>1.3866317717E10</v>
      </c>
      <c r="D1146" s="286" t="s">
        <v>3815</v>
      </c>
      <c r="E1146" s="286" t="s">
        <v>1298</v>
      </c>
    </row>
    <row r="1147">
      <c r="A1147" s="286" t="s">
        <v>3816</v>
      </c>
      <c r="B1147" s="262" t="s">
        <v>3817</v>
      </c>
      <c r="C1147" s="287">
        <v>1.7043020854E10</v>
      </c>
      <c r="D1147" s="286" t="s">
        <v>3818</v>
      </c>
      <c r="E1147" s="286" t="s">
        <v>1298</v>
      </c>
    </row>
    <row r="1148">
      <c r="A1148" s="286" t="s">
        <v>2135</v>
      </c>
      <c r="B1148" s="286" t="s">
        <v>1651</v>
      </c>
      <c r="C1148" s="287">
        <v>1.9452176841E10</v>
      </c>
      <c r="D1148" s="286" t="s">
        <v>3819</v>
      </c>
      <c r="E1148" s="286" t="s">
        <v>1414</v>
      </c>
    </row>
    <row r="1149">
      <c r="A1149" s="286" t="s">
        <v>3820</v>
      </c>
      <c r="B1149" s="262" t="s">
        <v>3821</v>
      </c>
      <c r="C1149" s="287">
        <v>1.3478291656E10</v>
      </c>
      <c r="D1149" s="286" t="s">
        <v>3822</v>
      </c>
      <c r="E1149" s="286" t="s">
        <v>1298</v>
      </c>
    </row>
    <row r="1150">
      <c r="A1150" s="286" t="s">
        <v>3823</v>
      </c>
      <c r="B1150" s="286" t="s">
        <v>1471</v>
      </c>
      <c r="C1150" s="287">
        <v>1.8326182277E10</v>
      </c>
      <c r="D1150" s="286" t="s">
        <v>3824</v>
      </c>
      <c r="E1150" s="286" t="s">
        <v>1307</v>
      </c>
    </row>
    <row r="1151">
      <c r="A1151" s="286" t="s">
        <v>1805</v>
      </c>
      <c r="B1151" s="286" t="s">
        <v>3825</v>
      </c>
      <c r="C1151" s="287">
        <v>1.2146082519E10</v>
      </c>
      <c r="D1151" s="286" t="s">
        <v>3826</v>
      </c>
      <c r="E1151" s="286" t="s">
        <v>3827</v>
      </c>
    </row>
    <row r="1152">
      <c r="A1152" s="286" t="s">
        <v>3828</v>
      </c>
      <c r="B1152" s="262" t="s">
        <v>2280</v>
      </c>
      <c r="C1152" s="287">
        <v>1.7868326375E10</v>
      </c>
      <c r="D1152" s="286" t="s">
        <v>3829</v>
      </c>
      <c r="E1152" s="286" t="s">
        <v>1409</v>
      </c>
    </row>
    <row r="1153">
      <c r="A1153" s="286" t="s">
        <v>3336</v>
      </c>
      <c r="B1153" s="262" t="s">
        <v>652</v>
      </c>
      <c r="C1153" s="287">
        <v>1.7864052552E10</v>
      </c>
      <c r="D1153" s="286" t="s">
        <v>3830</v>
      </c>
      <c r="E1153" s="286" t="s">
        <v>1409</v>
      </c>
    </row>
    <row r="1154">
      <c r="A1154" s="286" t="s">
        <v>3023</v>
      </c>
      <c r="B1154" s="286" t="s">
        <v>2077</v>
      </c>
      <c r="C1154" s="287">
        <v>1.8035586969E10</v>
      </c>
      <c r="D1154" s="286" t="s">
        <v>3831</v>
      </c>
      <c r="E1154" s="286" t="s">
        <v>1307</v>
      </c>
    </row>
    <row r="1155">
      <c r="A1155" s="286" t="s">
        <v>3832</v>
      </c>
      <c r="B1155" s="286" t="s">
        <v>1378</v>
      </c>
      <c r="C1155" s="287">
        <v>1.8609952679E10</v>
      </c>
      <c r="D1155" s="286" t="s">
        <v>3833</v>
      </c>
      <c r="E1155" s="286" t="s">
        <v>1534</v>
      </c>
    </row>
    <row r="1156">
      <c r="A1156" s="286" t="s">
        <v>1930</v>
      </c>
      <c r="B1156" s="262" t="s">
        <v>3834</v>
      </c>
      <c r="C1156" s="287">
        <v>5.1936751287E10</v>
      </c>
      <c r="D1156" s="286" t="s">
        <v>3835</v>
      </c>
      <c r="E1156" s="286" t="s">
        <v>1409</v>
      </c>
    </row>
    <row r="1157">
      <c r="A1157" s="286" t="s">
        <v>1394</v>
      </c>
      <c r="B1157" s="262" t="s">
        <v>3836</v>
      </c>
      <c r="C1157" s="287">
        <v>1.6263675877E10</v>
      </c>
      <c r="D1157" s="286" t="s">
        <v>3837</v>
      </c>
      <c r="E1157" s="286" t="s">
        <v>1409</v>
      </c>
    </row>
    <row r="1158">
      <c r="A1158" s="286" t="s">
        <v>2424</v>
      </c>
      <c r="B1158" s="262" t="s">
        <v>3838</v>
      </c>
      <c r="C1158" s="287">
        <v>1.4805628257E10</v>
      </c>
      <c r="D1158" s="286" t="s">
        <v>3839</v>
      </c>
      <c r="E1158" s="286" t="s">
        <v>1298</v>
      </c>
    </row>
    <row r="1159">
      <c r="A1159" s="286" t="s">
        <v>3840</v>
      </c>
      <c r="B1159" s="262" t="s">
        <v>3841</v>
      </c>
      <c r="C1159" s="287">
        <v>1.4019965386E10</v>
      </c>
      <c r="D1159" s="286" t="s">
        <v>3842</v>
      </c>
      <c r="E1159" s="286" t="s">
        <v>1298</v>
      </c>
    </row>
    <row r="1160">
      <c r="A1160" s="286" t="s">
        <v>1512</v>
      </c>
      <c r="B1160" s="286" t="s">
        <v>3843</v>
      </c>
      <c r="C1160" s="287">
        <v>1.757277518E10</v>
      </c>
      <c r="D1160" s="286" t="s">
        <v>3844</v>
      </c>
      <c r="E1160" s="286" t="s">
        <v>2591</v>
      </c>
    </row>
    <row r="1161">
      <c r="A1161" s="286" t="s">
        <v>1509</v>
      </c>
      <c r="B1161" s="262" t="s">
        <v>1554</v>
      </c>
      <c r="C1161" s="287">
        <v>1.5513427332E10</v>
      </c>
      <c r="D1161" s="286" t="s">
        <v>3845</v>
      </c>
      <c r="E1161" s="286" t="s">
        <v>1298</v>
      </c>
    </row>
    <row r="1162">
      <c r="A1162" s="286" t="s">
        <v>3846</v>
      </c>
      <c r="B1162" s="262" t="s">
        <v>3847</v>
      </c>
      <c r="C1162" s="287">
        <v>1.2097519099E10</v>
      </c>
      <c r="D1162" s="286" t="s">
        <v>3848</v>
      </c>
      <c r="E1162" s="286" t="s">
        <v>1409</v>
      </c>
    </row>
    <row r="1163">
      <c r="A1163" s="286" t="s">
        <v>1631</v>
      </c>
      <c r="B1163" s="262" t="s">
        <v>3849</v>
      </c>
      <c r="C1163" s="287">
        <v>1.3237705141E10</v>
      </c>
      <c r="D1163" s="286" t="s">
        <v>3850</v>
      </c>
      <c r="E1163" s="286" t="s">
        <v>1409</v>
      </c>
    </row>
    <row r="1164">
      <c r="A1164" s="286" t="s">
        <v>2262</v>
      </c>
      <c r="B1164" s="286" t="s">
        <v>3851</v>
      </c>
      <c r="C1164" s="287">
        <v>1.4692266352E10</v>
      </c>
      <c r="D1164" s="286" t="s">
        <v>3852</v>
      </c>
      <c r="E1164" s="286" t="s">
        <v>2796</v>
      </c>
    </row>
    <row r="1165">
      <c r="A1165" s="286" t="s">
        <v>1509</v>
      </c>
      <c r="B1165" s="286" t="s">
        <v>3853</v>
      </c>
      <c r="C1165" s="288">
        <v>5.73138E16</v>
      </c>
      <c r="D1165" s="286" t="s">
        <v>3854</v>
      </c>
      <c r="E1165" s="286" t="s">
        <v>1307</v>
      </c>
    </row>
    <row r="1166">
      <c r="A1166" s="286" t="s">
        <v>1655</v>
      </c>
      <c r="B1166" s="286" t="s">
        <v>3855</v>
      </c>
      <c r="C1166" s="288">
        <v>5.24431E16</v>
      </c>
      <c r="D1166" s="286" t="s">
        <v>3856</v>
      </c>
      <c r="E1166" s="286" t="s">
        <v>316</v>
      </c>
    </row>
    <row r="1167">
      <c r="A1167" s="286" t="s">
        <v>2842</v>
      </c>
      <c r="B1167" s="286" t="s">
        <v>3857</v>
      </c>
      <c r="C1167" s="287">
        <v>1.239994497E10</v>
      </c>
      <c r="D1167" s="286" t="s">
        <v>3858</v>
      </c>
      <c r="E1167" s="286" t="s">
        <v>1307</v>
      </c>
    </row>
    <row r="1168">
      <c r="A1168" s="286" t="s">
        <v>3859</v>
      </c>
      <c r="B1168" s="286" t="s">
        <v>1515</v>
      </c>
      <c r="C1168" s="287">
        <v>1.7088305165E10</v>
      </c>
      <c r="D1168" s="286" t="s">
        <v>3860</v>
      </c>
      <c r="E1168" s="286" t="s">
        <v>1414</v>
      </c>
    </row>
    <row r="1169">
      <c r="A1169" s="286" t="s">
        <v>3324</v>
      </c>
      <c r="B1169" s="262" t="s">
        <v>1791</v>
      </c>
      <c r="C1169" s="287">
        <v>1.8608331934E10</v>
      </c>
      <c r="D1169" s="286" t="s">
        <v>3861</v>
      </c>
      <c r="E1169" s="286" t="s">
        <v>2097</v>
      </c>
    </row>
    <row r="1170">
      <c r="A1170" s="286" t="s">
        <v>3862</v>
      </c>
      <c r="B1170" s="286" t="s">
        <v>1980</v>
      </c>
      <c r="C1170" s="287">
        <v>1.8577462852E10</v>
      </c>
      <c r="D1170" s="286" t="s">
        <v>3863</v>
      </c>
      <c r="E1170" s="286" t="s">
        <v>1860</v>
      </c>
    </row>
    <row r="1171">
      <c r="A1171" s="286" t="s">
        <v>3864</v>
      </c>
      <c r="B1171" s="262" t="s">
        <v>3865</v>
      </c>
      <c r="C1171" s="287">
        <v>1.4322696074E10</v>
      </c>
      <c r="D1171" s="286" t="s">
        <v>3866</v>
      </c>
      <c r="E1171" s="286" t="s">
        <v>1409</v>
      </c>
    </row>
    <row r="1172">
      <c r="A1172" s="286" t="s">
        <v>2141</v>
      </c>
      <c r="B1172" s="262" t="s">
        <v>3867</v>
      </c>
      <c r="C1172" s="287">
        <v>1.4074169874E10</v>
      </c>
      <c r="D1172" s="286" t="s">
        <v>3868</v>
      </c>
      <c r="E1172" s="286" t="s">
        <v>2097</v>
      </c>
    </row>
    <row r="1173">
      <c r="A1173" s="286" t="s">
        <v>3869</v>
      </c>
      <c r="B1173" s="286" t="s">
        <v>3870</v>
      </c>
      <c r="C1173" s="287">
        <v>1.3376283834E10</v>
      </c>
      <c r="D1173" s="286" t="s">
        <v>3871</v>
      </c>
      <c r="E1173" s="286" t="s">
        <v>2591</v>
      </c>
    </row>
    <row r="1174">
      <c r="A1174" s="286" t="s">
        <v>1766</v>
      </c>
      <c r="B1174" s="286" t="s">
        <v>3872</v>
      </c>
      <c r="C1174" s="287">
        <v>1.7035653793E10</v>
      </c>
      <c r="D1174" s="286" t="s">
        <v>3873</v>
      </c>
      <c r="E1174" s="286" t="s">
        <v>1307</v>
      </c>
    </row>
    <row r="1175">
      <c r="A1175" s="286" t="s">
        <v>3457</v>
      </c>
      <c r="B1175" s="262" t="s">
        <v>3797</v>
      </c>
      <c r="C1175" s="287">
        <v>1.5053194829E10</v>
      </c>
      <c r="D1175" s="286" t="s">
        <v>3874</v>
      </c>
      <c r="E1175" s="286" t="s">
        <v>2097</v>
      </c>
    </row>
    <row r="1176">
      <c r="A1176" s="286" t="s">
        <v>3875</v>
      </c>
      <c r="B1176" s="286" t="s">
        <v>1786</v>
      </c>
      <c r="C1176" s="287">
        <v>1.516737886E10</v>
      </c>
      <c r="D1176" s="286" t="s">
        <v>3876</v>
      </c>
      <c r="E1176" s="286" t="s">
        <v>1534</v>
      </c>
    </row>
    <row r="1177">
      <c r="A1177" s="286" t="s">
        <v>1700</v>
      </c>
      <c r="B1177" s="286" t="s">
        <v>3877</v>
      </c>
      <c r="C1177" s="287">
        <v>1.9088801709E10</v>
      </c>
      <c r="D1177" s="286" t="s">
        <v>3878</v>
      </c>
      <c r="E1177" s="286" t="s">
        <v>2591</v>
      </c>
    </row>
    <row r="1178">
      <c r="A1178" s="286" t="s">
        <v>2073</v>
      </c>
      <c r="B1178" s="262" t="s">
        <v>3879</v>
      </c>
      <c r="C1178" s="287">
        <v>1.6303981144E10</v>
      </c>
      <c r="D1178" s="286" t="s">
        <v>3880</v>
      </c>
      <c r="E1178" s="286" t="s">
        <v>1298</v>
      </c>
    </row>
    <row r="1179">
      <c r="A1179" s="286" t="s">
        <v>1634</v>
      </c>
      <c r="B1179" s="286" t="s">
        <v>3881</v>
      </c>
      <c r="C1179" s="287">
        <v>1.6468360731E10</v>
      </c>
      <c r="D1179" s="286" t="s">
        <v>3882</v>
      </c>
      <c r="E1179" s="286" t="s">
        <v>1534</v>
      </c>
    </row>
    <row r="1180">
      <c r="A1180" s="286" t="s">
        <v>3883</v>
      </c>
      <c r="B1180" s="286" t="s">
        <v>3884</v>
      </c>
      <c r="C1180" s="287">
        <v>1.6084732559E10</v>
      </c>
      <c r="D1180" s="286" t="s">
        <v>3885</v>
      </c>
      <c r="E1180" s="286" t="s">
        <v>1534</v>
      </c>
    </row>
    <row r="1181">
      <c r="A1181" s="286" t="s">
        <v>1644</v>
      </c>
      <c r="B1181" s="286" t="s">
        <v>2022</v>
      </c>
      <c r="C1181" s="287">
        <v>1.3023330063E10</v>
      </c>
      <c r="D1181" s="286" t="s">
        <v>3886</v>
      </c>
      <c r="E1181" s="286" t="s">
        <v>2591</v>
      </c>
    </row>
    <row r="1182">
      <c r="A1182" s="286" t="s">
        <v>1344</v>
      </c>
      <c r="B1182" s="286" t="s">
        <v>3887</v>
      </c>
      <c r="C1182" s="287">
        <v>1.9514608002E10</v>
      </c>
      <c r="D1182" s="286" t="s">
        <v>3888</v>
      </c>
      <c r="E1182" s="286" t="s">
        <v>1307</v>
      </c>
    </row>
    <row r="1183">
      <c r="A1183" s="286" t="s">
        <v>3889</v>
      </c>
      <c r="B1183" s="286" t="s">
        <v>3890</v>
      </c>
      <c r="C1183" s="287">
        <v>1.9044967394E10</v>
      </c>
      <c r="D1183" s="286" t="s">
        <v>3891</v>
      </c>
      <c r="E1183" s="286" t="s">
        <v>2525</v>
      </c>
    </row>
    <row r="1184">
      <c r="A1184" s="286" t="s">
        <v>3892</v>
      </c>
      <c r="B1184" s="286" t="s">
        <v>3493</v>
      </c>
      <c r="C1184" s="287">
        <v>1.8327560918E10</v>
      </c>
      <c r="D1184" s="286" t="s">
        <v>3893</v>
      </c>
      <c r="E1184" s="286" t="s">
        <v>1307</v>
      </c>
    </row>
    <row r="1185">
      <c r="A1185" s="286" t="s">
        <v>1650</v>
      </c>
      <c r="B1185" s="286" t="s">
        <v>1430</v>
      </c>
      <c r="C1185" s="287">
        <v>1.9132038524E10</v>
      </c>
      <c r="D1185" s="286" t="s">
        <v>3894</v>
      </c>
      <c r="E1185" s="286" t="s">
        <v>1307</v>
      </c>
    </row>
    <row r="1186">
      <c r="A1186" s="286" t="s">
        <v>3895</v>
      </c>
      <c r="B1186" s="286" t="s">
        <v>1867</v>
      </c>
      <c r="C1186" s="287">
        <v>1.5126355215E10</v>
      </c>
      <c r="D1186" s="286" t="s">
        <v>3896</v>
      </c>
      <c r="E1186" s="286" t="s">
        <v>1307</v>
      </c>
    </row>
    <row r="1187">
      <c r="A1187" s="286" t="s">
        <v>1650</v>
      </c>
      <c r="B1187" s="286" t="s">
        <v>3897</v>
      </c>
      <c r="C1187" s="287">
        <v>1.9084141741E10</v>
      </c>
      <c r="D1187" s="286" t="s">
        <v>3898</v>
      </c>
      <c r="E1187" s="286" t="s">
        <v>1307</v>
      </c>
    </row>
    <row r="1188">
      <c r="A1188" s="286" t="s">
        <v>2874</v>
      </c>
      <c r="B1188" s="286" t="s">
        <v>2638</v>
      </c>
      <c r="C1188" s="287">
        <v>1.8622711656E10</v>
      </c>
      <c r="D1188" s="286" t="s">
        <v>3899</v>
      </c>
      <c r="E1188" s="286" t="s">
        <v>1307</v>
      </c>
    </row>
    <row r="1189">
      <c r="A1189" s="286" t="s">
        <v>3900</v>
      </c>
      <c r="B1189" s="286" t="s">
        <v>3901</v>
      </c>
      <c r="C1189" s="287">
        <v>1.2037211806E10</v>
      </c>
      <c r="D1189" s="286" t="s">
        <v>3902</v>
      </c>
      <c r="E1189" s="286" t="s">
        <v>1577</v>
      </c>
    </row>
    <row r="1190">
      <c r="A1190" s="286" t="s">
        <v>3903</v>
      </c>
      <c r="B1190" s="286" t="s">
        <v>3904</v>
      </c>
      <c r="C1190" s="287">
        <v>1.702374171E10</v>
      </c>
      <c r="D1190" s="286" t="s">
        <v>3905</v>
      </c>
      <c r="E1190" s="286" t="s">
        <v>1307</v>
      </c>
    </row>
    <row r="1191">
      <c r="A1191" s="286" t="s">
        <v>1100</v>
      </c>
      <c r="B1191" s="262" t="s">
        <v>3906</v>
      </c>
      <c r="C1191" s="287">
        <v>1.7148782064E10</v>
      </c>
      <c r="D1191" s="286" t="s">
        <v>3907</v>
      </c>
      <c r="E1191" s="286" t="s">
        <v>1298</v>
      </c>
    </row>
    <row r="1192">
      <c r="A1192" s="286" t="s">
        <v>3908</v>
      </c>
      <c r="B1192" s="286" t="s">
        <v>3909</v>
      </c>
      <c r="C1192" s="287">
        <v>1.3468526524E10</v>
      </c>
      <c r="D1192" s="286" t="s">
        <v>3910</v>
      </c>
      <c r="E1192" s="286" t="s">
        <v>1307</v>
      </c>
    </row>
    <row r="1193">
      <c r="A1193" s="286" t="s">
        <v>1918</v>
      </c>
      <c r="B1193" s="286" t="s">
        <v>3911</v>
      </c>
      <c r="C1193" s="287">
        <v>1.8052078312E10</v>
      </c>
      <c r="D1193" s="286" t="s">
        <v>3912</v>
      </c>
      <c r="E1193" s="286" t="s">
        <v>1307</v>
      </c>
    </row>
    <row r="1194">
      <c r="A1194" s="286" t="s">
        <v>1890</v>
      </c>
      <c r="B1194" s="286" t="s">
        <v>3913</v>
      </c>
      <c r="C1194" s="287">
        <v>1.2404322629E10</v>
      </c>
      <c r="D1194" s="286" t="s">
        <v>3914</v>
      </c>
      <c r="E1194" s="286" t="s">
        <v>1307</v>
      </c>
    </row>
    <row r="1195">
      <c r="A1195" s="286" t="s">
        <v>3915</v>
      </c>
      <c r="B1195" s="286" t="s">
        <v>1708</v>
      </c>
      <c r="C1195" s="287">
        <v>1.7408330541E10</v>
      </c>
      <c r="D1195" s="286" t="s">
        <v>3916</v>
      </c>
      <c r="E1195" s="286" t="s">
        <v>1307</v>
      </c>
    </row>
    <row r="1196">
      <c r="A1196" s="286" t="s">
        <v>941</v>
      </c>
      <c r="B1196" s="262" t="s">
        <v>3146</v>
      </c>
      <c r="C1196" s="287">
        <v>1.7862265884E10</v>
      </c>
      <c r="D1196" s="286" t="s">
        <v>3917</v>
      </c>
      <c r="E1196" s="286" t="s">
        <v>1409</v>
      </c>
    </row>
    <row r="1197">
      <c r="A1197" s="286" t="s">
        <v>1117</v>
      </c>
      <c r="B1197" s="286" t="s">
        <v>3918</v>
      </c>
      <c r="C1197" s="287">
        <v>5.1984974136E10</v>
      </c>
      <c r="D1197" s="286" t="s">
        <v>3919</v>
      </c>
      <c r="E1197" s="286" t="s">
        <v>1534</v>
      </c>
    </row>
    <row r="1198">
      <c r="A1198" s="286" t="s">
        <v>3047</v>
      </c>
      <c r="B1198" s="262" t="s">
        <v>3920</v>
      </c>
      <c r="C1198" s="287">
        <v>1.9147700154E10</v>
      </c>
      <c r="D1198" s="286" t="s">
        <v>3921</v>
      </c>
      <c r="E1198" s="286" t="s">
        <v>1409</v>
      </c>
    </row>
    <row r="1199">
      <c r="A1199" s="286" t="s">
        <v>3922</v>
      </c>
      <c r="B1199" s="262"/>
      <c r="C1199" s="287">
        <v>1.7543013757E10</v>
      </c>
      <c r="D1199" s="286" t="s">
        <v>3923</v>
      </c>
      <c r="E1199" s="286" t="s">
        <v>2591</v>
      </c>
    </row>
    <row r="1200">
      <c r="A1200" s="286" t="s">
        <v>3017</v>
      </c>
      <c r="B1200" s="262" t="s">
        <v>3924</v>
      </c>
      <c r="C1200" s="287">
        <v>1.2015384029E10</v>
      </c>
      <c r="D1200" s="286" t="s">
        <v>3925</v>
      </c>
      <c r="E1200" s="286" t="s">
        <v>1298</v>
      </c>
    </row>
    <row r="1201">
      <c r="A1201" s="286" t="s">
        <v>2107</v>
      </c>
      <c r="B1201" s="262" t="s">
        <v>2016</v>
      </c>
      <c r="C1201" s="287">
        <v>1.3522631437E10</v>
      </c>
      <c r="D1201" s="286" t="s">
        <v>3926</v>
      </c>
      <c r="E1201" s="286" t="s">
        <v>1409</v>
      </c>
    </row>
    <row r="1202">
      <c r="A1202" s="286" t="s">
        <v>1958</v>
      </c>
      <c r="B1202" s="262" t="s">
        <v>3927</v>
      </c>
      <c r="C1202" s="287">
        <v>1.8152123235E10</v>
      </c>
      <c r="D1202" s="286" t="s">
        <v>3928</v>
      </c>
      <c r="E1202" s="286" t="s">
        <v>1298</v>
      </c>
    </row>
    <row r="1203">
      <c r="A1203" s="286" t="s">
        <v>3929</v>
      </c>
      <c r="B1203" s="286" t="s">
        <v>3930</v>
      </c>
      <c r="C1203" s="287">
        <v>1.6292176801E10</v>
      </c>
      <c r="D1203" s="286" t="s">
        <v>3931</v>
      </c>
      <c r="E1203" s="286" t="s">
        <v>1534</v>
      </c>
    </row>
    <row r="1204">
      <c r="A1204" s="286" t="s">
        <v>641</v>
      </c>
      <c r="B1204" s="286" t="s">
        <v>3932</v>
      </c>
      <c r="C1204" s="287">
        <v>1.4079785793E10</v>
      </c>
      <c r="D1204" s="286" t="s">
        <v>3933</v>
      </c>
      <c r="E1204" s="286" t="s">
        <v>1414</v>
      </c>
    </row>
    <row r="1205">
      <c r="A1205" s="286" t="s">
        <v>3934</v>
      </c>
      <c r="B1205" s="262" t="s">
        <v>1518</v>
      </c>
      <c r="C1205" s="287">
        <v>1.7073261956E10</v>
      </c>
      <c r="D1205" s="286" t="s">
        <v>3935</v>
      </c>
      <c r="E1205" s="286" t="s">
        <v>1409</v>
      </c>
    </row>
    <row r="1206">
      <c r="A1206" s="286" t="s">
        <v>2702</v>
      </c>
      <c r="B1206" s="286" t="s">
        <v>1740</v>
      </c>
      <c r="C1206" s="287">
        <v>1.7865573173E10</v>
      </c>
      <c r="D1206" s="286" t="s">
        <v>3936</v>
      </c>
      <c r="E1206" s="286" t="s">
        <v>1534</v>
      </c>
    </row>
    <row r="1207">
      <c r="A1207" s="286" t="s">
        <v>3937</v>
      </c>
      <c r="B1207" s="286" t="s">
        <v>1430</v>
      </c>
      <c r="C1207" s="287">
        <v>1.908315479E10</v>
      </c>
      <c r="D1207" s="286" t="s">
        <v>3938</v>
      </c>
      <c r="E1207" s="286" t="s">
        <v>1307</v>
      </c>
    </row>
    <row r="1208">
      <c r="A1208" s="286" t="s">
        <v>981</v>
      </c>
      <c r="B1208" s="262" t="s">
        <v>3939</v>
      </c>
      <c r="C1208" s="287">
        <v>1.9084165689E10</v>
      </c>
      <c r="D1208" s="286" t="s">
        <v>3940</v>
      </c>
      <c r="E1208" s="286" t="s">
        <v>1409</v>
      </c>
    </row>
    <row r="1209">
      <c r="A1209" s="286" t="s">
        <v>3941</v>
      </c>
      <c r="B1209" s="262"/>
      <c r="C1209" s="287">
        <v>1.4073640454E10</v>
      </c>
      <c r="D1209" s="286" t="s">
        <v>3942</v>
      </c>
      <c r="E1209" s="286" t="s">
        <v>1307</v>
      </c>
    </row>
    <row r="1210">
      <c r="A1210" s="286" t="s">
        <v>981</v>
      </c>
      <c r="B1210" s="286" t="s">
        <v>3943</v>
      </c>
      <c r="C1210" s="287">
        <v>1.7869733686E10</v>
      </c>
      <c r="D1210" s="286" t="s">
        <v>3944</v>
      </c>
      <c r="E1210" s="286" t="s">
        <v>1860</v>
      </c>
    </row>
    <row r="1211">
      <c r="A1211" s="286" t="s">
        <v>3945</v>
      </c>
      <c r="B1211" s="262" t="s">
        <v>3746</v>
      </c>
      <c r="C1211" s="287">
        <v>1.2018939667E10</v>
      </c>
      <c r="D1211" s="286" t="s">
        <v>3946</v>
      </c>
      <c r="E1211" s="286" t="s">
        <v>1298</v>
      </c>
    </row>
    <row r="1212">
      <c r="A1212" s="286" t="s">
        <v>1347</v>
      </c>
      <c r="B1212" s="286" t="s">
        <v>1554</v>
      </c>
      <c r="C1212" s="287">
        <v>1.8183882387E10</v>
      </c>
      <c r="D1212" s="286" t="s">
        <v>3947</v>
      </c>
      <c r="E1212" s="286" t="s">
        <v>1307</v>
      </c>
    </row>
    <row r="1213">
      <c r="A1213" s="286" t="s">
        <v>1344</v>
      </c>
      <c r="B1213" s="262" t="s">
        <v>1926</v>
      </c>
      <c r="C1213" s="287">
        <v>1.6318711479E10</v>
      </c>
      <c r="D1213" s="286" t="s">
        <v>3948</v>
      </c>
      <c r="E1213" s="286" t="s">
        <v>1409</v>
      </c>
    </row>
    <row r="1214">
      <c r="A1214" s="286" t="s">
        <v>1669</v>
      </c>
      <c r="B1214" s="262" t="s">
        <v>3949</v>
      </c>
      <c r="C1214" s="287">
        <v>1.3059051316E10</v>
      </c>
      <c r="D1214" s="286" t="s">
        <v>3950</v>
      </c>
      <c r="E1214" s="286" t="s">
        <v>1298</v>
      </c>
    </row>
    <row r="1215">
      <c r="A1215" s="286" t="s">
        <v>1843</v>
      </c>
      <c r="B1215" s="262" t="s">
        <v>3951</v>
      </c>
      <c r="C1215" s="287">
        <v>1.3474869373E10</v>
      </c>
      <c r="D1215" s="286" t="s">
        <v>3952</v>
      </c>
      <c r="E1215" s="286" t="s">
        <v>1409</v>
      </c>
    </row>
    <row r="1216">
      <c r="A1216" s="286" t="s">
        <v>3204</v>
      </c>
      <c r="B1216" s="286" t="s">
        <v>3953</v>
      </c>
      <c r="C1216" s="287">
        <v>1.7372913868E10</v>
      </c>
      <c r="D1216" s="286" t="s">
        <v>3954</v>
      </c>
      <c r="E1216" s="286" t="s">
        <v>1307</v>
      </c>
    </row>
    <row r="1217">
      <c r="A1217" s="286" t="s">
        <v>1636</v>
      </c>
      <c r="B1217" s="262" t="s">
        <v>3955</v>
      </c>
      <c r="C1217" s="287">
        <v>1.9292659486E10</v>
      </c>
      <c r="D1217" s="286" t="s">
        <v>3956</v>
      </c>
      <c r="E1217" s="286" t="s">
        <v>1298</v>
      </c>
    </row>
    <row r="1218">
      <c r="A1218" s="286" t="s">
        <v>1344</v>
      </c>
      <c r="B1218" s="286" t="s">
        <v>2520</v>
      </c>
      <c r="C1218" s="287">
        <v>1.3217461374E10</v>
      </c>
      <c r="D1218" s="286" t="s">
        <v>3957</v>
      </c>
      <c r="E1218" s="286" t="s">
        <v>1534</v>
      </c>
    </row>
    <row r="1219">
      <c r="A1219" s="286" t="s">
        <v>3958</v>
      </c>
      <c r="B1219" s="286" t="s">
        <v>3959</v>
      </c>
      <c r="C1219" s="287">
        <v>1.6562125564E10</v>
      </c>
      <c r="D1219" s="286" t="s">
        <v>3960</v>
      </c>
      <c r="E1219" s="286" t="s">
        <v>1307</v>
      </c>
    </row>
    <row r="1220">
      <c r="A1220" s="286" t="s">
        <v>3961</v>
      </c>
      <c r="B1220" s="286" t="s">
        <v>3631</v>
      </c>
      <c r="C1220" s="287">
        <v>1.3476647397E10</v>
      </c>
      <c r="D1220" s="286" t="s">
        <v>3962</v>
      </c>
      <c r="E1220" s="286" t="s">
        <v>1307</v>
      </c>
    </row>
    <row r="1221">
      <c r="A1221" s="286" t="s">
        <v>3963</v>
      </c>
      <c r="B1221" s="262" t="s">
        <v>1515</v>
      </c>
      <c r="C1221" s="287">
        <v>1.4077998321E10</v>
      </c>
      <c r="D1221" s="286" t="s">
        <v>3964</v>
      </c>
      <c r="E1221" s="286" t="s">
        <v>1409</v>
      </c>
    </row>
    <row r="1222">
      <c r="A1222" s="286" t="s">
        <v>3422</v>
      </c>
      <c r="B1222" s="262" t="s">
        <v>3965</v>
      </c>
      <c r="C1222" s="287">
        <v>1.7174878671E10</v>
      </c>
      <c r="D1222" s="286" t="s">
        <v>3966</v>
      </c>
      <c r="E1222" s="286" t="s">
        <v>1298</v>
      </c>
    </row>
    <row r="1223">
      <c r="A1223" s="286" t="s">
        <v>1359</v>
      </c>
      <c r="B1223" s="262" t="s">
        <v>3967</v>
      </c>
      <c r="C1223" s="287">
        <v>1.4076241566E10</v>
      </c>
      <c r="D1223" s="286" t="s">
        <v>3968</v>
      </c>
      <c r="E1223" s="286" t="s">
        <v>1298</v>
      </c>
    </row>
    <row r="1224">
      <c r="A1224" s="286" t="s">
        <v>764</v>
      </c>
      <c r="B1224" s="286" t="s">
        <v>1883</v>
      </c>
      <c r="C1224" s="287">
        <v>1.2036756627E10</v>
      </c>
      <c r="D1224" s="286" t="s">
        <v>3969</v>
      </c>
      <c r="E1224" s="286" t="s">
        <v>1307</v>
      </c>
    </row>
    <row r="1225">
      <c r="A1225" s="286" t="s">
        <v>1344</v>
      </c>
      <c r="B1225" s="262" t="s">
        <v>2222</v>
      </c>
      <c r="C1225" s="287">
        <v>1.806471567E10</v>
      </c>
      <c r="D1225" s="286" t="s">
        <v>3970</v>
      </c>
      <c r="E1225" s="286" t="s">
        <v>1409</v>
      </c>
    </row>
    <row r="1226">
      <c r="A1226" s="286" t="s">
        <v>1465</v>
      </c>
      <c r="B1226" s="262" t="s">
        <v>1661</v>
      </c>
      <c r="C1226" s="287">
        <v>1.4695378408E10</v>
      </c>
      <c r="D1226" s="286" t="s">
        <v>3971</v>
      </c>
      <c r="E1226" s="286" t="s">
        <v>1298</v>
      </c>
    </row>
    <row r="1227">
      <c r="A1227" s="286" t="s">
        <v>1692</v>
      </c>
      <c r="B1227" s="262" t="s">
        <v>2826</v>
      </c>
      <c r="C1227" s="287">
        <v>1.9566405447E10</v>
      </c>
      <c r="D1227" s="286" t="s">
        <v>3972</v>
      </c>
      <c r="E1227" s="286" t="s">
        <v>1409</v>
      </c>
    </row>
    <row r="1228">
      <c r="A1228" s="286" t="s">
        <v>1872</v>
      </c>
      <c r="B1228" s="262" t="s">
        <v>3973</v>
      </c>
      <c r="C1228" s="287">
        <v>1.8572479449E10</v>
      </c>
      <c r="D1228" s="286" t="s">
        <v>3974</v>
      </c>
      <c r="E1228" s="286" t="s">
        <v>1298</v>
      </c>
    </row>
    <row r="1229">
      <c r="A1229" s="286" t="s">
        <v>3975</v>
      </c>
      <c r="B1229" s="262" t="s">
        <v>3976</v>
      </c>
      <c r="C1229" s="287">
        <v>1.3477919929E10</v>
      </c>
      <c r="D1229" s="286" t="s">
        <v>3977</v>
      </c>
      <c r="E1229" s="286" t="s">
        <v>1298</v>
      </c>
    </row>
    <row r="1230">
      <c r="A1230" s="286" t="s">
        <v>3978</v>
      </c>
      <c r="B1230" s="286" t="s">
        <v>3979</v>
      </c>
      <c r="C1230" s="287">
        <v>1.3364534673E10</v>
      </c>
      <c r="D1230" s="286" t="s">
        <v>3980</v>
      </c>
      <c r="E1230" s="286" t="s">
        <v>1307</v>
      </c>
    </row>
    <row r="1231">
      <c r="A1231" s="286" t="s">
        <v>3981</v>
      </c>
      <c r="B1231" s="286" t="s">
        <v>3982</v>
      </c>
      <c r="C1231" s="287">
        <v>1.3322739545E10</v>
      </c>
      <c r="D1231" s="286" t="s">
        <v>3983</v>
      </c>
      <c r="E1231" s="286" t="s">
        <v>1307</v>
      </c>
    </row>
    <row r="1232">
      <c r="A1232" s="286" t="s">
        <v>1509</v>
      </c>
      <c r="B1232" s="262" t="s">
        <v>2436</v>
      </c>
      <c r="C1232" s="287">
        <v>1.7733873629E10</v>
      </c>
      <c r="D1232" s="286" t="s">
        <v>3984</v>
      </c>
      <c r="E1232" s="286" t="s">
        <v>1298</v>
      </c>
    </row>
    <row r="1233">
      <c r="A1233" s="286" t="s">
        <v>3985</v>
      </c>
      <c r="B1233" s="286" t="s">
        <v>3986</v>
      </c>
      <c r="C1233" s="287">
        <v>1.3104009347E10</v>
      </c>
      <c r="D1233" s="286" t="s">
        <v>3987</v>
      </c>
      <c r="E1233" s="286" t="s">
        <v>1307</v>
      </c>
    </row>
    <row r="1234">
      <c r="A1234" s="286" t="s">
        <v>1344</v>
      </c>
      <c r="B1234" s="262"/>
      <c r="C1234" s="287">
        <v>1.4698796559E10</v>
      </c>
      <c r="D1234" s="286" t="s">
        <v>3988</v>
      </c>
      <c r="E1234" s="286" t="s">
        <v>1307</v>
      </c>
    </row>
    <row r="1235">
      <c r="A1235" s="286" t="s">
        <v>3229</v>
      </c>
      <c r="B1235" s="262" t="s">
        <v>3989</v>
      </c>
      <c r="C1235" s="287">
        <v>1.8135959085E10</v>
      </c>
      <c r="D1235" s="286" t="s">
        <v>3990</v>
      </c>
      <c r="E1235" s="286" t="s">
        <v>1409</v>
      </c>
    </row>
    <row r="1236">
      <c r="A1236" s="286" t="s">
        <v>545</v>
      </c>
      <c r="B1236" s="262" t="s">
        <v>1596</v>
      </c>
      <c r="C1236" s="287">
        <v>1.8476911699E10</v>
      </c>
      <c r="D1236" s="286" t="s">
        <v>3991</v>
      </c>
      <c r="E1236" s="286" t="s">
        <v>1298</v>
      </c>
    </row>
    <row r="1237">
      <c r="A1237" s="286" t="s">
        <v>2403</v>
      </c>
      <c r="B1237" s="262"/>
      <c r="C1237" s="287">
        <v>1.7866231498E10</v>
      </c>
      <c r="D1237" s="286" t="s">
        <v>3992</v>
      </c>
      <c r="E1237" s="286" t="s">
        <v>1534</v>
      </c>
    </row>
    <row r="1238">
      <c r="A1238" s="286" t="s">
        <v>1793</v>
      </c>
      <c r="B1238" s="262" t="s">
        <v>3993</v>
      </c>
      <c r="C1238" s="287">
        <v>1.7734562202E10</v>
      </c>
      <c r="D1238" s="286" t="s">
        <v>3994</v>
      </c>
      <c r="E1238" s="286" t="s">
        <v>1298</v>
      </c>
    </row>
    <row r="1239">
      <c r="A1239" s="286" t="s">
        <v>658</v>
      </c>
      <c r="B1239" s="262" t="s">
        <v>3995</v>
      </c>
      <c r="C1239" s="287">
        <v>1.7186786473E10</v>
      </c>
      <c r="D1239" s="286" t="s">
        <v>3996</v>
      </c>
      <c r="E1239" s="286" t="s">
        <v>1409</v>
      </c>
    </row>
    <row r="1240">
      <c r="A1240" s="286" t="s">
        <v>3997</v>
      </c>
      <c r="B1240" s="262" t="s">
        <v>3998</v>
      </c>
      <c r="C1240" s="287">
        <v>1.4045525079E10</v>
      </c>
      <c r="D1240" s="286" t="s">
        <v>3999</v>
      </c>
      <c r="E1240" s="286" t="s">
        <v>1409</v>
      </c>
    </row>
    <row r="1241">
      <c r="A1241" s="286" t="s">
        <v>4000</v>
      </c>
      <c r="B1241" s="286" t="s">
        <v>1688</v>
      </c>
      <c r="C1241" s="287">
        <v>1.4074039338E10</v>
      </c>
      <c r="D1241" s="286" t="s">
        <v>4001</v>
      </c>
      <c r="E1241" s="286" t="s">
        <v>1307</v>
      </c>
    </row>
    <row r="1242">
      <c r="A1242" s="286" t="s">
        <v>1692</v>
      </c>
      <c r="B1242" s="286" t="s">
        <v>1445</v>
      </c>
      <c r="C1242" s="287">
        <v>1.8313207602E10</v>
      </c>
      <c r="D1242" s="286" t="s">
        <v>4002</v>
      </c>
      <c r="E1242" s="286" t="s">
        <v>1307</v>
      </c>
    </row>
    <row r="1243">
      <c r="A1243" s="286" t="s">
        <v>2259</v>
      </c>
      <c r="B1243" s="262" t="s">
        <v>1554</v>
      </c>
      <c r="C1243" s="287">
        <v>1.3059105046E10</v>
      </c>
      <c r="D1243" s="286" t="s">
        <v>4003</v>
      </c>
      <c r="E1243" s="286" t="s">
        <v>1298</v>
      </c>
    </row>
    <row r="1244">
      <c r="A1244" s="286" t="s">
        <v>1117</v>
      </c>
      <c r="B1244" s="262" t="s">
        <v>2149</v>
      </c>
      <c r="C1244" s="287">
        <v>1.7203858279E10</v>
      </c>
      <c r="D1244" s="286" t="s">
        <v>4004</v>
      </c>
      <c r="E1244" s="286" t="s">
        <v>1298</v>
      </c>
    </row>
    <row r="1245">
      <c r="A1245" s="286" t="s">
        <v>1134</v>
      </c>
      <c r="B1245" s="286" t="s">
        <v>4005</v>
      </c>
      <c r="C1245" s="287">
        <v>1.9152587626E10</v>
      </c>
      <c r="D1245" s="286" t="s">
        <v>4006</v>
      </c>
      <c r="E1245" s="286" t="s">
        <v>2278</v>
      </c>
    </row>
    <row r="1246">
      <c r="A1246" s="286" t="s">
        <v>4007</v>
      </c>
      <c r="B1246" s="286" t="s">
        <v>4008</v>
      </c>
      <c r="C1246" s="287">
        <v>1.7323000646E10</v>
      </c>
      <c r="D1246" s="286" t="s">
        <v>4009</v>
      </c>
      <c r="E1246" s="286" t="s">
        <v>1534</v>
      </c>
    </row>
    <row r="1247">
      <c r="A1247" s="286" t="s">
        <v>2976</v>
      </c>
      <c r="B1247" s="286" t="s">
        <v>4010</v>
      </c>
      <c r="C1247" s="287">
        <v>1.7863716217E10</v>
      </c>
      <c r="D1247" s="286" t="s">
        <v>4011</v>
      </c>
      <c r="E1247" s="286" t="s">
        <v>1307</v>
      </c>
    </row>
    <row r="1248">
      <c r="A1248" s="286" t="s">
        <v>4012</v>
      </c>
      <c r="B1248" s="286" t="s">
        <v>1701</v>
      </c>
      <c r="C1248" s="287">
        <v>1.9102941424E10</v>
      </c>
      <c r="D1248" s="286" t="s">
        <v>4013</v>
      </c>
      <c r="E1248" s="286" t="s">
        <v>316</v>
      </c>
    </row>
    <row r="1249">
      <c r="A1249" s="286" t="s">
        <v>4014</v>
      </c>
      <c r="B1249" s="262" t="s">
        <v>4015</v>
      </c>
      <c r="C1249" s="287">
        <v>1.95155067E10</v>
      </c>
      <c r="D1249" s="286" t="s">
        <v>4016</v>
      </c>
      <c r="E1249" s="286" t="s">
        <v>1298</v>
      </c>
    </row>
    <row r="1250">
      <c r="A1250" s="286" t="s">
        <v>2889</v>
      </c>
      <c r="B1250" s="286" t="s">
        <v>1677</v>
      </c>
      <c r="C1250" s="287">
        <v>1.7033715022E10</v>
      </c>
      <c r="D1250" s="286" t="s">
        <v>4017</v>
      </c>
      <c r="E1250" s="286" t="s">
        <v>2034</v>
      </c>
    </row>
    <row r="1251">
      <c r="A1251" s="286" t="s">
        <v>2330</v>
      </c>
      <c r="B1251" s="286" t="s">
        <v>4018</v>
      </c>
      <c r="C1251" s="287">
        <v>1.7069790344E10</v>
      </c>
      <c r="D1251" s="286" t="s">
        <v>4019</v>
      </c>
      <c r="E1251" s="286" t="s">
        <v>2278</v>
      </c>
    </row>
    <row r="1252">
      <c r="A1252" s="286" t="s">
        <v>2330</v>
      </c>
      <c r="B1252" s="262" t="s">
        <v>1471</v>
      </c>
      <c r="C1252" s="287">
        <v>1.9295215446E10</v>
      </c>
      <c r="D1252" s="286" t="s">
        <v>4020</v>
      </c>
      <c r="E1252" s="286" t="s">
        <v>1409</v>
      </c>
    </row>
    <row r="1253">
      <c r="A1253" s="286" t="s">
        <v>4021</v>
      </c>
      <c r="B1253" s="286" t="s">
        <v>4022</v>
      </c>
      <c r="C1253" s="287">
        <v>1.4088969491E10</v>
      </c>
      <c r="D1253" s="286" t="s">
        <v>4023</v>
      </c>
      <c r="E1253" s="286" t="s">
        <v>1577</v>
      </c>
    </row>
    <row r="1254">
      <c r="A1254" s="286" t="s">
        <v>4024</v>
      </c>
      <c r="B1254" s="286" t="s">
        <v>2874</v>
      </c>
      <c r="C1254" s="287">
        <v>1.3057783231E10</v>
      </c>
      <c r="D1254" s="286" t="s">
        <v>4025</v>
      </c>
      <c r="E1254" s="286" t="s">
        <v>1534</v>
      </c>
    </row>
    <row r="1255">
      <c r="A1255" s="286" t="s">
        <v>4026</v>
      </c>
      <c r="B1255" s="286" t="s">
        <v>1430</v>
      </c>
      <c r="C1255" s="262"/>
      <c r="D1255" s="286" t="s">
        <v>4027</v>
      </c>
      <c r="E1255" s="286" t="s">
        <v>1414</v>
      </c>
    </row>
    <row r="1256">
      <c r="A1256" s="286" t="s">
        <v>2377</v>
      </c>
      <c r="B1256" s="286" t="s">
        <v>1430</v>
      </c>
      <c r="C1256" s="287">
        <v>1.3365881239E10</v>
      </c>
      <c r="D1256" s="286" t="s">
        <v>4028</v>
      </c>
      <c r="E1256" s="286" t="s">
        <v>1307</v>
      </c>
    </row>
    <row r="1257">
      <c r="A1257" s="286" t="s">
        <v>4029</v>
      </c>
      <c r="B1257" s="262" t="s">
        <v>4030</v>
      </c>
      <c r="C1257" s="287">
        <v>1.9736668421E10</v>
      </c>
      <c r="D1257" s="286" t="s">
        <v>4031</v>
      </c>
      <c r="E1257" s="286" t="s">
        <v>1298</v>
      </c>
    </row>
    <row r="1258">
      <c r="A1258" s="286" t="s">
        <v>1937</v>
      </c>
      <c r="B1258" s="262" t="s">
        <v>2077</v>
      </c>
      <c r="C1258" s="287">
        <v>1.7606972744E10</v>
      </c>
      <c r="D1258" s="286" t="s">
        <v>4032</v>
      </c>
      <c r="E1258" s="286" t="s">
        <v>1298</v>
      </c>
    </row>
    <row r="1259">
      <c r="A1259" s="286" t="s">
        <v>2762</v>
      </c>
      <c r="B1259" s="286" t="s">
        <v>1674</v>
      </c>
      <c r="C1259" s="287">
        <v>1.3176984573E10</v>
      </c>
      <c r="D1259" s="286" t="s">
        <v>4033</v>
      </c>
      <c r="E1259" s="286" t="s">
        <v>1534</v>
      </c>
    </row>
    <row r="1260">
      <c r="A1260" s="286" t="s">
        <v>1403</v>
      </c>
      <c r="B1260" s="286" t="s">
        <v>4034</v>
      </c>
      <c r="C1260" s="287">
        <v>1.5139033721E10</v>
      </c>
      <c r="D1260" s="286" t="s">
        <v>4035</v>
      </c>
      <c r="E1260" s="286" t="s">
        <v>1307</v>
      </c>
    </row>
    <row r="1261">
      <c r="A1261" s="286" t="s">
        <v>1725</v>
      </c>
      <c r="B1261" s="262" t="s">
        <v>1487</v>
      </c>
      <c r="C1261" s="287">
        <v>1.8623853859E10</v>
      </c>
      <c r="D1261" s="286" t="s">
        <v>4036</v>
      </c>
      <c r="E1261" s="286" t="s">
        <v>1298</v>
      </c>
    </row>
    <row r="1262">
      <c r="A1262" s="286" t="s">
        <v>2107</v>
      </c>
      <c r="B1262" s="286" t="s">
        <v>4037</v>
      </c>
      <c r="C1262" s="287">
        <v>1.6892701854E10</v>
      </c>
      <c r="D1262" s="286" t="s">
        <v>4038</v>
      </c>
      <c r="E1262" s="286" t="s">
        <v>1307</v>
      </c>
    </row>
    <row r="1263">
      <c r="A1263" s="286" t="s">
        <v>1344</v>
      </c>
      <c r="B1263" s="286" t="s">
        <v>4039</v>
      </c>
      <c r="C1263" s="287">
        <v>1.5592162957E10</v>
      </c>
      <c r="D1263" s="286" t="s">
        <v>4040</v>
      </c>
      <c r="E1263" s="286" t="s">
        <v>1307</v>
      </c>
    </row>
    <row r="1264">
      <c r="A1264" s="286" t="s">
        <v>1802</v>
      </c>
      <c r="B1264" s="286" t="s">
        <v>4041</v>
      </c>
      <c r="C1264" s="287">
        <v>1.9739080826E10</v>
      </c>
      <c r="D1264" s="286" t="s">
        <v>4042</v>
      </c>
      <c r="E1264" s="286" t="s">
        <v>2215</v>
      </c>
    </row>
    <row r="1265">
      <c r="A1265" s="286" t="s">
        <v>4043</v>
      </c>
      <c r="B1265" s="286" t="s">
        <v>1791</v>
      </c>
      <c r="C1265" s="287">
        <v>1.8623006024E10</v>
      </c>
      <c r="D1265" s="286" t="s">
        <v>4044</v>
      </c>
      <c r="E1265" s="286" t="s">
        <v>1307</v>
      </c>
    </row>
    <row r="1266">
      <c r="A1266" s="286" t="s">
        <v>3017</v>
      </c>
      <c r="B1266" s="286" t="s">
        <v>1791</v>
      </c>
      <c r="C1266" s="287">
        <v>1.7208627505E10</v>
      </c>
      <c r="D1266" s="286" t="s">
        <v>4045</v>
      </c>
      <c r="E1266" s="286" t="s">
        <v>1307</v>
      </c>
    </row>
    <row r="1267">
      <c r="A1267" s="286" t="s">
        <v>4046</v>
      </c>
      <c r="B1267" s="262" t="s">
        <v>4047</v>
      </c>
      <c r="C1267" s="287">
        <v>1.5166147871E10</v>
      </c>
      <c r="D1267" s="286" t="s">
        <v>4048</v>
      </c>
      <c r="E1267" s="286" t="s">
        <v>2097</v>
      </c>
    </row>
    <row r="1268">
      <c r="A1268" s="286" t="s">
        <v>4049</v>
      </c>
      <c r="B1268" s="262" t="s">
        <v>1698</v>
      </c>
      <c r="C1268" s="287">
        <v>1.2403702102E10</v>
      </c>
      <c r="D1268" s="286" t="s">
        <v>4050</v>
      </c>
      <c r="E1268" s="286" t="s">
        <v>1298</v>
      </c>
    </row>
    <row r="1269">
      <c r="A1269" s="286" t="s">
        <v>1383</v>
      </c>
      <c r="B1269" s="286" t="s">
        <v>4051</v>
      </c>
      <c r="C1269" s="287">
        <v>1.7862861125E10</v>
      </c>
      <c r="D1269" s="286" t="s">
        <v>4052</v>
      </c>
      <c r="E1269" s="286" t="s">
        <v>2215</v>
      </c>
    </row>
    <row r="1270">
      <c r="A1270" s="286" t="s">
        <v>4053</v>
      </c>
      <c r="B1270" s="286" t="s">
        <v>2244</v>
      </c>
      <c r="C1270" s="287">
        <v>1.918853724E10</v>
      </c>
      <c r="D1270" s="286" t="s">
        <v>4054</v>
      </c>
      <c r="E1270" s="286" t="s">
        <v>2525</v>
      </c>
    </row>
    <row r="1271">
      <c r="A1271" s="286" t="s">
        <v>2212</v>
      </c>
      <c r="B1271" s="286" t="s">
        <v>1803</v>
      </c>
      <c r="C1271" s="287">
        <v>1.9735801916E10</v>
      </c>
      <c r="D1271" s="286" t="s">
        <v>4055</v>
      </c>
      <c r="E1271" s="286" t="s">
        <v>2591</v>
      </c>
    </row>
    <row r="1272">
      <c r="A1272" s="286" t="s">
        <v>1636</v>
      </c>
      <c r="B1272" s="262" t="s">
        <v>4056</v>
      </c>
      <c r="C1272" s="287">
        <v>1.8563618588E10</v>
      </c>
      <c r="D1272" s="286" t="s">
        <v>4057</v>
      </c>
      <c r="E1272" s="286" t="s">
        <v>1298</v>
      </c>
    </row>
    <row r="1273">
      <c r="A1273" s="286" t="s">
        <v>1001</v>
      </c>
      <c r="B1273" s="262"/>
      <c r="C1273" s="287">
        <v>1.2104543444E10</v>
      </c>
      <c r="D1273" s="286" t="s">
        <v>4058</v>
      </c>
      <c r="E1273" s="286" t="s">
        <v>1409</v>
      </c>
    </row>
    <row r="1274">
      <c r="A1274" s="286" t="s">
        <v>3900</v>
      </c>
      <c r="B1274" s="286" t="s">
        <v>4059</v>
      </c>
      <c r="C1274" s="287">
        <v>1.4072219394E10</v>
      </c>
      <c r="D1274" s="286" t="s">
        <v>4060</v>
      </c>
      <c r="E1274" s="286" t="s">
        <v>2591</v>
      </c>
    </row>
    <row r="1275">
      <c r="A1275" s="286" t="s">
        <v>3120</v>
      </c>
      <c r="B1275" s="286" t="s">
        <v>4061</v>
      </c>
      <c r="C1275" s="288">
        <v>5.73176E16</v>
      </c>
      <c r="D1275" s="286" t="s">
        <v>4062</v>
      </c>
      <c r="E1275" s="286" t="s">
        <v>1307</v>
      </c>
    </row>
    <row r="1276">
      <c r="A1276" s="286" t="s">
        <v>1506</v>
      </c>
      <c r="B1276" s="262"/>
      <c r="C1276" s="262"/>
      <c r="D1276" s="286" t="s">
        <v>4063</v>
      </c>
      <c r="E1276" s="286" t="s">
        <v>1534</v>
      </c>
    </row>
    <row r="1277">
      <c r="A1277" s="286" t="s">
        <v>3217</v>
      </c>
      <c r="B1277" s="286" t="s">
        <v>2436</v>
      </c>
      <c r="C1277" s="287">
        <v>1.4076932796E10</v>
      </c>
      <c r="D1277" s="286" t="s">
        <v>4064</v>
      </c>
      <c r="E1277" s="286" t="s">
        <v>4065</v>
      </c>
    </row>
    <row r="1278">
      <c r="A1278" s="286" t="s">
        <v>1356</v>
      </c>
      <c r="B1278" s="262" t="s">
        <v>1345</v>
      </c>
      <c r="C1278" s="287">
        <v>1.7867927815E10</v>
      </c>
      <c r="D1278" s="286" t="s">
        <v>4066</v>
      </c>
      <c r="E1278" s="286" t="s">
        <v>1409</v>
      </c>
    </row>
    <row r="1279">
      <c r="A1279" s="286" t="s">
        <v>2748</v>
      </c>
      <c r="B1279" s="262"/>
      <c r="C1279" s="287">
        <v>1.7253214338E10</v>
      </c>
      <c r="D1279" s="286" t="s">
        <v>4067</v>
      </c>
      <c r="E1279" s="286" t="s">
        <v>1307</v>
      </c>
    </row>
    <row r="1280">
      <c r="A1280" s="286" t="s">
        <v>4068</v>
      </c>
      <c r="B1280" s="286" t="s">
        <v>4069</v>
      </c>
      <c r="C1280" s="288">
        <v>5.73144E16</v>
      </c>
      <c r="D1280" s="286" t="s">
        <v>4070</v>
      </c>
      <c r="E1280" s="286" t="s">
        <v>1307</v>
      </c>
    </row>
    <row r="1281">
      <c r="A1281" s="286" t="s">
        <v>2360</v>
      </c>
      <c r="B1281" s="286" t="s">
        <v>4071</v>
      </c>
      <c r="C1281" s="287">
        <v>1.9082585986E10</v>
      </c>
      <c r="D1281" s="286" t="s">
        <v>4072</v>
      </c>
      <c r="E1281" s="286" t="s">
        <v>1307</v>
      </c>
    </row>
    <row r="1282">
      <c r="A1282" s="286" t="s">
        <v>1882</v>
      </c>
      <c r="B1282" s="262" t="s">
        <v>4073</v>
      </c>
      <c r="C1282" s="287">
        <v>1.9792319958E10</v>
      </c>
      <c r="D1282" s="286" t="s">
        <v>4074</v>
      </c>
      <c r="E1282" s="286" t="s">
        <v>1298</v>
      </c>
    </row>
    <row r="1283">
      <c r="A1283" s="286" t="s">
        <v>2522</v>
      </c>
      <c r="B1283" s="286" t="s">
        <v>2175</v>
      </c>
      <c r="C1283" s="287">
        <v>1.5163090244E10</v>
      </c>
      <c r="D1283" s="286" t="s">
        <v>4075</v>
      </c>
      <c r="E1283" s="286" t="s">
        <v>1307</v>
      </c>
    </row>
    <row r="1284">
      <c r="A1284" s="286" t="s">
        <v>981</v>
      </c>
      <c r="B1284" s="286" t="s">
        <v>4076</v>
      </c>
      <c r="C1284" s="287">
        <v>1.6193825848E10</v>
      </c>
      <c r="D1284" s="286" t="s">
        <v>4077</v>
      </c>
      <c r="E1284" s="286" t="s">
        <v>1307</v>
      </c>
    </row>
    <row r="1285">
      <c r="A1285" s="286" t="s">
        <v>4078</v>
      </c>
      <c r="B1285" s="262" t="s">
        <v>2016</v>
      </c>
      <c r="C1285" s="287">
        <v>1.9497358836E10</v>
      </c>
      <c r="D1285" s="286" t="s">
        <v>4079</v>
      </c>
      <c r="E1285" s="286" t="s">
        <v>1409</v>
      </c>
    </row>
    <row r="1286">
      <c r="A1286" s="286" t="s">
        <v>1465</v>
      </c>
      <c r="B1286" s="286" t="s">
        <v>4080</v>
      </c>
      <c r="C1286" s="287">
        <v>1.6822174776E10</v>
      </c>
      <c r="D1286" s="286" t="s">
        <v>4081</v>
      </c>
      <c r="E1286" s="286" t="s">
        <v>1534</v>
      </c>
    </row>
    <row r="1287">
      <c r="A1287" s="286" t="s">
        <v>4082</v>
      </c>
      <c r="B1287" s="286" t="s">
        <v>3138</v>
      </c>
      <c r="C1287" s="287">
        <v>1.9294427519E10</v>
      </c>
      <c r="D1287" s="286" t="s">
        <v>4083</v>
      </c>
      <c r="E1287" s="286" t="s">
        <v>1577</v>
      </c>
    </row>
    <row r="1288">
      <c r="A1288" s="286" t="s">
        <v>3756</v>
      </c>
      <c r="B1288" s="262" t="s">
        <v>4084</v>
      </c>
      <c r="C1288" s="287">
        <v>1.8454798985E10</v>
      </c>
      <c r="D1288" s="286" t="s">
        <v>4085</v>
      </c>
      <c r="E1288" s="286" t="s">
        <v>1298</v>
      </c>
    </row>
    <row r="1289">
      <c r="A1289" s="286" t="s">
        <v>1406</v>
      </c>
      <c r="B1289" s="262" t="s">
        <v>2061</v>
      </c>
      <c r="C1289" s="287">
        <v>1.6318939662E10</v>
      </c>
      <c r="D1289" s="286" t="s">
        <v>4086</v>
      </c>
      <c r="E1289" s="286" t="s">
        <v>1298</v>
      </c>
    </row>
    <row r="1290">
      <c r="A1290" s="286" t="s">
        <v>1805</v>
      </c>
      <c r="B1290" s="262"/>
      <c r="C1290" s="287">
        <v>1.9733427858E10</v>
      </c>
      <c r="D1290" s="286" t="s">
        <v>4087</v>
      </c>
      <c r="E1290" s="286" t="s">
        <v>1298</v>
      </c>
    </row>
    <row r="1291">
      <c r="A1291" s="286" t="s">
        <v>4088</v>
      </c>
      <c r="B1291" s="262" t="s">
        <v>2785</v>
      </c>
      <c r="C1291" s="287">
        <v>1.9298674209E10</v>
      </c>
      <c r="D1291" s="286" t="s">
        <v>4089</v>
      </c>
      <c r="E1291" s="286" t="s">
        <v>1409</v>
      </c>
    </row>
    <row r="1292">
      <c r="A1292" s="286" t="s">
        <v>2047</v>
      </c>
      <c r="B1292" s="262" t="s">
        <v>4090</v>
      </c>
      <c r="C1292" s="287">
        <v>1.8322724147E10</v>
      </c>
      <c r="D1292" s="286" t="s">
        <v>4091</v>
      </c>
      <c r="E1292" s="286" t="s">
        <v>1298</v>
      </c>
    </row>
    <row r="1293">
      <c r="A1293" s="286" t="s">
        <v>1890</v>
      </c>
      <c r="B1293" s="286" t="s">
        <v>2456</v>
      </c>
      <c r="C1293" s="287">
        <v>1.9104415224E10</v>
      </c>
      <c r="D1293" s="286" t="s">
        <v>4092</v>
      </c>
      <c r="E1293" s="286" t="s">
        <v>1534</v>
      </c>
    </row>
    <row r="1294">
      <c r="A1294" s="286" t="s">
        <v>1419</v>
      </c>
      <c r="B1294" s="286" t="s">
        <v>4093</v>
      </c>
      <c r="C1294" s="287">
        <v>1.9105961709E10</v>
      </c>
      <c r="D1294" s="286" t="s">
        <v>4094</v>
      </c>
      <c r="E1294" s="286" t="s">
        <v>1307</v>
      </c>
    </row>
    <row r="1295">
      <c r="A1295" s="286" t="s">
        <v>4095</v>
      </c>
      <c r="B1295" s="286" t="s">
        <v>4096</v>
      </c>
      <c r="C1295" s="287">
        <v>1.3852850181E10</v>
      </c>
      <c r="D1295" s="286" t="s">
        <v>4097</v>
      </c>
      <c r="E1295" s="286" t="s">
        <v>1534</v>
      </c>
    </row>
    <row r="1296">
      <c r="A1296" s="286" t="s">
        <v>1925</v>
      </c>
      <c r="B1296" s="262"/>
      <c r="C1296" s="287">
        <v>1.951334411E10</v>
      </c>
      <c r="D1296" s="286" t="s">
        <v>4098</v>
      </c>
      <c r="E1296" s="286" t="s">
        <v>2097</v>
      </c>
    </row>
    <row r="1297">
      <c r="A1297" s="286" t="s">
        <v>4099</v>
      </c>
      <c r="B1297" s="262"/>
      <c r="C1297" s="287">
        <v>1.6159681839E10</v>
      </c>
      <c r="D1297" s="286" t="s">
        <v>4100</v>
      </c>
      <c r="E1297" s="286" t="s">
        <v>1307</v>
      </c>
    </row>
    <row r="1298">
      <c r="A1298" s="286" t="s">
        <v>2141</v>
      </c>
      <c r="B1298" s="286" t="s">
        <v>1381</v>
      </c>
      <c r="C1298" s="287">
        <v>1.3476939643E10</v>
      </c>
      <c r="D1298" s="286" t="s">
        <v>4101</v>
      </c>
      <c r="E1298" s="286" t="s">
        <v>1307</v>
      </c>
    </row>
    <row r="1299">
      <c r="A1299" s="286" t="s">
        <v>1681</v>
      </c>
      <c r="B1299" s="286" t="s">
        <v>4102</v>
      </c>
      <c r="C1299" s="287">
        <v>1.9122933521E10</v>
      </c>
      <c r="D1299" s="286" t="s">
        <v>4103</v>
      </c>
      <c r="E1299" s="286" t="s">
        <v>1307</v>
      </c>
    </row>
    <row r="1300">
      <c r="A1300" s="286" t="s">
        <v>1615</v>
      </c>
      <c r="B1300" s="286" t="s">
        <v>4104</v>
      </c>
      <c r="C1300" s="287">
        <v>1.8017026279E10</v>
      </c>
      <c r="D1300" s="286" t="s">
        <v>4105</v>
      </c>
      <c r="E1300" s="286" t="s">
        <v>2278</v>
      </c>
    </row>
    <row r="1301">
      <c r="A1301" s="286" t="s">
        <v>2346</v>
      </c>
      <c r="B1301" s="262"/>
      <c r="C1301" s="287">
        <v>1.9083427235E10</v>
      </c>
      <c r="D1301" s="286" t="s">
        <v>4106</v>
      </c>
      <c r="E1301" s="286" t="s">
        <v>1577</v>
      </c>
    </row>
    <row r="1302">
      <c r="A1302" s="286" t="s">
        <v>4107</v>
      </c>
      <c r="B1302" s="262" t="s">
        <v>2005</v>
      </c>
      <c r="C1302" s="287">
        <v>1.4693212693E10</v>
      </c>
      <c r="D1302" s="286" t="s">
        <v>4108</v>
      </c>
      <c r="E1302" s="286" t="s">
        <v>1409</v>
      </c>
    </row>
    <row r="1303">
      <c r="A1303" s="286" t="s">
        <v>579</v>
      </c>
      <c r="B1303" s="286" t="s">
        <v>4109</v>
      </c>
      <c r="C1303" s="287">
        <v>1.8182700091E10</v>
      </c>
      <c r="D1303" s="286" t="s">
        <v>4110</v>
      </c>
      <c r="E1303" s="286" t="s">
        <v>1307</v>
      </c>
    </row>
    <row r="1304">
      <c r="A1304" s="286" t="s">
        <v>4111</v>
      </c>
      <c r="B1304" s="262" t="s">
        <v>2131</v>
      </c>
      <c r="C1304" s="287">
        <v>1.3463499367E10</v>
      </c>
      <c r="D1304" s="286" t="s">
        <v>4112</v>
      </c>
      <c r="E1304" s="286" t="s">
        <v>1409</v>
      </c>
    </row>
    <row r="1305">
      <c r="A1305" s="286" t="s">
        <v>2659</v>
      </c>
      <c r="B1305" s="286" t="s">
        <v>1471</v>
      </c>
      <c r="C1305" s="287">
        <v>1.470461029E10</v>
      </c>
      <c r="D1305" s="286" t="s">
        <v>4113</v>
      </c>
      <c r="E1305" s="286" t="s">
        <v>1534</v>
      </c>
    </row>
    <row r="1306">
      <c r="A1306" s="286" t="s">
        <v>1636</v>
      </c>
      <c r="B1306" s="286" t="s">
        <v>2478</v>
      </c>
      <c r="C1306" s="287">
        <v>1.4016177003E10</v>
      </c>
      <c r="D1306" s="286" t="s">
        <v>4114</v>
      </c>
      <c r="E1306" s="286" t="s">
        <v>1307</v>
      </c>
    </row>
    <row r="1307">
      <c r="A1307" s="286" t="s">
        <v>1636</v>
      </c>
      <c r="B1307" s="262" t="s">
        <v>2280</v>
      </c>
      <c r="C1307" s="287">
        <v>1.8572609494E10</v>
      </c>
      <c r="D1307" s="286" t="s">
        <v>4115</v>
      </c>
      <c r="E1307" s="286" t="s">
        <v>1409</v>
      </c>
    </row>
    <row r="1308">
      <c r="A1308" s="286" t="s">
        <v>1134</v>
      </c>
      <c r="B1308" s="286" t="s">
        <v>4116</v>
      </c>
      <c r="C1308" s="287">
        <v>1.617331777E10</v>
      </c>
      <c r="D1308" s="286" t="s">
        <v>4117</v>
      </c>
      <c r="E1308" s="286" t="s">
        <v>1307</v>
      </c>
    </row>
    <row r="1309">
      <c r="A1309" s="286" t="s">
        <v>2679</v>
      </c>
      <c r="B1309" s="262" t="s">
        <v>1651</v>
      </c>
      <c r="C1309" s="287">
        <v>1.8046178619E10</v>
      </c>
      <c r="D1309" s="286" t="s">
        <v>4118</v>
      </c>
      <c r="E1309" s="286" t="s">
        <v>1298</v>
      </c>
    </row>
    <row r="1310">
      <c r="A1310" s="286" t="s">
        <v>3398</v>
      </c>
      <c r="B1310" s="262"/>
      <c r="C1310" s="287">
        <v>1.8629001787E10</v>
      </c>
      <c r="D1310" s="286" t="s">
        <v>4119</v>
      </c>
      <c r="E1310" s="286" t="s">
        <v>1307</v>
      </c>
    </row>
    <row r="1311">
      <c r="A1311" s="286" t="s">
        <v>2792</v>
      </c>
      <c r="B1311" s="262" t="s">
        <v>2189</v>
      </c>
      <c r="C1311" s="287">
        <v>1.9092561174E10</v>
      </c>
      <c r="D1311" s="286" t="s">
        <v>4120</v>
      </c>
      <c r="E1311" s="286" t="s">
        <v>1409</v>
      </c>
    </row>
    <row r="1312">
      <c r="A1312" s="286" t="s">
        <v>1918</v>
      </c>
      <c r="B1312" s="286" t="s">
        <v>1100</v>
      </c>
      <c r="C1312" s="287">
        <v>1.8494402017E10</v>
      </c>
      <c r="D1312" s="286" t="s">
        <v>4121</v>
      </c>
      <c r="E1312" s="286" t="s">
        <v>1307</v>
      </c>
    </row>
    <row r="1313">
      <c r="A1313" s="286" t="s">
        <v>3582</v>
      </c>
      <c r="B1313" s="286" t="s">
        <v>2022</v>
      </c>
      <c r="C1313" s="287">
        <v>1.8135071881E10</v>
      </c>
      <c r="D1313" s="286" t="s">
        <v>4122</v>
      </c>
      <c r="E1313" s="286" t="s">
        <v>2591</v>
      </c>
    </row>
    <row r="1314">
      <c r="A1314" s="286" t="s">
        <v>2483</v>
      </c>
      <c r="B1314" s="262" t="s">
        <v>4123</v>
      </c>
      <c r="C1314" s="287">
        <v>1.915974676E10</v>
      </c>
      <c r="D1314" s="286" t="s">
        <v>4124</v>
      </c>
      <c r="E1314" s="286" t="s">
        <v>1409</v>
      </c>
    </row>
    <row r="1315">
      <c r="A1315" s="286" t="s">
        <v>1327</v>
      </c>
      <c r="B1315" s="262" t="s">
        <v>1327</v>
      </c>
      <c r="C1315" s="287">
        <v>1.5168052453E10</v>
      </c>
      <c r="D1315" s="286" t="s">
        <v>4125</v>
      </c>
      <c r="E1315" s="286" t="s">
        <v>1298</v>
      </c>
    </row>
    <row r="1316">
      <c r="A1316" s="286" t="s">
        <v>4126</v>
      </c>
      <c r="B1316" s="262" t="s">
        <v>1659</v>
      </c>
      <c r="C1316" s="287">
        <v>1.6035509317E10</v>
      </c>
      <c r="D1316" s="286" t="s">
        <v>4127</v>
      </c>
      <c r="E1316" s="286" t="s">
        <v>1409</v>
      </c>
    </row>
    <row r="1317">
      <c r="A1317" s="286" t="s">
        <v>1347</v>
      </c>
      <c r="B1317" s="262" t="s">
        <v>4128</v>
      </c>
      <c r="C1317" s="287">
        <v>1.347898679E10</v>
      </c>
      <c r="D1317" s="286" t="s">
        <v>4129</v>
      </c>
      <c r="E1317" s="286" t="s">
        <v>1409</v>
      </c>
    </row>
    <row r="1318">
      <c r="A1318" s="286" t="s">
        <v>2259</v>
      </c>
      <c r="B1318" s="286" t="s">
        <v>1401</v>
      </c>
      <c r="C1318" s="287">
        <v>1.7869236446E10</v>
      </c>
      <c r="D1318" s="286" t="s">
        <v>4130</v>
      </c>
      <c r="E1318" s="286" t="s">
        <v>1307</v>
      </c>
    </row>
    <row r="1319">
      <c r="A1319" s="286" t="s">
        <v>1805</v>
      </c>
      <c r="B1319" s="286" t="s">
        <v>2633</v>
      </c>
      <c r="C1319" s="287">
        <v>1.5612153579E10</v>
      </c>
      <c r="D1319" s="286" t="s">
        <v>4131</v>
      </c>
      <c r="E1319" s="286" t="s">
        <v>2525</v>
      </c>
    </row>
    <row r="1320">
      <c r="A1320" s="286" t="s">
        <v>4132</v>
      </c>
      <c r="B1320" s="262" t="s">
        <v>4133</v>
      </c>
      <c r="C1320" s="287">
        <v>1.3852277001E10</v>
      </c>
      <c r="D1320" s="286" t="s">
        <v>4134</v>
      </c>
      <c r="E1320" s="286" t="s">
        <v>1298</v>
      </c>
    </row>
    <row r="1321">
      <c r="A1321" s="286" t="s">
        <v>4135</v>
      </c>
      <c r="B1321" s="286" t="s">
        <v>3409</v>
      </c>
      <c r="C1321" s="287">
        <v>1.8574177735E10</v>
      </c>
      <c r="D1321" s="286" t="s">
        <v>4136</v>
      </c>
      <c r="E1321" s="286" t="s">
        <v>316</v>
      </c>
    </row>
    <row r="1322">
      <c r="A1322" s="286" t="s">
        <v>1359</v>
      </c>
      <c r="B1322" s="286" t="s">
        <v>4137</v>
      </c>
      <c r="C1322" s="287">
        <v>1.9177215847E10</v>
      </c>
      <c r="D1322" s="286" t="s">
        <v>4138</v>
      </c>
      <c r="E1322" s="286" t="s">
        <v>1307</v>
      </c>
    </row>
    <row r="1323">
      <c r="A1323" s="286" t="s">
        <v>811</v>
      </c>
      <c r="B1323" s="262" t="s">
        <v>1401</v>
      </c>
      <c r="C1323" s="287">
        <v>1.787631618E10</v>
      </c>
      <c r="D1323" s="286" t="s">
        <v>4139</v>
      </c>
      <c r="E1323" s="286" t="s">
        <v>1298</v>
      </c>
    </row>
    <row r="1324">
      <c r="A1324" s="286" t="s">
        <v>1419</v>
      </c>
      <c r="B1324" s="286" t="s">
        <v>4140</v>
      </c>
      <c r="C1324" s="287">
        <v>1.9398812059E10</v>
      </c>
      <c r="D1324" s="286" t="s">
        <v>4141</v>
      </c>
      <c r="E1324" s="286" t="s">
        <v>1738</v>
      </c>
    </row>
    <row r="1325">
      <c r="A1325" s="286" t="s">
        <v>2847</v>
      </c>
      <c r="B1325" s="286" t="s">
        <v>1430</v>
      </c>
      <c r="C1325" s="287">
        <v>1.929568621E10</v>
      </c>
      <c r="D1325" s="286" t="s">
        <v>4142</v>
      </c>
      <c r="E1325" s="286" t="s">
        <v>1307</v>
      </c>
    </row>
    <row r="1326">
      <c r="A1326" s="286" t="s">
        <v>1134</v>
      </c>
      <c r="B1326" s="262" t="s">
        <v>2235</v>
      </c>
      <c r="C1326" s="287">
        <v>1.7046393075E10</v>
      </c>
      <c r="D1326" s="286" t="s">
        <v>4143</v>
      </c>
      <c r="E1326" s="286" t="s">
        <v>1298</v>
      </c>
    </row>
    <row r="1327">
      <c r="A1327" s="286" t="s">
        <v>2410</v>
      </c>
      <c r="B1327" s="286" t="s">
        <v>2604</v>
      </c>
      <c r="C1327" s="287">
        <v>1.4085092477E10</v>
      </c>
      <c r="D1327" s="286" t="s">
        <v>4144</v>
      </c>
      <c r="E1327" s="286" t="s">
        <v>2591</v>
      </c>
    </row>
    <row r="1328">
      <c r="A1328" s="286" t="s">
        <v>2659</v>
      </c>
      <c r="B1328" s="286" t="s">
        <v>1677</v>
      </c>
      <c r="C1328" s="287">
        <v>1.9095603746E10</v>
      </c>
      <c r="D1328" s="286" t="s">
        <v>4145</v>
      </c>
      <c r="E1328" s="286" t="s">
        <v>1534</v>
      </c>
    </row>
    <row r="1329">
      <c r="A1329" s="286" t="s">
        <v>2862</v>
      </c>
      <c r="B1329" s="286" t="s">
        <v>4146</v>
      </c>
      <c r="C1329" s="287">
        <v>1.9342461706E10</v>
      </c>
      <c r="D1329" s="286" t="s">
        <v>4147</v>
      </c>
      <c r="E1329" s="286" t="s">
        <v>1738</v>
      </c>
    </row>
    <row r="1330">
      <c r="A1330" s="286" t="s">
        <v>2276</v>
      </c>
      <c r="B1330" s="286" t="s">
        <v>1902</v>
      </c>
      <c r="C1330" s="287">
        <v>1.6614931733E10</v>
      </c>
      <c r="D1330" s="286" t="s">
        <v>4148</v>
      </c>
      <c r="E1330" s="286" t="s">
        <v>1860</v>
      </c>
    </row>
    <row r="1331">
      <c r="A1331" s="286" t="s">
        <v>1344</v>
      </c>
      <c r="B1331" s="262" t="s">
        <v>4149</v>
      </c>
      <c r="C1331" s="287">
        <v>1.3059899652E10</v>
      </c>
      <c r="D1331" s="286" t="s">
        <v>4150</v>
      </c>
      <c r="E1331" s="286" t="s">
        <v>1409</v>
      </c>
    </row>
    <row r="1332">
      <c r="A1332" s="286" t="s">
        <v>4151</v>
      </c>
      <c r="B1332" s="262" t="s">
        <v>4152</v>
      </c>
      <c r="C1332" s="287">
        <v>1.915282977E10</v>
      </c>
      <c r="D1332" s="286" t="s">
        <v>4153</v>
      </c>
      <c r="E1332" s="286" t="s">
        <v>1298</v>
      </c>
    </row>
    <row r="1333">
      <c r="A1333" s="286" t="s">
        <v>3943</v>
      </c>
      <c r="B1333" s="286" t="s">
        <v>4154</v>
      </c>
      <c r="C1333" s="287">
        <v>1.9548894893E10</v>
      </c>
      <c r="D1333" s="286" t="s">
        <v>4155</v>
      </c>
      <c r="E1333" s="286" t="s">
        <v>1307</v>
      </c>
    </row>
    <row r="1334">
      <c r="A1334" s="286" t="s">
        <v>1344</v>
      </c>
      <c r="B1334" s="262" t="s">
        <v>4156</v>
      </c>
      <c r="C1334" s="287">
        <v>1.4054135052E10</v>
      </c>
      <c r="D1334" s="286" t="s">
        <v>4157</v>
      </c>
      <c r="E1334" s="286" t="s">
        <v>1298</v>
      </c>
    </row>
    <row r="1335">
      <c r="A1335" s="286" t="s">
        <v>1392</v>
      </c>
      <c r="B1335" s="286" t="s">
        <v>3660</v>
      </c>
      <c r="C1335" s="287">
        <v>1.3474713479E10</v>
      </c>
      <c r="D1335" s="286" t="s">
        <v>4158</v>
      </c>
      <c r="E1335" s="286" t="s">
        <v>1307</v>
      </c>
    </row>
    <row r="1336">
      <c r="A1336" s="286" t="s">
        <v>1925</v>
      </c>
      <c r="B1336" s="262" t="s">
        <v>2189</v>
      </c>
      <c r="C1336" s="287">
        <v>1.5627943614E10</v>
      </c>
      <c r="D1336" s="286" t="s">
        <v>4159</v>
      </c>
      <c r="E1336" s="286" t="s">
        <v>1298</v>
      </c>
    </row>
    <row r="1337">
      <c r="A1337" s="286" t="s">
        <v>1636</v>
      </c>
      <c r="B1337" s="286" t="s">
        <v>4160</v>
      </c>
      <c r="C1337" s="287">
        <v>1.5712758431E10</v>
      </c>
      <c r="D1337" s="286" t="s">
        <v>4161</v>
      </c>
      <c r="E1337" s="286" t="s">
        <v>1534</v>
      </c>
    </row>
    <row r="1338">
      <c r="A1338" s="286" t="s">
        <v>2001</v>
      </c>
      <c r="B1338" s="286" t="s">
        <v>4162</v>
      </c>
      <c r="C1338" s="287">
        <v>1.8326031867E10</v>
      </c>
      <c r="D1338" s="286" t="s">
        <v>4163</v>
      </c>
      <c r="E1338" s="286" t="s">
        <v>1414</v>
      </c>
    </row>
    <row r="1339">
      <c r="A1339" s="286" t="s">
        <v>4164</v>
      </c>
      <c r="B1339" s="286" t="s">
        <v>4165</v>
      </c>
      <c r="C1339" s="287">
        <v>1.9176886851E10</v>
      </c>
      <c r="D1339" s="286" t="s">
        <v>4166</v>
      </c>
      <c r="E1339" s="286" t="s">
        <v>4167</v>
      </c>
    </row>
    <row r="1340">
      <c r="A1340" s="286" t="s">
        <v>4168</v>
      </c>
      <c r="B1340" s="262" t="s">
        <v>4169</v>
      </c>
      <c r="C1340" s="287">
        <v>1.7028011627E10</v>
      </c>
      <c r="D1340" s="286" t="s">
        <v>4170</v>
      </c>
      <c r="E1340" s="286" t="s">
        <v>1298</v>
      </c>
    </row>
    <row r="1341">
      <c r="A1341" s="286" t="s">
        <v>981</v>
      </c>
      <c r="B1341" s="262" t="s">
        <v>1407</v>
      </c>
      <c r="C1341" s="287">
        <v>1.2013757486E10</v>
      </c>
      <c r="D1341" s="286" t="s">
        <v>4171</v>
      </c>
      <c r="E1341" s="286" t="s">
        <v>1409</v>
      </c>
    </row>
    <row r="1342">
      <c r="A1342" s="286" t="s">
        <v>1347</v>
      </c>
      <c r="B1342" s="262" t="s">
        <v>4172</v>
      </c>
      <c r="C1342" s="287">
        <v>1.2406033118E10</v>
      </c>
      <c r="D1342" s="286" t="s">
        <v>4173</v>
      </c>
      <c r="E1342" s="286" t="s">
        <v>2097</v>
      </c>
    </row>
    <row r="1343">
      <c r="A1343" s="286" t="s">
        <v>4174</v>
      </c>
      <c r="B1343" s="286" t="s">
        <v>1357</v>
      </c>
      <c r="C1343" s="287">
        <v>1.9804083025E10</v>
      </c>
      <c r="D1343" s="286" t="s">
        <v>4175</v>
      </c>
      <c r="E1343" s="286" t="s">
        <v>1307</v>
      </c>
    </row>
    <row r="1344">
      <c r="A1344" s="286" t="s">
        <v>1636</v>
      </c>
      <c r="B1344" s="286" t="s">
        <v>4176</v>
      </c>
      <c r="C1344" s="287">
        <v>1.5612914477E10</v>
      </c>
      <c r="D1344" s="286" t="s">
        <v>4177</v>
      </c>
      <c r="E1344" s="286" t="s">
        <v>1307</v>
      </c>
    </row>
    <row r="1345">
      <c r="A1345" s="286" t="s">
        <v>3364</v>
      </c>
      <c r="B1345" s="286" t="s">
        <v>1345</v>
      </c>
      <c r="C1345" s="287">
        <v>1.3056433018E10</v>
      </c>
      <c r="D1345" s="286" t="s">
        <v>4178</v>
      </c>
      <c r="E1345" s="286" t="s">
        <v>1534</v>
      </c>
    </row>
    <row r="1346">
      <c r="A1346" s="286" t="s">
        <v>4179</v>
      </c>
      <c r="B1346" s="286" t="s">
        <v>4180</v>
      </c>
      <c r="C1346" s="287">
        <v>1.5416468646E10</v>
      </c>
      <c r="D1346" s="286" t="s">
        <v>4181</v>
      </c>
      <c r="E1346" s="286" t="s">
        <v>1860</v>
      </c>
    </row>
    <row r="1347">
      <c r="A1347" s="286" t="s">
        <v>4182</v>
      </c>
      <c r="B1347" s="262" t="s">
        <v>2721</v>
      </c>
      <c r="C1347" s="287">
        <v>1.5087189278E10</v>
      </c>
      <c r="D1347" s="286" t="s">
        <v>4183</v>
      </c>
      <c r="E1347" s="286" t="s">
        <v>1298</v>
      </c>
    </row>
    <row r="1348">
      <c r="A1348" s="286" t="s">
        <v>1920</v>
      </c>
      <c r="B1348" s="262" t="s">
        <v>2419</v>
      </c>
      <c r="C1348" s="287">
        <v>1.2144517345E10</v>
      </c>
      <c r="D1348" s="286" t="s">
        <v>4184</v>
      </c>
      <c r="E1348" s="286" t="s">
        <v>1298</v>
      </c>
    </row>
    <row r="1349">
      <c r="A1349" s="286" t="s">
        <v>981</v>
      </c>
      <c r="B1349" s="286" t="s">
        <v>4185</v>
      </c>
      <c r="C1349" s="287">
        <v>1.3214384218E10</v>
      </c>
      <c r="D1349" s="286" t="s">
        <v>4186</v>
      </c>
      <c r="E1349" s="286" t="s">
        <v>1414</v>
      </c>
    </row>
    <row r="1350">
      <c r="A1350" s="286" t="s">
        <v>4187</v>
      </c>
      <c r="B1350" s="286" t="s">
        <v>4188</v>
      </c>
      <c r="C1350" s="287">
        <v>1.2392292694E10</v>
      </c>
      <c r="D1350" s="286" t="s">
        <v>4189</v>
      </c>
      <c r="E1350" s="286" t="s">
        <v>1307</v>
      </c>
    </row>
    <row r="1351">
      <c r="A1351" s="286" t="s">
        <v>613</v>
      </c>
      <c r="B1351" s="262" t="s">
        <v>1515</v>
      </c>
      <c r="C1351" s="287">
        <v>1.2408152699E10</v>
      </c>
      <c r="D1351" s="286" t="s">
        <v>4190</v>
      </c>
      <c r="E1351" s="286" t="s">
        <v>1409</v>
      </c>
    </row>
    <row r="1352">
      <c r="A1352" s="286" t="s">
        <v>613</v>
      </c>
      <c r="B1352" s="262" t="s">
        <v>4191</v>
      </c>
      <c r="C1352" s="287">
        <v>1.2017372139E10</v>
      </c>
      <c r="D1352" s="286" t="s">
        <v>614</v>
      </c>
      <c r="E1352" s="286" t="s">
        <v>1298</v>
      </c>
    </row>
    <row r="1353">
      <c r="A1353" s="286" t="s">
        <v>1766</v>
      </c>
      <c r="B1353" s="286" t="s">
        <v>4192</v>
      </c>
      <c r="C1353" s="287">
        <v>1.4084697476E10</v>
      </c>
      <c r="D1353" s="286" t="s">
        <v>4193</v>
      </c>
      <c r="E1353" s="286" t="s">
        <v>1534</v>
      </c>
    </row>
    <row r="1354">
      <c r="A1354" s="286" t="s">
        <v>4194</v>
      </c>
      <c r="B1354" s="262" t="s">
        <v>1902</v>
      </c>
      <c r="C1354" s="287">
        <v>1.9085291193E10</v>
      </c>
      <c r="D1354" s="286" t="s">
        <v>4195</v>
      </c>
      <c r="E1354" s="286" t="s">
        <v>1409</v>
      </c>
    </row>
    <row r="1355">
      <c r="A1355" s="286" t="s">
        <v>1650</v>
      </c>
      <c r="B1355" s="286" t="s">
        <v>4196</v>
      </c>
      <c r="C1355" s="287">
        <v>1.321315614E10</v>
      </c>
      <c r="D1355" s="286" t="s">
        <v>4197</v>
      </c>
      <c r="E1355" s="286" t="s">
        <v>2525</v>
      </c>
    </row>
    <row r="1356">
      <c r="A1356" s="286" t="s">
        <v>4198</v>
      </c>
      <c r="B1356" s="286" t="s">
        <v>4199</v>
      </c>
      <c r="C1356" s="287">
        <v>1.8182679603E10</v>
      </c>
      <c r="D1356" s="286" t="s">
        <v>4200</v>
      </c>
      <c r="E1356" s="286" t="s">
        <v>1414</v>
      </c>
    </row>
    <row r="1357">
      <c r="A1357" s="286" t="s">
        <v>1363</v>
      </c>
      <c r="B1357" s="286" t="s">
        <v>4201</v>
      </c>
      <c r="C1357" s="287">
        <v>1.7869075129E10</v>
      </c>
      <c r="D1357" s="286" t="s">
        <v>4202</v>
      </c>
      <c r="E1357" s="286" t="s">
        <v>1860</v>
      </c>
    </row>
    <row r="1358">
      <c r="A1358" s="286" t="s">
        <v>4203</v>
      </c>
      <c r="B1358" s="262" t="s">
        <v>2077</v>
      </c>
      <c r="C1358" s="287">
        <v>1.3464920522E10</v>
      </c>
      <c r="D1358" s="286" t="s">
        <v>4204</v>
      </c>
      <c r="E1358" s="286" t="s">
        <v>1298</v>
      </c>
    </row>
    <row r="1359">
      <c r="A1359" s="286" t="s">
        <v>3457</v>
      </c>
      <c r="B1359" s="286" t="s">
        <v>4205</v>
      </c>
      <c r="C1359" s="287">
        <v>1.3173556223E10</v>
      </c>
      <c r="D1359" s="286" t="s">
        <v>4206</v>
      </c>
      <c r="E1359" s="286" t="s">
        <v>1307</v>
      </c>
    </row>
    <row r="1360">
      <c r="A1360" s="286" t="s">
        <v>1802</v>
      </c>
      <c r="B1360" s="262" t="s">
        <v>1369</v>
      </c>
      <c r="C1360" s="287">
        <v>1.9164778107E10</v>
      </c>
      <c r="D1360" s="286" t="s">
        <v>4207</v>
      </c>
      <c r="E1360" s="286" t="s">
        <v>2097</v>
      </c>
    </row>
    <row r="1361">
      <c r="A1361" s="286" t="s">
        <v>4208</v>
      </c>
      <c r="B1361" s="286" t="s">
        <v>4209</v>
      </c>
      <c r="C1361" s="287">
        <v>1.2703138918E10</v>
      </c>
      <c r="D1361" s="286" t="s">
        <v>4210</v>
      </c>
      <c r="E1361" s="286" t="s">
        <v>1307</v>
      </c>
    </row>
    <row r="1362">
      <c r="A1362" s="286" t="s">
        <v>4211</v>
      </c>
      <c r="B1362" s="262" t="s">
        <v>3660</v>
      </c>
      <c r="C1362" s="287">
        <v>1.8329317574E10</v>
      </c>
      <c r="D1362" s="286" t="s">
        <v>4212</v>
      </c>
      <c r="E1362" s="286" t="s">
        <v>1409</v>
      </c>
    </row>
    <row r="1363">
      <c r="A1363" s="286" t="s">
        <v>4213</v>
      </c>
      <c r="B1363" s="286" t="s">
        <v>4214</v>
      </c>
      <c r="D1363" s="286" t="s">
        <v>4215</v>
      </c>
      <c r="E1363" s="286" t="s">
        <v>1738</v>
      </c>
    </row>
    <row r="1364">
      <c r="A1364" s="286" t="s">
        <v>4216</v>
      </c>
      <c r="B1364" s="262" t="s">
        <v>2149</v>
      </c>
      <c r="C1364" s="287">
        <v>1.2035833804E10</v>
      </c>
      <c r="D1364" s="286" t="s">
        <v>4217</v>
      </c>
      <c r="E1364" s="286" t="s">
        <v>1298</v>
      </c>
    </row>
    <row r="1365">
      <c r="A1365" s="286" t="s">
        <v>1327</v>
      </c>
      <c r="B1365" s="286" t="s">
        <v>1471</v>
      </c>
      <c r="C1365" s="287">
        <v>1.201917049E10</v>
      </c>
      <c r="D1365" s="286" t="s">
        <v>4218</v>
      </c>
      <c r="E1365" s="286" t="s">
        <v>1307</v>
      </c>
    </row>
    <row r="1366">
      <c r="A1366" s="286" t="s">
        <v>2632</v>
      </c>
      <c r="B1366" s="286" t="s">
        <v>4219</v>
      </c>
      <c r="C1366" s="287">
        <v>1.6787404292E10</v>
      </c>
      <c r="D1366" s="286" t="s">
        <v>4220</v>
      </c>
      <c r="E1366" s="286" t="s">
        <v>2525</v>
      </c>
    </row>
    <row r="1367">
      <c r="A1367" s="286" t="s">
        <v>3846</v>
      </c>
      <c r="B1367" s="286" t="s">
        <v>1468</v>
      </c>
      <c r="C1367" s="287">
        <v>1.7138573014E10</v>
      </c>
      <c r="D1367" s="286" t="s">
        <v>4221</v>
      </c>
      <c r="E1367" s="286" t="s">
        <v>2215</v>
      </c>
    </row>
    <row r="1368">
      <c r="A1368" s="286" t="s">
        <v>4222</v>
      </c>
      <c r="B1368" s="286" t="s">
        <v>2061</v>
      </c>
      <c r="C1368" s="287">
        <v>1.3053916182E10</v>
      </c>
      <c r="D1368" s="286" t="s">
        <v>4223</v>
      </c>
      <c r="E1368" s="286" t="s">
        <v>1738</v>
      </c>
    </row>
    <row r="1369">
      <c r="A1369" s="286" t="s">
        <v>4224</v>
      </c>
      <c r="B1369" s="262" t="s">
        <v>4225</v>
      </c>
      <c r="C1369" s="287">
        <v>1.6612193321E10</v>
      </c>
      <c r="D1369" s="286" t="s">
        <v>4226</v>
      </c>
      <c r="E1369" s="286" t="s">
        <v>1409</v>
      </c>
    </row>
    <row r="1370">
      <c r="A1370" s="286" t="s">
        <v>2400</v>
      </c>
      <c r="B1370" s="286" t="s">
        <v>4227</v>
      </c>
      <c r="C1370" s="287">
        <v>1.3472600887E10</v>
      </c>
      <c r="D1370" s="286" t="s">
        <v>4228</v>
      </c>
      <c r="E1370" s="286" t="s">
        <v>1307</v>
      </c>
    </row>
    <row r="1371">
      <c r="A1371" s="286" t="s">
        <v>1481</v>
      </c>
      <c r="B1371" s="262" t="s">
        <v>1740</v>
      </c>
      <c r="C1371" s="287">
        <v>1.9712224307E10</v>
      </c>
      <c r="D1371" s="286" t="s">
        <v>4229</v>
      </c>
      <c r="E1371" s="286" t="s">
        <v>1298</v>
      </c>
    </row>
    <row r="1372">
      <c r="A1372" s="286" t="s">
        <v>4230</v>
      </c>
      <c r="B1372" s="262" t="s">
        <v>1420</v>
      </c>
      <c r="C1372" s="287">
        <v>1.2405438898E10</v>
      </c>
      <c r="D1372" s="286" t="s">
        <v>4231</v>
      </c>
      <c r="E1372" s="286" t="s">
        <v>1409</v>
      </c>
    </row>
    <row r="1373">
      <c r="A1373" s="286" t="s">
        <v>4232</v>
      </c>
      <c r="B1373" s="262" t="s">
        <v>4233</v>
      </c>
      <c r="C1373" s="287">
        <v>1.917981101E10</v>
      </c>
      <c r="D1373" s="286" t="s">
        <v>4234</v>
      </c>
      <c r="E1373" s="286" t="s">
        <v>1409</v>
      </c>
    </row>
    <row r="1374">
      <c r="A1374" s="286" t="s">
        <v>4235</v>
      </c>
      <c r="B1374" s="262" t="s">
        <v>4236</v>
      </c>
      <c r="C1374" s="287">
        <v>1.6154397723E10</v>
      </c>
      <c r="D1374" s="286" t="s">
        <v>4237</v>
      </c>
      <c r="E1374" s="286" t="s">
        <v>1409</v>
      </c>
    </row>
    <row r="1375">
      <c r="A1375" s="286" t="s">
        <v>1359</v>
      </c>
      <c r="B1375" s="286" t="s">
        <v>4238</v>
      </c>
      <c r="C1375" s="288">
        <v>5.23318E16</v>
      </c>
      <c r="D1375" s="286" t="s">
        <v>4239</v>
      </c>
      <c r="E1375" s="286" t="s">
        <v>1307</v>
      </c>
    </row>
    <row r="1376">
      <c r="A1376" s="286" t="s">
        <v>2862</v>
      </c>
      <c r="B1376" s="286" t="s">
        <v>4240</v>
      </c>
      <c r="C1376" s="287">
        <v>1.9545157486E10</v>
      </c>
      <c r="D1376" s="286" t="s">
        <v>4241</v>
      </c>
      <c r="E1376" s="286" t="s">
        <v>1307</v>
      </c>
    </row>
    <row r="1377">
      <c r="A1377" s="286" t="s">
        <v>2098</v>
      </c>
      <c r="B1377" s="286" t="s">
        <v>2098</v>
      </c>
      <c r="C1377" s="287">
        <v>1.21094319E10</v>
      </c>
      <c r="D1377" s="286" t="s">
        <v>4242</v>
      </c>
      <c r="E1377" s="288">
        <v>1.20234E22</v>
      </c>
    </row>
    <row r="1378">
      <c r="A1378" s="286" t="s">
        <v>4243</v>
      </c>
      <c r="B1378" s="262"/>
      <c r="C1378" s="287">
        <v>1.8094306443E10</v>
      </c>
      <c r="D1378" s="286" t="s">
        <v>4244</v>
      </c>
      <c r="E1378" s="286" t="s">
        <v>1307</v>
      </c>
    </row>
    <row r="1379">
      <c r="A1379" s="286" t="s">
        <v>1631</v>
      </c>
      <c r="B1379" s="286" t="s">
        <v>4245</v>
      </c>
      <c r="C1379" s="287">
        <v>1.8043564889E10</v>
      </c>
      <c r="D1379" s="286" t="s">
        <v>4246</v>
      </c>
      <c r="E1379" s="286" t="s">
        <v>1307</v>
      </c>
    </row>
    <row r="1380">
      <c r="A1380" s="286" t="s">
        <v>1394</v>
      </c>
      <c r="B1380" s="286" t="s">
        <v>4247</v>
      </c>
      <c r="C1380" s="287">
        <v>1.8573840836E10</v>
      </c>
      <c r="D1380" s="286" t="s">
        <v>4248</v>
      </c>
      <c r="E1380" s="286" t="s">
        <v>1577</v>
      </c>
    </row>
    <row r="1381">
      <c r="A1381" s="286" t="s">
        <v>4249</v>
      </c>
      <c r="B1381" s="286" t="s">
        <v>4250</v>
      </c>
      <c r="C1381" s="287">
        <v>1.2015983898E10</v>
      </c>
      <c r="D1381" s="286" t="s">
        <v>4251</v>
      </c>
      <c r="E1381" s="286" t="s">
        <v>2278</v>
      </c>
    </row>
    <row r="1382">
      <c r="A1382" s="286" t="s">
        <v>1880</v>
      </c>
      <c r="B1382" s="262" t="s">
        <v>4252</v>
      </c>
      <c r="C1382" s="287">
        <v>1.9176907425E10</v>
      </c>
      <c r="D1382" s="286" t="s">
        <v>4253</v>
      </c>
      <c r="E1382" s="286" t="s">
        <v>1409</v>
      </c>
    </row>
    <row r="1383">
      <c r="A1383" s="286" t="s">
        <v>4254</v>
      </c>
      <c r="B1383" s="262" t="s">
        <v>1445</v>
      </c>
      <c r="C1383" s="287">
        <v>1.6154748596E10</v>
      </c>
      <c r="D1383" s="286" t="s">
        <v>4255</v>
      </c>
      <c r="E1383" s="286" t="s">
        <v>1298</v>
      </c>
    </row>
    <row r="1384">
      <c r="A1384" s="286" t="s">
        <v>4256</v>
      </c>
      <c r="B1384" s="286" t="s">
        <v>4257</v>
      </c>
      <c r="C1384" s="287">
        <v>1.9198428082E10</v>
      </c>
      <c r="D1384" s="286" t="s">
        <v>4258</v>
      </c>
      <c r="E1384" s="286" t="s">
        <v>2278</v>
      </c>
    </row>
    <row r="1385">
      <c r="A1385" s="286" t="s">
        <v>2732</v>
      </c>
      <c r="B1385" s="286" t="s">
        <v>4259</v>
      </c>
      <c r="C1385" s="287">
        <v>1.9548575834E10</v>
      </c>
      <c r="D1385" s="286" t="s">
        <v>4260</v>
      </c>
      <c r="E1385" s="286" t="s">
        <v>1307</v>
      </c>
    </row>
    <row r="1386">
      <c r="A1386" s="286" t="s">
        <v>1908</v>
      </c>
      <c r="B1386" s="286" t="s">
        <v>3063</v>
      </c>
      <c r="C1386" s="287">
        <v>1.5106108615E10</v>
      </c>
      <c r="D1386" s="286" t="s">
        <v>4261</v>
      </c>
      <c r="E1386" s="286" t="s">
        <v>1307</v>
      </c>
    </row>
    <row r="1387">
      <c r="A1387" s="286" t="s">
        <v>4262</v>
      </c>
      <c r="B1387" s="286" t="s">
        <v>4263</v>
      </c>
      <c r="C1387" s="287">
        <v>1.786797065E10</v>
      </c>
      <c r="D1387" s="286" t="s">
        <v>4264</v>
      </c>
      <c r="E1387" s="286" t="s">
        <v>1534</v>
      </c>
    </row>
    <row r="1388">
      <c r="A1388" s="286" t="s">
        <v>4265</v>
      </c>
      <c r="B1388" s="262" t="s">
        <v>4266</v>
      </c>
      <c r="C1388" s="287">
        <v>1.8136481015E10</v>
      </c>
      <c r="D1388" s="286" t="s">
        <v>4267</v>
      </c>
      <c r="E1388" s="286" t="s">
        <v>1409</v>
      </c>
    </row>
    <row r="1389">
      <c r="A1389" s="286" t="s">
        <v>4268</v>
      </c>
      <c r="B1389" s="286" t="s">
        <v>1661</v>
      </c>
      <c r="C1389" s="262"/>
      <c r="D1389" s="286" t="s">
        <v>4269</v>
      </c>
      <c r="E1389" s="286" t="s">
        <v>1738</v>
      </c>
    </row>
    <row r="1390">
      <c r="A1390" s="286" t="s">
        <v>4270</v>
      </c>
      <c r="B1390" s="286" t="s">
        <v>4271</v>
      </c>
      <c r="C1390" s="287">
        <v>1.9737579366E10</v>
      </c>
      <c r="D1390" s="286" t="s">
        <v>4272</v>
      </c>
      <c r="E1390" s="286" t="s">
        <v>1534</v>
      </c>
    </row>
    <row r="1391">
      <c r="A1391" s="286" t="s">
        <v>4273</v>
      </c>
      <c r="B1391" s="286" t="s">
        <v>2149</v>
      </c>
      <c r="C1391" s="287">
        <v>1.2018145913E10</v>
      </c>
      <c r="D1391" s="286" t="s">
        <v>4274</v>
      </c>
      <c r="E1391" s="286" t="s">
        <v>1307</v>
      </c>
    </row>
    <row r="1392">
      <c r="A1392" s="286" t="s">
        <v>3089</v>
      </c>
      <c r="B1392" s="262" t="s">
        <v>1345</v>
      </c>
      <c r="C1392" s="287">
        <v>1.8303353031E10</v>
      </c>
      <c r="D1392" s="286" t="s">
        <v>4275</v>
      </c>
      <c r="E1392" s="286" t="s">
        <v>1298</v>
      </c>
    </row>
    <row r="1393">
      <c r="A1393" s="286" t="s">
        <v>2184</v>
      </c>
      <c r="B1393" s="286" t="s">
        <v>4276</v>
      </c>
      <c r="C1393" s="287">
        <v>1.9082968604E10</v>
      </c>
      <c r="D1393" s="286" t="s">
        <v>4277</v>
      </c>
      <c r="E1393" s="286" t="s">
        <v>1307</v>
      </c>
    </row>
    <row r="1394">
      <c r="A1394" s="286" t="s">
        <v>1644</v>
      </c>
      <c r="B1394" s="262" t="s">
        <v>2478</v>
      </c>
      <c r="C1394" s="287">
        <v>1.6173966404E10</v>
      </c>
      <c r="D1394" s="286" t="s">
        <v>4278</v>
      </c>
      <c r="E1394" s="286" t="s">
        <v>1298</v>
      </c>
    </row>
    <row r="1395">
      <c r="A1395" s="286" t="s">
        <v>4279</v>
      </c>
      <c r="B1395" s="286" t="s">
        <v>4280</v>
      </c>
      <c r="C1395" s="287">
        <v>1.7046688113E10</v>
      </c>
      <c r="D1395" s="286" t="s">
        <v>4281</v>
      </c>
      <c r="E1395" s="286" t="s">
        <v>1307</v>
      </c>
    </row>
    <row r="1396">
      <c r="A1396" s="286" t="s">
        <v>1615</v>
      </c>
      <c r="B1396" s="286" t="s">
        <v>1618</v>
      </c>
      <c r="C1396" s="287">
        <v>1.469810494E10</v>
      </c>
      <c r="D1396" s="286" t="s">
        <v>4282</v>
      </c>
      <c r="E1396" s="286" t="s">
        <v>1307</v>
      </c>
    </row>
    <row r="1397">
      <c r="A1397" s="286" t="s">
        <v>1692</v>
      </c>
      <c r="B1397" s="286" t="s">
        <v>4283</v>
      </c>
      <c r="C1397" s="262"/>
      <c r="D1397" s="286" t="s">
        <v>4284</v>
      </c>
      <c r="E1397" s="286" t="s">
        <v>1738</v>
      </c>
    </row>
    <row r="1398">
      <c r="A1398" s="286" t="s">
        <v>1984</v>
      </c>
      <c r="B1398" s="262" t="s">
        <v>1659</v>
      </c>
      <c r="C1398" s="287">
        <v>1.4088549309E10</v>
      </c>
      <c r="D1398" s="286" t="s">
        <v>4285</v>
      </c>
      <c r="E1398" s="286" t="s">
        <v>1298</v>
      </c>
    </row>
    <row r="1399">
      <c r="A1399" s="286" t="s">
        <v>3324</v>
      </c>
      <c r="B1399" s="286" t="s">
        <v>1923</v>
      </c>
      <c r="C1399" s="287">
        <v>1.9544772059E10</v>
      </c>
      <c r="D1399" s="286" t="s">
        <v>4286</v>
      </c>
      <c r="E1399" s="286" t="s">
        <v>1307</v>
      </c>
    </row>
    <row r="1400">
      <c r="A1400" s="286" t="s">
        <v>4287</v>
      </c>
      <c r="B1400" s="262"/>
      <c r="C1400" s="287">
        <v>1.2018936275E10</v>
      </c>
      <c r="D1400" s="286" t="s">
        <v>4288</v>
      </c>
      <c r="E1400" s="286" t="s">
        <v>1534</v>
      </c>
    </row>
    <row r="1401">
      <c r="A1401" s="286" t="s">
        <v>4289</v>
      </c>
      <c r="B1401" s="262"/>
      <c r="C1401" s="287">
        <v>1.7865695891E10</v>
      </c>
      <c r="D1401" s="286" t="s">
        <v>4290</v>
      </c>
      <c r="E1401" s="286" t="s">
        <v>1409</v>
      </c>
    </row>
    <row r="1402">
      <c r="A1402" s="286" t="s">
        <v>4291</v>
      </c>
      <c r="B1402" s="286" t="s">
        <v>4292</v>
      </c>
      <c r="C1402" s="287">
        <v>1.786921931E10</v>
      </c>
      <c r="D1402" s="286" t="s">
        <v>4293</v>
      </c>
      <c r="E1402" s="286" t="s">
        <v>1307</v>
      </c>
    </row>
    <row r="1403">
      <c r="A1403" s="286" t="s">
        <v>4294</v>
      </c>
      <c r="B1403" s="286" t="s">
        <v>2446</v>
      </c>
      <c r="C1403" s="287">
        <v>1.9545318621E10</v>
      </c>
      <c r="D1403" s="286" t="s">
        <v>4295</v>
      </c>
      <c r="E1403" s="286" t="s">
        <v>1307</v>
      </c>
    </row>
    <row r="1404">
      <c r="A1404" s="286" t="s">
        <v>1308</v>
      </c>
      <c r="B1404" s="286" t="s">
        <v>4296</v>
      </c>
      <c r="C1404" s="287">
        <v>1.6613144933E10</v>
      </c>
      <c r="D1404" s="286" t="s">
        <v>4297</v>
      </c>
      <c r="E1404" s="286" t="s">
        <v>4298</v>
      </c>
    </row>
    <row r="1405">
      <c r="A1405" s="286" t="s">
        <v>4299</v>
      </c>
      <c r="B1405" s="286" t="s">
        <v>2478</v>
      </c>
      <c r="C1405" s="287">
        <v>1.9734748427E10</v>
      </c>
      <c r="D1405" s="286" t="s">
        <v>4300</v>
      </c>
      <c r="E1405" s="286" t="s">
        <v>1307</v>
      </c>
    </row>
    <row r="1406">
      <c r="A1406" s="286" t="s">
        <v>1722</v>
      </c>
      <c r="B1406" s="286" t="s">
        <v>4301</v>
      </c>
      <c r="C1406" s="287">
        <v>1.8624563947E10</v>
      </c>
      <c r="D1406" s="286" t="s">
        <v>4302</v>
      </c>
      <c r="E1406" s="286" t="s">
        <v>1534</v>
      </c>
    </row>
    <row r="1407">
      <c r="A1407" s="286" t="s">
        <v>2659</v>
      </c>
      <c r="B1407" s="286" t="s">
        <v>1618</v>
      </c>
      <c r="C1407" s="287">
        <v>1.9293288256E10</v>
      </c>
      <c r="D1407" s="286" t="s">
        <v>4303</v>
      </c>
      <c r="E1407" s="286" t="s">
        <v>1307</v>
      </c>
    </row>
    <row r="1408">
      <c r="A1408" s="286" t="s">
        <v>4304</v>
      </c>
      <c r="B1408" s="286" t="s">
        <v>4305</v>
      </c>
      <c r="C1408" s="287">
        <v>1.2816084664E10</v>
      </c>
      <c r="D1408" s="286" t="s">
        <v>4306</v>
      </c>
      <c r="E1408" s="286" t="s">
        <v>1307</v>
      </c>
    </row>
    <row r="1409">
      <c r="A1409" s="286" t="s">
        <v>4307</v>
      </c>
      <c r="B1409" s="262" t="s">
        <v>4308</v>
      </c>
      <c r="C1409" s="287">
        <v>1.7863547614E10</v>
      </c>
      <c r="D1409" s="286" t="s">
        <v>4309</v>
      </c>
      <c r="E1409" s="286" t="s">
        <v>1298</v>
      </c>
    </row>
    <row r="1410">
      <c r="A1410" s="286" t="s">
        <v>4310</v>
      </c>
      <c r="B1410" s="286" t="s">
        <v>4311</v>
      </c>
      <c r="C1410" s="287">
        <v>1.3054504173E10</v>
      </c>
      <c r="D1410" s="286" t="s">
        <v>4312</v>
      </c>
      <c r="E1410" s="286" t="s">
        <v>1307</v>
      </c>
    </row>
    <row r="1411">
      <c r="A1411" s="286" t="s">
        <v>1669</v>
      </c>
      <c r="B1411" s="286" t="s">
        <v>4313</v>
      </c>
      <c r="C1411" s="287">
        <v>1.5512753846E10</v>
      </c>
      <c r="D1411" s="286" t="s">
        <v>4314</v>
      </c>
      <c r="E1411" s="286" t="s">
        <v>1307</v>
      </c>
    </row>
    <row r="1412">
      <c r="A1412" s="286" t="s">
        <v>2551</v>
      </c>
      <c r="B1412" s="262" t="s">
        <v>4315</v>
      </c>
      <c r="C1412" s="287">
        <v>1.5758054998E10</v>
      </c>
      <c r="D1412" s="286" t="s">
        <v>4316</v>
      </c>
      <c r="E1412" s="286" t="s">
        <v>1298</v>
      </c>
    </row>
    <row r="1413">
      <c r="A1413" s="286" t="s">
        <v>4317</v>
      </c>
      <c r="B1413" s="262"/>
      <c r="C1413" s="287">
        <v>1.7864208368E10</v>
      </c>
      <c r="D1413" s="286" t="s">
        <v>4318</v>
      </c>
      <c r="E1413" s="286" t="s">
        <v>1307</v>
      </c>
    </row>
    <row r="1414">
      <c r="A1414" s="286" t="s">
        <v>4319</v>
      </c>
      <c r="B1414" s="286" t="s">
        <v>2446</v>
      </c>
      <c r="C1414" s="287">
        <v>1.6153802354E10</v>
      </c>
      <c r="D1414" s="286" t="s">
        <v>4320</v>
      </c>
      <c r="E1414" s="286" t="s">
        <v>1307</v>
      </c>
    </row>
    <row r="1415">
      <c r="A1415" s="286" t="s">
        <v>4321</v>
      </c>
      <c r="B1415" s="262" t="s">
        <v>967</v>
      </c>
      <c r="C1415" s="287">
        <v>1.9193436516E10</v>
      </c>
      <c r="D1415" s="286" t="s">
        <v>4322</v>
      </c>
      <c r="E1415" s="286" t="s">
        <v>1298</v>
      </c>
    </row>
    <row r="1416">
      <c r="A1416" s="286" t="s">
        <v>2047</v>
      </c>
      <c r="B1416" s="286" t="s">
        <v>4323</v>
      </c>
      <c r="C1416" s="287">
        <v>1.484837261E10</v>
      </c>
      <c r="D1416" s="286" t="s">
        <v>4324</v>
      </c>
      <c r="E1416" s="286" t="s">
        <v>2354</v>
      </c>
    </row>
    <row r="1417">
      <c r="A1417" s="286" t="s">
        <v>1117</v>
      </c>
      <c r="B1417" s="286" t="s">
        <v>4325</v>
      </c>
      <c r="C1417" s="287">
        <v>1.7024803685E10</v>
      </c>
      <c r="D1417" s="286" t="s">
        <v>4326</v>
      </c>
      <c r="E1417" s="286" t="s">
        <v>316</v>
      </c>
    </row>
    <row r="1418">
      <c r="A1418" s="286" t="s">
        <v>941</v>
      </c>
      <c r="B1418" s="262" t="s">
        <v>4327</v>
      </c>
      <c r="C1418" s="287">
        <v>1.6086954795E10</v>
      </c>
      <c r="D1418" s="286" t="s">
        <v>4328</v>
      </c>
      <c r="E1418" s="286" t="s">
        <v>1298</v>
      </c>
    </row>
    <row r="1419">
      <c r="A1419" s="286" t="s">
        <v>1725</v>
      </c>
      <c r="B1419" s="286" t="s">
        <v>4329</v>
      </c>
      <c r="C1419" s="287">
        <v>1.4452261065E10</v>
      </c>
      <c r="D1419" s="286" t="s">
        <v>4330</v>
      </c>
      <c r="E1419" s="286" t="s">
        <v>2034</v>
      </c>
    </row>
    <row r="1420">
      <c r="A1420" s="286" t="s">
        <v>1335</v>
      </c>
      <c r="B1420" s="262" t="s">
        <v>4331</v>
      </c>
      <c r="C1420" s="287">
        <v>1.7867979974E10</v>
      </c>
      <c r="D1420" s="286" t="s">
        <v>4332</v>
      </c>
      <c r="E1420" s="286" t="s">
        <v>2097</v>
      </c>
    </row>
    <row r="1421">
      <c r="A1421" s="286" t="s">
        <v>4333</v>
      </c>
      <c r="B1421" s="286" t="s">
        <v>4334</v>
      </c>
      <c r="C1421" s="287">
        <v>1.6313941711E10</v>
      </c>
      <c r="D1421" s="286" t="s">
        <v>4335</v>
      </c>
      <c r="E1421" s="286" t="s">
        <v>3827</v>
      </c>
    </row>
    <row r="1422">
      <c r="A1422" s="286" t="s">
        <v>2141</v>
      </c>
      <c r="B1422" s="262" t="s">
        <v>4336</v>
      </c>
      <c r="C1422" s="287">
        <v>1.6824205027E10</v>
      </c>
      <c r="D1422" s="286" t="s">
        <v>4337</v>
      </c>
      <c r="E1422" s="286" t="s">
        <v>1409</v>
      </c>
    </row>
    <row r="1423">
      <c r="A1423" s="286" t="s">
        <v>4232</v>
      </c>
      <c r="B1423" s="286" t="s">
        <v>1331</v>
      </c>
      <c r="C1423" s="287">
        <v>1.3474106452E10</v>
      </c>
      <c r="D1423" s="286" t="s">
        <v>4338</v>
      </c>
      <c r="E1423" s="286" t="s">
        <v>2354</v>
      </c>
    </row>
    <row r="1424">
      <c r="A1424" s="286" t="s">
        <v>4339</v>
      </c>
      <c r="B1424" s="286" t="s">
        <v>1515</v>
      </c>
      <c r="C1424" s="287">
        <v>1.8137935819E10</v>
      </c>
      <c r="D1424" s="286" t="s">
        <v>4340</v>
      </c>
      <c r="E1424" s="286" t="s">
        <v>2525</v>
      </c>
    </row>
    <row r="1425">
      <c r="A1425" s="286" t="s">
        <v>4341</v>
      </c>
      <c r="B1425" s="262" t="s">
        <v>4342</v>
      </c>
      <c r="C1425" s="287">
        <v>1.9294896744E10</v>
      </c>
      <c r="D1425" s="286" t="s">
        <v>4343</v>
      </c>
      <c r="E1425" s="286" t="s">
        <v>1298</v>
      </c>
    </row>
    <row r="1426">
      <c r="A1426" s="286" t="s">
        <v>1908</v>
      </c>
      <c r="B1426" s="286" t="s">
        <v>4344</v>
      </c>
      <c r="C1426" s="287">
        <v>1.4324440799E10</v>
      </c>
      <c r="D1426" s="286" t="s">
        <v>4345</v>
      </c>
      <c r="E1426" s="286" t="s">
        <v>1307</v>
      </c>
    </row>
    <row r="1427">
      <c r="A1427" s="286" t="s">
        <v>4346</v>
      </c>
      <c r="B1427" s="262" t="s">
        <v>1345</v>
      </c>
      <c r="C1427" s="287">
        <v>1.3212638045E10</v>
      </c>
      <c r="D1427" s="286" t="s">
        <v>4347</v>
      </c>
      <c r="E1427" s="286" t="s">
        <v>1298</v>
      </c>
    </row>
    <row r="1428">
      <c r="A1428" s="286" t="s">
        <v>1506</v>
      </c>
      <c r="B1428" s="286" t="s">
        <v>4348</v>
      </c>
      <c r="C1428" s="287">
        <v>1.7863591844E10</v>
      </c>
      <c r="D1428" s="286" t="s">
        <v>4349</v>
      </c>
      <c r="E1428" s="286" t="s">
        <v>1534</v>
      </c>
    </row>
    <row r="1429">
      <c r="A1429" s="286" t="s">
        <v>4350</v>
      </c>
      <c r="B1429" s="262" t="s">
        <v>1499</v>
      </c>
      <c r="C1429" s="287">
        <v>1.9203207453E10</v>
      </c>
      <c r="D1429" s="286" t="s">
        <v>4351</v>
      </c>
      <c r="E1429" s="286" t="s">
        <v>1298</v>
      </c>
    </row>
    <row r="1430">
      <c r="A1430" s="286" t="s">
        <v>968</v>
      </c>
      <c r="B1430" s="286" t="s">
        <v>1372</v>
      </c>
      <c r="C1430" s="287">
        <v>1.7866023583E10</v>
      </c>
      <c r="D1430" s="286" t="s">
        <v>969</v>
      </c>
      <c r="E1430" s="286" t="s">
        <v>1534</v>
      </c>
    </row>
    <row r="1431">
      <c r="A1431" s="286" t="s">
        <v>2743</v>
      </c>
      <c r="B1431" s="286" t="s">
        <v>4352</v>
      </c>
      <c r="C1431" s="287">
        <v>1.6143092618E10</v>
      </c>
      <c r="D1431" s="286" t="s">
        <v>4353</v>
      </c>
      <c r="E1431" s="286" t="s">
        <v>2034</v>
      </c>
    </row>
    <row r="1432">
      <c r="A1432" s="286" t="s">
        <v>1344</v>
      </c>
      <c r="B1432" s="286" t="s">
        <v>4354</v>
      </c>
      <c r="C1432" s="287">
        <v>1.3473556897E10</v>
      </c>
      <c r="D1432" s="286" t="s">
        <v>4355</v>
      </c>
      <c r="E1432" s="286" t="s">
        <v>1307</v>
      </c>
    </row>
    <row r="1433">
      <c r="A1433" s="286" t="s">
        <v>4356</v>
      </c>
      <c r="B1433" s="262" t="s">
        <v>4357</v>
      </c>
      <c r="C1433" s="287">
        <v>1.6463556756E10</v>
      </c>
      <c r="D1433" s="286" t="s">
        <v>4358</v>
      </c>
      <c r="E1433" s="286" t="s">
        <v>1409</v>
      </c>
    </row>
    <row r="1434">
      <c r="A1434" s="286" t="s">
        <v>4359</v>
      </c>
      <c r="B1434" s="262" t="s">
        <v>2969</v>
      </c>
      <c r="C1434" s="287">
        <v>1.8138972965E10</v>
      </c>
      <c r="D1434" s="286" t="s">
        <v>4360</v>
      </c>
      <c r="E1434" s="286" t="s">
        <v>1409</v>
      </c>
    </row>
    <row r="1435">
      <c r="A1435" s="286" t="s">
        <v>1134</v>
      </c>
      <c r="B1435" s="286" t="s">
        <v>4361</v>
      </c>
      <c r="C1435" s="287">
        <v>1.2144636694E10</v>
      </c>
      <c r="D1435" s="286" t="s">
        <v>4362</v>
      </c>
      <c r="E1435" s="286" t="s">
        <v>1307</v>
      </c>
    </row>
    <row r="1436">
      <c r="A1436" s="286" t="s">
        <v>4363</v>
      </c>
      <c r="B1436" s="262" t="s">
        <v>4364</v>
      </c>
      <c r="C1436" s="287">
        <v>1.3232826739E10</v>
      </c>
      <c r="D1436" s="286" t="s">
        <v>4365</v>
      </c>
      <c r="E1436" s="286" t="s">
        <v>1409</v>
      </c>
    </row>
    <row r="1437">
      <c r="A1437" s="286" t="s">
        <v>1394</v>
      </c>
      <c r="B1437" s="286" t="s">
        <v>1339</v>
      </c>
      <c r="C1437" s="287">
        <v>1.7867647036E10</v>
      </c>
      <c r="D1437" s="286" t="s">
        <v>4366</v>
      </c>
      <c r="E1437" s="286" t="s">
        <v>1534</v>
      </c>
    </row>
    <row r="1438">
      <c r="A1438" s="286" t="s">
        <v>4367</v>
      </c>
      <c r="B1438" s="286" t="s">
        <v>4368</v>
      </c>
      <c r="C1438" s="287">
        <v>1.8452001201E10</v>
      </c>
      <c r="D1438" s="286" t="s">
        <v>4369</v>
      </c>
      <c r="E1438" s="286" t="s">
        <v>1414</v>
      </c>
    </row>
    <row r="1439">
      <c r="A1439" s="286" t="s">
        <v>4370</v>
      </c>
      <c r="B1439" s="286" t="s">
        <v>1515</v>
      </c>
      <c r="C1439" s="287">
        <v>1.2015880458E10</v>
      </c>
      <c r="D1439" s="286" t="s">
        <v>4371</v>
      </c>
      <c r="E1439" s="286" t="s">
        <v>1307</v>
      </c>
    </row>
    <row r="1440">
      <c r="A1440" s="286" t="s">
        <v>981</v>
      </c>
      <c r="B1440" s="286" t="s">
        <v>4372</v>
      </c>
      <c r="C1440" s="287">
        <v>1.773592179E10</v>
      </c>
      <c r="D1440" s="286" t="s">
        <v>4373</v>
      </c>
      <c r="E1440" s="286" t="s">
        <v>1534</v>
      </c>
    </row>
    <row r="1441">
      <c r="A1441" s="286" t="s">
        <v>4374</v>
      </c>
      <c r="B1441" s="286" t="s">
        <v>1734</v>
      </c>
      <c r="C1441" s="287">
        <v>1.7864474239E10</v>
      </c>
      <c r="D1441" s="286" t="s">
        <v>4375</v>
      </c>
      <c r="E1441" s="286" t="s">
        <v>1307</v>
      </c>
    </row>
    <row r="1442">
      <c r="A1442" s="286" t="s">
        <v>4376</v>
      </c>
      <c r="B1442" s="286" t="s">
        <v>4377</v>
      </c>
      <c r="C1442" s="287">
        <v>1.5127894737E10</v>
      </c>
      <c r="D1442" s="286" t="s">
        <v>4378</v>
      </c>
      <c r="E1442" s="286" t="s">
        <v>1307</v>
      </c>
    </row>
    <row r="1443">
      <c r="A1443" s="286" t="s">
        <v>1134</v>
      </c>
      <c r="B1443" s="286" t="s">
        <v>1471</v>
      </c>
      <c r="C1443" s="287">
        <v>1.78636293E10</v>
      </c>
      <c r="D1443" s="286" t="s">
        <v>4379</v>
      </c>
      <c r="E1443" s="286" t="s">
        <v>1534</v>
      </c>
    </row>
    <row r="1444">
      <c r="A1444" s="286" t="s">
        <v>4380</v>
      </c>
      <c r="C1444" s="287">
        <v>1.7867645347E10</v>
      </c>
      <c r="D1444" s="286" t="s">
        <v>4381</v>
      </c>
      <c r="E1444" s="286" t="s">
        <v>1307</v>
      </c>
    </row>
    <row r="1445">
      <c r="A1445" s="286" t="s">
        <v>1817</v>
      </c>
      <c r="B1445" s="286" t="s">
        <v>1554</v>
      </c>
      <c r="C1445" s="262"/>
      <c r="D1445" s="286" t="s">
        <v>4382</v>
      </c>
      <c r="E1445" s="286" t="s">
        <v>1860</v>
      </c>
    </row>
    <row r="1446">
      <c r="A1446" s="286" t="s">
        <v>4383</v>
      </c>
      <c r="B1446" s="286" t="s">
        <v>4384</v>
      </c>
      <c r="C1446" s="287">
        <v>1.7862388606E10</v>
      </c>
      <c r="D1446" s="286" t="s">
        <v>4385</v>
      </c>
      <c r="E1446" s="286" t="s">
        <v>1307</v>
      </c>
    </row>
    <row r="1447">
      <c r="A1447" s="286" t="s">
        <v>4386</v>
      </c>
      <c r="B1447" s="286" t="s">
        <v>4387</v>
      </c>
      <c r="C1447" s="287">
        <v>1.9045318913E10</v>
      </c>
      <c r="D1447" s="286" t="s">
        <v>4388</v>
      </c>
      <c r="E1447" s="286" t="s">
        <v>1577</v>
      </c>
    </row>
    <row r="1448">
      <c r="A1448" s="286" t="s">
        <v>4389</v>
      </c>
      <c r="B1448" s="286" t="s">
        <v>1515</v>
      </c>
      <c r="C1448" s="287">
        <v>1.9178152631E10</v>
      </c>
      <c r="D1448" s="286" t="s">
        <v>4390</v>
      </c>
      <c r="E1448" s="286" t="s">
        <v>1307</v>
      </c>
    </row>
    <row r="1449">
      <c r="A1449" s="286" t="s">
        <v>4391</v>
      </c>
      <c r="B1449" s="286" t="s">
        <v>4392</v>
      </c>
      <c r="C1449" s="287">
        <v>1.2017729783E10</v>
      </c>
      <c r="D1449" s="286" t="s">
        <v>4393</v>
      </c>
      <c r="E1449" s="286" t="s">
        <v>1307</v>
      </c>
    </row>
    <row r="1450">
      <c r="A1450" s="286" t="s">
        <v>4394</v>
      </c>
      <c r="B1450" s="262" t="s">
        <v>2147</v>
      </c>
      <c r="C1450" s="287">
        <v>1.7866723E10</v>
      </c>
      <c r="D1450" s="286" t="s">
        <v>4395</v>
      </c>
      <c r="E1450" s="286" t="s">
        <v>1298</v>
      </c>
    </row>
    <row r="1451">
      <c r="A1451" s="286" t="s">
        <v>4396</v>
      </c>
      <c r="B1451" s="286" t="s">
        <v>1659</v>
      </c>
      <c r="C1451" s="287">
        <v>1.7868435211E10</v>
      </c>
      <c r="D1451" s="286" t="s">
        <v>4397</v>
      </c>
      <c r="E1451" s="286" t="s">
        <v>1307</v>
      </c>
    </row>
    <row r="1452">
      <c r="A1452" s="286"/>
      <c r="B1452" s="286"/>
      <c r="C1452" s="287"/>
      <c r="D1452" s="286"/>
      <c r="E1452" s="286"/>
    </row>
    <row r="1453">
      <c r="A1453" s="286"/>
      <c r="B1453" s="286"/>
      <c r="C1453" s="287"/>
      <c r="D1453" s="286"/>
      <c r="E1453" s="286"/>
    </row>
    <row r="1454">
      <c r="A1454" s="286"/>
      <c r="B1454" s="286"/>
      <c r="C1454" s="287"/>
      <c r="D1454" s="286"/>
      <c r="E1454" s="286"/>
    </row>
    <row r="1455">
      <c r="A1455" s="286"/>
      <c r="B1455" s="286"/>
      <c r="C1455" s="287"/>
      <c r="D1455" s="286"/>
      <c r="E1455" s="286"/>
    </row>
    <row r="1456">
      <c r="A1456" s="286"/>
      <c r="B1456" s="286"/>
      <c r="C1456" s="287"/>
      <c r="D1456" s="286"/>
      <c r="E1456" s="286"/>
    </row>
    <row r="1457">
      <c r="A1457" s="286"/>
      <c r="B1457" s="286"/>
      <c r="C1457" s="287"/>
      <c r="D1457" s="286"/>
      <c r="E1457" s="286"/>
    </row>
    <row r="1458">
      <c r="A1458" s="286"/>
      <c r="B1458" s="286"/>
      <c r="C1458" s="287"/>
      <c r="D1458" s="286"/>
      <c r="E1458" s="286"/>
    </row>
    <row r="1459">
      <c r="A1459" s="286"/>
      <c r="B1459" s="286"/>
      <c r="C1459" s="287"/>
      <c r="D1459" s="286"/>
      <c r="E1459" s="286"/>
    </row>
    <row r="1460">
      <c r="A1460" s="286"/>
      <c r="B1460" s="286"/>
      <c r="C1460" s="287"/>
      <c r="D1460" s="286"/>
      <c r="E1460" s="286"/>
    </row>
    <row r="1461">
      <c r="A1461" s="286"/>
      <c r="B1461" s="286"/>
      <c r="C1461" s="287"/>
      <c r="D1461" s="286"/>
      <c r="E1461" s="286"/>
    </row>
    <row r="1462">
      <c r="A1462" s="286"/>
      <c r="B1462" s="286"/>
      <c r="C1462" s="287"/>
      <c r="D1462" s="286"/>
      <c r="E1462" s="286"/>
    </row>
    <row r="1463">
      <c r="A1463" s="286"/>
      <c r="B1463" s="286"/>
      <c r="C1463" s="287"/>
      <c r="D1463" s="286"/>
      <c r="E1463" s="286"/>
    </row>
    <row r="1464">
      <c r="A1464" s="286"/>
      <c r="B1464" s="286"/>
      <c r="C1464" s="287"/>
      <c r="D1464" s="286"/>
      <c r="E1464" s="286"/>
    </row>
    <row r="1465">
      <c r="A1465" s="286"/>
      <c r="B1465" s="286"/>
      <c r="C1465" s="287"/>
      <c r="D1465" s="286"/>
      <c r="E1465" s="286"/>
    </row>
    <row r="1466">
      <c r="A1466" s="286"/>
      <c r="B1466" s="286"/>
      <c r="C1466" s="287"/>
      <c r="D1466" s="286"/>
      <c r="E1466" s="286"/>
    </row>
    <row r="1467">
      <c r="A1467" s="286"/>
      <c r="B1467" s="291"/>
      <c r="C1467" s="287"/>
      <c r="D1467" s="286"/>
      <c r="E1467" s="286"/>
    </row>
    <row r="1468">
      <c r="A1468" s="286"/>
      <c r="B1468" s="291"/>
      <c r="C1468" s="287"/>
      <c r="D1468" s="286"/>
      <c r="E1468" s="286"/>
    </row>
    <row r="1469">
      <c r="A1469" s="286"/>
      <c r="B1469" s="286"/>
      <c r="C1469" s="287"/>
      <c r="D1469" s="286"/>
      <c r="E1469" s="286"/>
    </row>
    <row r="1470">
      <c r="A1470" s="286"/>
      <c r="B1470" s="286"/>
      <c r="C1470" s="287"/>
      <c r="D1470" s="286"/>
      <c r="E1470" s="286"/>
    </row>
    <row r="1471">
      <c r="A1471" s="286"/>
      <c r="B1471" s="291"/>
      <c r="C1471" s="287"/>
      <c r="D1471" s="286"/>
      <c r="E1471" s="286"/>
    </row>
    <row r="1472">
      <c r="A1472" s="286"/>
      <c r="B1472" s="286"/>
      <c r="C1472" s="287"/>
      <c r="D1472" s="286"/>
      <c r="E1472" s="286"/>
    </row>
    <row r="1473">
      <c r="A1473" s="286"/>
      <c r="B1473" s="286"/>
      <c r="C1473" s="287"/>
      <c r="D1473" s="286"/>
      <c r="E1473" s="286"/>
    </row>
    <row r="1474">
      <c r="A1474" s="286"/>
      <c r="B1474" s="286"/>
      <c r="C1474" s="287"/>
      <c r="D1474" s="286"/>
      <c r="E1474" s="286"/>
    </row>
    <row r="1475">
      <c r="A1475" s="286"/>
      <c r="B1475" s="286"/>
      <c r="C1475" s="287"/>
      <c r="D1475" s="286"/>
      <c r="E1475" s="286"/>
    </row>
    <row r="1476">
      <c r="A1476" s="286"/>
      <c r="B1476" s="286"/>
      <c r="C1476" s="287"/>
      <c r="D1476" s="286"/>
      <c r="E1476" s="286"/>
    </row>
    <row r="1477">
      <c r="A1477" s="286"/>
      <c r="B1477" s="286"/>
      <c r="C1477" s="287"/>
      <c r="D1477" s="286"/>
      <c r="E1477" s="286"/>
    </row>
    <row r="1478">
      <c r="A1478" s="286"/>
      <c r="B1478" s="291"/>
      <c r="C1478" s="287"/>
      <c r="D1478" s="286"/>
      <c r="E1478" s="286"/>
    </row>
    <row r="1479">
      <c r="A1479" s="286"/>
      <c r="B1479" s="286"/>
      <c r="C1479" s="287"/>
      <c r="D1479" s="286"/>
      <c r="E1479" s="286"/>
    </row>
    <row r="1480">
      <c r="A1480" s="286"/>
      <c r="B1480" s="286"/>
      <c r="C1480" s="287"/>
      <c r="D1480" s="286"/>
      <c r="E1480" s="286"/>
    </row>
    <row r="1481">
      <c r="A1481" s="286"/>
      <c r="B1481" s="286"/>
      <c r="C1481" s="287"/>
      <c r="D1481" s="286"/>
      <c r="E1481" s="286"/>
    </row>
    <row r="1482">
      <c r="A1482" s="286"/>
      <c r="B1482" s="286"/>
      <c r="C1482" s="287"/>
      <c r="D1482" s="286"/>
      <c r="E1482" s="286"/>
    </row>
    <row r="1483">
      <c r="A1483" s="286"/>
      <c r="B1483" s="286"/>
      <c r="C1483" s="287"/>
      <c r="D1483" s="286"/>
      <c r="E1483" s="286"/>
    </row>
    <row r="1484">
      <c r="A1484" s="286"/>
      <c r="B1484" s="286"/>
      <c r="C1484" s="287"/>
      <c r="D1484" s="286"/>
      <c r="E1484" s="286"/>
    </row>
    <row r="1485">
      <c r="A1485" s="286"/>
      <c r="B1485" s="286"/>
      <c r="C1485" s="287"/>
      <c r="D1485" s="286"/>
      <c r="E1485" s="286"/>
    </row>
    <row r="1486">
      <c r="A1486" s="286"/>
      <c r="B1486" s="286"/>
      <c r="C1486" s="287"/>
      <c r="D1486" s="286"/>
      <c r="E1486" s="286"/>
    </row>
    <row r="1487">
      <c r="A1487" s="286"/>
      <c r="B1487" s="286"/>
      <c r="C1487" s="287"/>
      <c r="D1487" s="286"/>
      <c r="E1487" s="286"/>
    </row>
    <row r="1488">
      <c r="A1488" s="286"/>
      <c r="B1488" s="286"/>
      <c r="C1488" s="287"/>
      <c r="D1488" s="286"/>
      <c r="E1488" s="286"/>
    </row>
    <row r="1489">
      <c r="A1489" s="286"/>
      <c r="B1489" s="286"/>
      <c r="C1489" s="287"/>
      <c r="D1489" s="286"/>
      <c r="E1489" s="286"/>
    </row>
    <row r="1490">
      <c r="A1490" s="286"/>
      <c r="B1490" s="286"/>
      <c r="C1490" s="287"/>
      <c r="D1490" s="286"/>
      <c r="E1490" s="286"/>
    </row>
    <row r="1491">
      <c r="A1491" s="286"/>
      <c r="B1491" s="286"/>
      <c r="C1491" s="287"/>
      <c r="D1491" s="286"/>
      <c r="E1491" s="286"/>
    </row>
    <row r="1492">
      <c r="A1492" s="286"/>
      <c r="B1492" s="286"/>
      <c r="C1492" s="287"/>
      <c r="D1492" s="286"/>
      <c r="E1492" s="286"/>
    </row>
    <row r="1493">
      <c r="A1493" s="286"/>
      <c r="B1493" s="286"/>
      <c r="C1493" s="287"/>
      <c r="D1493" s="286"/>
      <c r="E1493" s="286"/>
    </row>
    <row r="1494">
      <c r="A1494" s="286"/>
      <c r="B1494" s="286"/>
      <c r="C1494" s="287"/>
      <c r="D1494" s="286"/>
      <c r="E1494" s="286"/>
    </row>
    <row r="1495">
      <c r="A1495" s="286"/>
      <c r="B1495" s="286"/>
      <c r="C1495" s="287"/>
      <c r="D1495" s="286"/>
      <c r="E1495" s="286"/>
    </row>
    <row r="1496">
      <c r="A1496" s="286"/>
      <c r="B1496" s="286"/>
      <c r="C1496" s="287"/>
      <c r="D1496" s="286"/>
      <c r="E1496" s="286"/>
    </row>
    <row r="1497">
      <c r="A1497" s="286"/>
      <c r="B1497" s="291"/>
      <c r="C1497" s="287"/>
      <c r="D1497" s="286"/>
      <c r="E1497" s="286"/>
    </row>
    <row r="1498">
      <c r="A1498" s="286"/>
      <c r="B1498" s="286"/>
      <c r="C1498" s="287"/>
      <c r="D1498" s="286"/>
      <c r="E1498" s="286"/>
    </row>
    <row r="1499">
      <c r="A1499" s="286"/>
      <c r="B1499" s="286"/>
      <c r="C1499" s="287"/>
      <c r="D1499" s="286"/>
      <c r="E1499" s="286"/>
    </row>
    <row r="1500">
      <c r="A1500" s="286"/>
      <c r="B1500" s="286"/>
      <c r="C1500" s="287"/>
      <c r="D1500" s="286"/>
      <c r="E1500" s="286"/>
    </row>
    <row r="1501">
      <c r="A1501" s="286"/>
      <c r="B1501" s="286"/>
      <c r="C1501" s="287"/>
      <c r="D1501" s="286"/>
      <c r="E1501" s="286"/>
    </row>
    <row r="1502">
      <c r="A1502" s="286"/>
      <c r="B1502" s="286"/>
      <c r="C1502" s="287"/>
      <c r="D1502" s="286"/>
      <c r="E1502" s="286"/>
    </row>
    <row r="1503">
      <c r="A1503" s="286"/>
      <c r="B1503" s="286"/>
      <c r="C1503" s="287"/>
      <c r="D1503" s="286"/>
      <c r="E1503" s="286"/>
    </row>
    <row r="1504">
      <c r="A1504" s="286"/>
      <c r="B1504" s="286"/>
      <c r="C1504" s="287"/>
      <c r="D1504" s="286"/>
      <c r="E1504" s="286"/>
    </row>
    <row r="1505">
      <c r="A1505" s="286"/>
      <c r="B1505" s="286"/>
      <c r="C1505" s="287"/>
      <c r="D1505" s="286"/>
      <c r="E1505" s="286"/>
    </row>
    <row r="1506">
      <c r="A1506" s="286"/>
      <c r="B1506" s="286"/>
      <c r="C1506" s="287"/>
      <c r="D1506" s="286"/>
      <c r="E1506" s="286"/>
    </row>
    <row r="1507">
      <c r="A1507" s="286"/>
      <c r="B1507" s="286"/>
      <c r="C1507" s="287"/>
      <c r="D1507" s="286"/>
      <c r="E1507" s="286"/>
    </row>
    <row r="1508">
      <c r="A1508" s="286"/>
      <c r="B1508" s="286"/>
      <c r="C1508" s="287"/>
      <c r="D1508" s="286"/>
      <c r="E1508" s="286"/>
    </row>
    <row r="1509">
      <c r="A1509" s="286"/>
      <c r="B1509" s="286"/>
      <c r="C1509" s="287"/>
      <c r="D1509" s="286"/>
      <c r="E1509" s="286"/>
    </row>
    <row r="1510">
      <c r="A1510" s="286"/>
      <c r="B1510" s="286"/>
      <c r="C1510" s="287"/>
      <c r="D1510" s="286"/>
      <c r="E1510" s="286"/>
    </row>
    <row r="1511">
      <c r="A1511" s="286"/>
      <c r="B1511" s="286"/>
      <c r="C1511" s="287"/>
      <c r="D1511" s="286"/>
      <c r="E1511" s="286"/>
    </row>
    <row r="1512">
      <c r="A1512" s="286"/>
      <c r="B1512" s="286"/>
      <c r="C1512" s="287"/>
      <c r="D1512" s="286"/>
      <c r="E1512" s="286"/>
    </row>
    <row r="1513">
      <c r="A1513" s="286"/>
      <c r="B1513" s="286"/>
      <c r="C1513" s="287"/>
      <c r="D1513" s="286"/>
      <c r="E1513" s="286"/>
    </row>
    <row r="1514">
      <c r="A1514" s="286"/>
      <c r="B1514" s="286"/>
      <c r="C1514" s="287"/>
      <c r="D1514" s="286"/>
      <c r="E1514" s="286"/>
    </row>
    <row r="1515">
      <c r="A1515" s="286"/>
      <c r="B1515" s="286"/>
      <c r="C1515" s="287"/>
      <c r="D1515" s="286"/>
      <c r="E1515" s="286"/>
    </row>
    <row r="1516">
      <c r="A1516" s="286"/>
      <c r="B1516" s="286"/>
      <c r="C1516" s="287"/>
      <c r="D1516" s="286"/>
      <c r="E1516" s="286"/>
    </row>
    <row r="1517">
      <c r="A1517" s="286"/>
      <c r="B1517" s="286"/>
      <c r="C1517" s="287"/>
      <c r="D1517" s="286"/>
      <c r="E1517" s="286"/>
    </row>
    <row r="1518">
      <c r="A1518" s="286"/>
      <c r="B1518" s="286"/>
      <c r="C1518" s="287"/>
      <c r="D1518" s="286"/>
      <c r="E1518" s="286"/>
    </row>
    <row r="1519">
      <c r="A1519" s="286"/>
      <c r="B1519" s="286"/>
      <c r="C1519" s="287"/>
      <c r="D1519" s="286"/>
      <c r="E1519" s="286"/>
    </row>
    <row r="1520">
      <c r="A1520" s="286"/>
      <c r="B1520" s="286"/>
      <c r="C1520" s="287"/>
      <c r="D1520" s="286"/>
      <c r="E1520" s="286"/>
    </row>
    <row r="1521">
      <c r="A1521" s="286"/>
      <c r="B1521" s="286"/>
      <c r="C1521" s="287"/>
      <c r="D1521" s="286"/>
      <c r="E1521" s="286"/>
    </row>
    <row r="1522">
      <c r="A1522" s="286"/>
      <c r="B1522" s="286"/>
      <c r="C1522" s="287"/>
      <c r="D1522" s="286"/>
      <c r="E1522" s="286"/>
    </row>
    <row r="1523">
      <c r="A1523" s="286"/>
      <c r="B1523" s="286"/>
      <c r="C1523" s="287"/>
      <c r="D1523" s="286"/>
      <c r="E1523" s="286"/>
    </row>
    <row r="1524">
      <c r="A1524" s="286"/>
      <c r="B1524" s="286"/>
      <c r="C1524" s="287"/>
      <c r="D1524" s="286"/>
      <c r="E1524" s="286"/>
    </row>
    <row r="1525">
      <c r="A1525" s="286"/>
      <c r="B1525" s="286"/>
      <c r="C1525" s="287"/>
      <c r="D1525" s="286"/>
      <c r="E1525" s="286"/>
    </row>
    <row r="1526">
      <c r="A1526" s="286"/>
      <c r="B1526" s="286"/>
      <c r="C1526" s="287"/>
      <c r="D1526" s="286"/>
      <c r="E1526" s="286"/>
    </row>
    <row r="1527">
      <c r="A1527" s="286"/>
      <c r="B1527" s="286"/>
      <c r="C1527" s="287"/>
      <c r="D1527" s="286"/>
      <c r="E1527" s="286"/>
    </row>
    <row r="1528">
      <c r="A1528" s="286"/>
      <c r="B1528" s="286"/>
      <c r="C1528" s="287"/>
      <c r="D1528" s="286"/>
      <c r="E1528" s="286"/>
    </row>
    <row r="1529">
      <c r="A1529" s="286"/>
      <c r="B1529" s="286"/>
      <c r="C1529" s="287"/>
      <c r="D1529" s="286"/>
      <c r="E1529" s="286"/>
    </row>
    <row r="1530">
      <c r="A1530" s="286"/>
      <c r="B1530" s="286"/>
      <c r="C1530" s="287"/>
      <c r="D1530" s="286"/>
      <c r="E1530" s="286"/>
    </row>
    <row r="1531">
      <c r="A1531" s="286"/>
      <c r="B1531" s="286"/>
      <c r="C1531" s="287"/>
      <c r="D1531" s="286"/>
      <c r="E1531" s="286"/>
    </row>
    <row r="1532">
      <c r="A1532" s="286"/>
      <c r="B1532" s="291"/>
      <c r="C1532" s="287"/>
      <c r="D1532" s="286"/>
      <c r="E1532" s="286"/>
    </row>
    <row r="1533">
      <c r="A1533" s="286"/>
      <c r="B1533" s="286"/>
      <c r="C1533" s="287"/>
      <c r="D1533" s="286"/>
      <c r="E1533" s="286"/>
    </row>
    <row r="1534">
      <c r="A1534" s="286"/>
      <c r="B1534" s="286"/>
      <c r="C1534" s="287"/>
      <c r="D1534" s="286"/>
      <c r="E1534" s="286"/>
    </row>
    <row r="1535">
      <c r="A1535" s="286"/>
      <c r="B1535" s="291"/>
      <c r="C1535" s="287"/>
      <c r="D1535" s="286"/>
      <c r="E1535" s="286"/>
    </row>
    <row r="1536">
      <c r="A1536" s="286"/>
      <c r="B1536" s="286"/>
      <c r="C1536" s="287"/>
      <c r="D1536" s="286"/>
      <c r="E1536" s="286"/>
    </row>
    <row r="1537">
      <c r="A1537" s="286"/>
      <c r="B1537" s="286"/>
      <c r="C1537" s="287"/>
      <c r="D1537" s="286"/>
      <c r="E1537" s="286"/>
    </row>
    <row r="1538">
      <c r="A1538" s="286"/>
      <c r="B1538" s="286"/>
      <c r="C1538" s="287"/>
      <c r="D1538" s="286"/>
      <c r="E1538" s="286"/>
    </row>
    <row r="1539">
      <c r="A1539" s="286"/>
      <c r="B1539" s="286"/>
      <c r="C1539" s="287"/>
      <c r="D1539" s="286"/>
      <c r="E1539" s="286"/>
    </row>
    <row r="1540">
      <c r="A1540" s="286"/>
      <c r="B1540" s="286"/>
      <c r="C1540" s="287"/>
      <c r="D1540" s="286"/>
      <c r="E1540" s="286"/>
    </row>
    <row r="1541">
      <c r="A1541" s="286"/>
      <c r="B1541" s="286"/>
      <c r="C1541" s="287"/>
      <c r="D1541" s="286"/>
      <c r="E1541" s="286"/>
    </row>
    <row r="1542">
      <c r="A1542" s="286"/>
      <c r="B1542" s="286"/>
      <c r="C1542" s="287"/>
      <c r="D1542" s="286"/>
      <c r="E1542" s="286"/>
    </row>
    <row r="1543">
      <c r="A1543" s="286"/>
      <c r="B1543" s="286"/>
      <c r="C1543" s="287"/>
      <c r="D1543" s="286"/>
      <c r="E1543" s="286"/>
    </row>
    <row r="1544">
      <c r="A1544" s="286"/>
      <c r="B1544" s="286"/>
      <c r="C1544" s="287"/>
      <c r="D1544" s="286"/>
      <c r="E1544" s="286"/>
    </row>
    <row r="1545">
      <c r="A1545" s="286"/>
      <c r="B1545" s="286"/>
      <c r="C1545" s="287"/>
      <c r="D1545" s="286"/>
      <c r="E1545" s="286"/>
    </row>
    <row r="1546">
      <c r="A1546" s="286"/>
      <c r="B1546" s="286"/>
      <c r="C1546" s="287"/>
      <c r="D1546" s="286"/>
      <c r="E1546" s="286"/>
    </row>
    <row r="1547">
      <c r="A1547" s="286"/>
      <c r="B1547" s="286"/>
      <c r="C1547" s="287"/>
      <c r="D1547" s="286"/>
      <c r="E1547" s="286"/>
    </row>
    <row r="1548">
      <c r="A1548" s="286"/>
      <c r="B1548" s="286"/>
      <c r="C1548" s="287"/>
      <c r="D1548" s="286"/>
      <c r="E1548" s="286"/>
    </row>
    <row r="1549">
      <c r="A1549" s="286"/>
      <c r="B1549" s="286"/>
      <c r="C1549" s="287"/>
      <c r="D1549" s="286"/>
      <c r="E1549" s="286"/>
    </row>
    <row r="1550">
      <c r="A1550" s="286"/>
      <c r="B1550" s="286"/>
      <c r="C1550" s="287"/>
      <c r="D1550" s="286"/>
      <c r="E1550" s="286"/>
    </row>
    <row r="1551">
      <c r="A1551" s="286"/>
      <c r="B1551" s="286"/>
      <c r="C1551" s="287"/>
      <c r="D1551" s="286"/>
      <c r="E1551" s="286"/>
    </row>
    <row r="1552">
      <c r="A1552" s="286"/>
      <c r="B1552" s="286"/>
      <c r="C1552" s="287"/>
      <c r="D1552" s="286"/>
      <c r="E1552" s="286"/>
    </row>
    <row r="1553">
      <c r="A1553" s="286"/>
      <c r="B1553" s="286"/>
      <c r="C1553" s="287"/>
      <c r="D1553" s="286"/>
      <c r="E1553" s="286"/>
    </row>
    <row r="1554">
      <c r="A1554" s="286"/>
      <c r="B1554" s="286"/>
      <c r="C1554" s="287"/>
      <c r="D1554" s="286"/>
      <c r="E1554" s="286"/>
    </row>
    <row r="1555">
      <c r="A1555" s="286"/>
      <c r="B1555" s="286"/>
      <c r="C1555" s="287"/>
      <c r="D1555" s="286"/>
      <c r="E1555" s="286"/>
    </row>
    <row r="1556">
      <c r="A1556" s="286"/>
      <c r="B1556" s="286"/>
      <c r="C1556" s="287"/>
      <c r="D1556" s="286"/>
      <c r="E1556" s="286"/>
    </row>
    <row r="1557">
      <c r="A1557" s="286"/>
      <c r="B1557" s="286"/>
      <c r="C1557" s="287"/>
      <c r="D1557" s="286"/>
      <c r="E1557" s="286"/>
    </row>
    <row r="1558">
      <c r="A1558" s="286"/>
      <c r="B1558" s="286"/>
      <c r="C1558" s="287"/>
      <c r="D1558" s="286"/>
      <c r="E1558" s="286"/>
    </row>
    <row r="1559">
      <c r="A1559" s="286"/>
      <c r="B1559" s="286"/>
      <c r="C1559" s="287"/>
      <c r="D1559" s="286"/>
      <c r="E1559" s="286"/>
    </row>
    <row r="1560">
      <c r="A1560" s="286"/>
      <c r="B1560" s="286"/>
      <c r="C1560" s="287"/>
      <c r="D1560" s="286"/>
      <c r="E1560" s="286"/>
    </row>
    <row r="1561">
      <c r="A1561" s="286"/>
      <c r="B1561" s="286"/>
      <c r="C1561" s="287"/>
      <c r="D1561" s="286"/>
      <c r="E1561" s="286"/>
    </row>
    <row r="1562">
      <c r="A1562" s="286"/>
      <c r="B1562" s="286"/>
      <c r="C1562" s="287"/>
      <c r="D1562" s="286"/>
      <c r="E1562" s="286"/>
    </row>
    <row r="1563">
      <c r="A1563" s="286"/>
      <c r="B1563" s="286"/>
      <c r="C1563" s="287"/>
      <c r="D1563" s="286"/>
      <c r="E1563" s="286"/>
    </row>
    <row r="1564">
      <c r="A1564" s="286"/>
      <c r="B1564" s="286"/>
      <c r="C1564" s="287"/>
      <c r="D1564" s="286"/>
      <c r="E1564" s="286"/>
    </row>
    <row r="1565">
      <c r="A1565" s="286"/>
      <c r="B1565" s="286"/>
      <c r="C1565" s="287"/>
      <c r="D1565" s="286"/>
      <c r="E1565" s="286"/>
    </row>
    <row r="1566">
      <c r="A1566" s="286"/>
      <c r="B1566" s="291"/>
      <c r="C1566" s="287"/>
      <c r="D1566" s="286"/>
      <c r="E1566" s="286"/>
    </row>
    <row r="1567">
      <c r="A1567" s="286"/>
      <c r="B1567" s="286"/>
      <c r="C1567" s="287"/>
      <c r="D1567" s="286"/>
      <c r="E1567" s="286"/>
    </row>
    <row r="1568">
      <c r="A1568" s="286"/>
      <c r="B1568" s="286"/>
      <c r="C1568" s="287"/>
      <c r="D1568" s="286"/>
      <c r="E1568" s="286"/>
    </row>
    <row r="1569">
      <c r="A1569" s="286"/>
      <c r="B1569" s="286"/>
      <c r="C1569" s="287"/>
      <c r="D1569" s="286"/>
      <c r="E1569" s="286"/>
    </row>
    <row r="1570">
      <c r="A1570" s="286"/>
      <c r="B1570" s="286"/>
      <c r="C1570" s="287"/>
      <c r="D1570" s="286"/>
      <c r="E1570" s="286"/>
    </row>
    <row r="1571">
      <c r="A1571" s="286"/>
      <c r="B1571" s="286"/>
      <c r="C1571" s="287"/>
      <c r="D1571" s="286"/>
      <c r="E1571" s="286"/>
    </row>
    <row r="1572">
      <c r="A1572" s="286"/>
      <c r="B1572" s="286"/>
      <c r="C1572" s="287"/>
      <c r="D1572" s="286"/>
      <c r="E1572" s="286"/>
    </row>
    <row r="1573">
      <c r="A1573" s="286"/>
      <c r="B1573" s="286"/>
      <c r="C1573" s="287"/>
      <c r="D1573" s="286"/>
      <c r="E1573" s="286"/>
    </row>
    <row r="1574">
      <c r="A1574" s="286"/>
      <c r="B1574" s="286"/>
      <c r="C1574" s="287"/>
      <c r="D1574" s="286"/>
      <c r="E1574" s="286"/>
    </row>
    <row r="1575">
      <c r="A1575" s="286"/>
      <c r="B1575" s="286"/>
      <c r="C1575" s="287"/>
      <c r="D1575" s="286"/>
      <c r="E1575" s="286"/>
    </row>
    <row r="1576">
      <c r="A1576" s="286"/>
      <c r="B1576" s="286"/>
      <c r="C1576" s="287"/>
      <c r="D1576" s="286"/>
      <c r="E1576" s="286"/>
    </row>
    <row r="1577">
      <c r="A1577" s="286"/>
      <c r="B1577" s="286"/>
      <c r="C1577" s="287"/>
      <c r="D1577" s="286"/>
      <c r="E1577" s="286"/>
    </row>
    <row r="1578">
      <c r="A1578" s="286"/>
      <c r="B1578" s="286"/>
      <c r="C1578" s="287"/>
      <c r="D1578" s="286"/>
      <c r="E1578" s="286"/>
    </row>
    <row r="1579">
      <c r="A1579" s="286"/>
      <c r="B1579" s="286"/>
      <c r="C1579" s="287"/>
      <c r="D1579" s="286"/>
      <c r="E1579" s="286"/>
    </row>
    <row r="1580">
      <c r="A1580" s="286"/>
      <c r="B1580" s="286"/>
      <c r="C1580" s="287"/>
      <c r="D1580" s="286"/>
      <c r="E1580" s="286"/>
    </row>
    <row r="1581">
      <c r="A1581" s="286"/>
      <c r="B1581" s="286"/>
      <c r="C1581" s="287"/>
      <c r="D1581" s="286"/>
      <c r="E1581" s="286"/>
    </row>
    <row r="1582">
      <c r="A1582" s="286"/>
      <c r="B1582" s="286"/>
      <c r="C1582" s="287"/>
      <c r="D1582" s="286"/>
      <c r="E1582" s="286"/>
    </row>
    <row r="1583">
      <c r="A1583" s="286"/>
      <c r="B1583" s="286"/>
      <c r="C1583" s="287"/>
      <c r="D1583" s="286"/>
      <c r="E1583" s="286"/>
    </row>
    <row r="1584">
      <c r="A1584" s="286"/>
      <c r="B1584" s="286"/>
      <c r="C1584" s="287"/>
      <c r="D1584" s="286"/>
      <c r="E1584" s="286"/>
    </row>
    <row r="1585">
      <c r="A1585" s="286"/>
      <c r="B1585" s="286"/>
      <c r="C1585" s="287"/>
      <c r="D1585" s="286"/>
      <c r="E1585" s="286"/>
    </row>
    <row r="1586">
      <c r="A1586" s="286"/>
      <c r="B1586" s="286"/>
      <c r="C1586" s="287"/>
      <c r="D1586" s="286"/>
      <c r="E1586" s="286"/>
    </row>
    <row r="1587">
      <c r="A1587" s="286"/>
      <c r="B1587" s="286"/>
      <c r="C1587" s="287"/>
      <c r="D1587" s="286"/>
      <c r="E1587" s="286"/>
    </row>
    <row r="1588">
      <c r="A1588" s="286"/>
      <c r="B1588" s="286"/>
      <c r="C1588" s="287"/>
      <c r="D1588" s="286"/>
      <c r="E1588" s="286"/>
    </row>
    <row r="1589">
      <c r="A1589" s="286"/>
      <c r="B1589" s="286"/>
      <c r="C1589" s="287"/>
      <c r="D1589" s="286"/>
      <c r="E1589" s="286"/>
    </row>
    <row r="1590">
      <c r="A1590" s="286"/>
      <c r="B1590" s="286"/>
      <c r="C1590" s="287"/>
      <c r="D1590" s="286"/>
      <c r="E1590" s="286"/>
    </row>
    <row r="1591">
      <c r="A1591" s="286"/>
      <c r="B1591" s="286"/>
      <c r="C1591" s="287"/>
      <c r="D1591" s="286"/>
      <c r="E1591" s="286"/>
    </row>
    <row r="1592">
      <c r="A1592" s="286"/>
      <c r="B1592" s="286"/>
      <c r="C1592" s="287"/>
      <c r="D1592" s="286"/>
      <c r="E1592" s="286"/>
    </row>
    <row r="1593">
      <c r="A1593" s="286"/>
      <c r="B1593" s="286"/>
      <c r="C1593" s="287"/>
      <c r="D1593" s="286"/>
      <c r="E1593" s="286"/>
    </row>
    <row r="1594">
      <c r="A1594" s="286"/>
      <c r="B1594" s="286"/>
      <c r="C1594" s="287"/>
      <c r="D1594" s="286"/>
      <c r="E1594" s="286"/>
    </row>
    <row r="1595">
      <c r="A1595" s="286"/>
      <c r="B1595" s="286"/>
      <c r="C1595" s="287"/>
      <c r="D1595" s="286"/>
      <c r="E1595" s="286"/>
    </row>
    <row r="1596">
      <c r="A1596" s="286"/>
      <c r="B1596" s="286"/>
      <c r="C1596" s="287"/>
      <c r="D1596" s="286"/>
      <c r="E1596" s="286"/>
    </row>
    <row r="1597">
      <c r="A1597" s="286"/>
      <c r="B1597" s="286"/>
      <c r="C1597" s="287"/>
      <c r="D1597" s="286"/>
      <c r="E1597" s="286"/>
    </row>
    <row r="1598">
      <c r="A1598" s="286"/>
      <c r="B1598" s="286"/>
      <c r="C1598" s="287"/>
      <c r="D1598" s="286"/>
      <c r="E1598" s="286"/>
    </row>
    <row r="1599">
      <c r="A1599" s="286"/>
      <c r="B1599" s="286"/>
      <c r="C1599" s="287"/>
      <c r="D1599" s="286"/>
      <c r="E1599" s="286"/>
    </row>
    <row r="1600">
      <c r="A1600" s="286"/>
      <c r="B1600" s="286"/>
      <c r="C1600" s="287"/>
      <c r="D1600" s="286"/>
      <c r="E1600" s="286"/>
    </row>
    <row r="1601">
      <c r="A1601" s="286"/>
      <c r="B1601" s="291"/>
      <c r="C1601" s="287"/>
      <c r="D1601" s="286"/>
      <c r="E1601" s="286"/>
    </row>
    <row r="1602">
      <c r="A1602" s="286"/>
      <c r="B1602" s="286"/>
      <c r="C1602" s="287"/>
      <c r="D1602" s="286"/>
      <c r="E1602" s="286"/>
    </row>
    <row r="1603">
      <c r="A1603" s="286"/>
      <c r="B1603" s="286"/>
      <c r="C1603" s="287"/>
      <c r="D1603" s="286"/>
      <c r="E1603" s="286"/>
    </row>
    <row r="1604">
      <c r="A1604" s="286"/>
      <c r="B1604" s="286"/>
      <c r="C1604" s="287"/>
      <c r="D1604" s="286"/>
      <c r="E1604" s="286"/>
    </row>
    <row r="1605">
      <c r="A1605" s="286"/>
      <c r="B1605" s="286"/>
      <c r="C1605" s="287"/>
      <c r="D1605" s="286"/>
      <c r="E1605" s="286"/>
    </row>
    <row r="1606">
      <c r="A1606" s="286"/>
      <c r="B1606" s="286"/>
      <c r="C1606" s="287"/>
      <c r="D1606" s="286"/>
      <c r="E1606" s="286"/>
    </row>
    <row r="1607">
      <c r="A1607" s="286"/>
      <c r="B1607" s="286"/>
      <c r="C1607" s="287"/>
      <c r="D1607" s="286"/>
      <c r="E1607" s="286"/>
    </row>
    <row r="1608">
      <c r="A1608" s="286"/>
      <c r="B1608" s="286"/>
      <c r="C1608" s="287"/>
      <c r="D1608" s="286"/>
      <c r="E1608" s="286"/>
    </row>
    <row r="1609">
      <c r="A1609" s="286"/>
      <c r="B1609" s="286"/>
      <c r="C1609" s="287"/>
      <c r="D1609" s="286"/>
      <c r="E1609" s="286"/>
    </row>
    <row r="1610">
      <c r="A1610" s="286"/>
      <c r="B1610" s="286"/>
      <c r="C1610" s="287"/>
      <c r="D1610" s="286"/>
      <c r="E1610" s="286"/>
    </row>
    <row r="1611">
      <c r="A1611" s="286"/>
      <c r="B1611" s="286"/>
      <c r="C1611" s="287"/>
      <c r="D1611" s="286"/>
      <c r="E1611" s="291"/>
    </row>
    <row r="1612">
      <c r="A1612" s="286"/>
      <c r="B1612" s="286"/>
      <c r="C1612" s="287"/>
      <c r="D1612" s="286"/>
      <c r="E1612" s="286"/>
    </row>
    <row r="1613">
      <c r="A1613" s="286"/>
      <c r="B1613" s="286"/>
      <c r="C1613" s="287"/>
      <c r="D1613" s="286"/>
      <c r="E1613" s="286"/>
    </row>
    <row r="1614">
      <c r="A1614" s="286"/>
      <c r="B1614" s="286"/>
      <c r="C1614" s="287"/>
      <c r="D1614" s="286"/>
      <c r="E1614" s="286"/>
    </row>
    <row r="1615">
      <c r="A1615" s="286"/>
      <c r="B1615" s="286"/>
      <c r="C1615" s="287"/>
      <c r="D1615" s="286"/>
      <c r="E1615" s="286"/>
    </row>
    <row r="1616">
      <c r="A1616" s="286"/>
      <c r="B1616" s="286"/>
      <c r="C1616" s="287"/>
      <c r="D1616" s="286"/>
      <c r="E1616" s="286"/>
    </row>
    <row r="1617">
      <c r="A1617" s="286"/>
      <c r="B1617" s="286"/>
      <c r="C1617" s="287"/>
      <c r="D1617" s="286"/>
      <c r="E1617" s="286"/>
    </row>
    <row r="1618">
      <c r="A1618" s="286"/>
      <c r="B1618" s="286"/>
      <c r="C1618" s="287"/>
      <c r="D1618" s="286"/>
      <c r="E1618" s="286"/>
    </row>
    <row r="1619">
      <c r="A1619" s="286"/>
      <c r="B1619" s="286"/>
      <c r="C1619" s="287"/>
      <c r="D1619" s="286"/>
      <c r="E1619" s="286"/>
    </row>
    <row r="1620">
      <c r="A1620" s="286"/>
      <c r="B1620" s="286"/>
      <c r="C1620" s="287"/>
      <c r="D1620" s="286"/>
      <c r="E1620" s="286"/>
    </row>
    <row r="1621">
      <c r="A1621" s="286"/>
      <c r="B1621" s="286"/>
      <c r="C1621" s="287"/>
      <c r="D1621" s="286"/>
      <c r="E1621" s="286"/>
    </row>
    <row r="1622">
      <c r="A1622" s="286"/>
      <c r="B1622" s="286"/>
      <c r="C1622" s="287"/>
      <c r="D1622" s="286"/>
      <c r="E1622" s="286"/>
    </row>
    <row r="1623">
      <c r="A1623" s="286"/>
      <c r="B1623" s="286"/>
      <c r="C1623" s="287"/>
      <c r="D1623" s="286"/>
      <c r="E1623" s="286"/>
    </row>
    <row r="1624">
      <c r="A1624" s="286"/>
      <c r="B1624" s="286"/>
      <c r="C1624" s="287"/>
      <c r="D1624" s="286"/>
      <c r="E1624" s="286"/>
    </row>
    <row r="1625">
      <c r="A1625" s="286"/>
      <c r="B1625" s="286"/>
      <c r="C1625" s="287"/>
      <c r="D1625" s="286"/>
      <c r="E1625" s="286"/>
    </row>
    <row r="1626">
      <c r="A1626" s="286"/>
      <c r="B1626" s="286"/>
      <c r="C1626" s="287"/>
      <c r="D1626" s="286"/>
      <c r="E1626" s="286"/>
    </row>
    <row r="1627">
      <c r="A1627" s="286"/>
      <c r="B1627" s="286"/>
      <c r="C1627" s="287"/>
      <c r="D1627" s="286"/>
      <c r="E1627" s="286"/>
    </row>
    <row r="1628">
      <c r="A1628" s="286"/>
      <c r="B1628" s="286"/>
      <c r="C1628" s="287"/>
      <c r="D1628" s="286"/>
      <c r="E1628" s="286"/>
    </row>
    <row r="1629">
      <c r="A1629" s="286"/>
      <c r="B1629" s="286"/>
      <c r="C1629" s="287"/>
      <c r="D1629" s="286"/>
      <c r="E1629" s="286"/>
    </row>
    <row r="1630">
      <c r="A1630" s="286"/>
      <c r="B1630" s="286"/>
      <c r="C1630" s="287"/>
      <c r="D1630" s="286"/>
      <c r="E1630" s="286"/>
    </row>
    <row r="1631">
      <c r="A1631" s="286"/>
      <c r="B1631" s="286"/>
      <c r="C1631" s="287"/>
      <c r="D1631" s="286"/>
      <c r="E1631" s="286"/>
    </row>
    <row r="1632">
      <c r="A1632" s="286"/>
      <c r="B1632" s="286"/>
      <c r="C1632" s="287"/>
      <c r="D1632" s="286"/>
      <c r="E1632" s="286"/>
    </row>
    <row r="1633">
      <c r="A1633" s="286"/>
      <c r="B1633" s="286"/>
      <c r="C1633" s="287"/>
      <c r="D1633" s="286"/>
      <c r="E1633" s="286"/>
    </row>
    <row r="1634">
      <c r="A1634" s="286"/>
      <c r="B1634" s="286"/>
      <c r="C1634" s="287"/>
      <c r="D1634" s="286"/>
      <c r="E1634" s="286"/>
    </row>
    <row r="1635">
      <c r="A1635" s="286"/>
      <c r="B1635" s="286"/>
      <c r="C1635" s="287"/>
      <c r="D1635" s="286"/>
      <c r="E1635" s="286"/>
    </row>
    <row r="1636">
      <c r="A1636" s="286"/>
      <c r="B1636" s="286"/>
      <c r="C1636" s="287"/>
      <c r="D1636" s="286"/>
      <c r="E1636" s="286"/>
    </row>
    <row r="1637">
      <c r="A1637" s="286"/>
      <c r="B1637" s="286"/>
      <c r="C1637" s="287"/>
      <c r="D1637" s="286"/>
      <c r="E1637" s="286"/>
    </row>
    <row r="1638">
      <c r="A1638" s="286"/>
      <c r="B1638" s="286"/>
      <c r="C1638" s="287"/>
      <c r="D1638" s="286"/>
      <c r="E1638" s="286"/>
    </row>
    <row r="1639">
      <c r="A1639" s="286"/>
      <c r="B1639" s="286"/>
      <c r="C1639" s="287"/>
      <c r="D1639" s="286"/>
      <c r="E1639" s="286"/>
    </row>
    <row r="1640">
      <c r="A1640" s="286"/>
      <c r="B1640" s="286"/>
      <c r="C1640" s="287"/>
      <c r="D1640" s="286"/>
      <c r="E1640" s="286"/>
    </row>
    <row r="1641">
      <c r="A1641" s="286"/>
      <c r="B1641" s="286"/>
      <c r="C1641" s="287"/>
      <c r="D1641" s="286"/>
      <c r="E1641" s="286"/>
    </row>
    <row r="1642">
      <c r="A1642" s="286"/>
      <c r="B1642" s="286"/>
      <c r="C1642" s="287"/>
      <c r="D1642" s="286"/>
      <c r="E1642" s="286"/>
    </row>
    <row r="1643">
      <c r="A1643" s="286"/>
      <c r="B1643" s="286"/>
      <c r="C1643" s="287"/>
      <c r="D1643" s="286"/>
      <c r="E1643" s="286"/>
    </row>
    <row r="1644">
      <c r="A1644" s="286"/>
      <c r="B1644" s="286"/>
      <c r="C1644" s="287"/>
      <c r="D1644" s="286"/>
      <c r="E1644" s="286"/>
    </row>
    <row r="1645">
      <c r="A1645" s="286"/>
      <c r="B1645" s="286"/>
      <c r="C1645" s="287"/>
      <c r="D1645" s="286"/>
      <c r="E1645" s="286"/>
    </row>
    <row r="1646">
      <c r="A1646" s="286"/>
      <c r="B1646" s="286"/>
      <c r="C1646" s="287"/>
      <c r="D1646" s="286"/>
      <c r="E1646" s="286"/>
    </row>
    <row r="1647">
      <c r="A1647" s="286"/>
      <c r="B1647" s="286"/>
      <c r="C1647" s="287"/>
      <c r="D1647" s="286"/>
      <c r="E1647" s="286"/>
    </row>
    <row r="1648">
      <c r="A1648" s="286"/>
      <c r="B1648" s="286"/>
      <c r="C1648" s="287"/>
      <c r="D1648" s="286"/>
      <c r="E1648" s="286"/>
    </row>
    <row r="1649">
      <c r="A1649" s="286"/>
      <c r="B1649" s="286"/>
      <c r="C1649" s="287"/>
      <c r="D1649" s="286"/>
      <c r="E1649" s="286"/>
    </row>
    <row r="1650">
      <c r="A1650" s="286"/>
      <c r="B1650" s="286"/>
      <c r="C1650" s="287"/>
      <c r="D1650" s="286"/>
      <c r="E1650" s="286"/>
    </row>
    <row r="1651">
      <c r="A1651" s="286"/>
      <c r="B1651" s="286"/>
      <c r="C1651" s="287"/>
      <c r="D1651" s="286"/>
      <c r="E1651" s="286"/>
    </row>
    <row r="1652">
      <c r="A1652" s="286"/>
      <c r="B1652" s="286"/>
      <c r="C1652" s="287"/>
      <c r="D1652" s="286"/>
      <c r="E1652" s="286"/>
    </row>
    <row r="1653">
      <c r="A1653" s="286"/>
      <c r="B1653" s="286"/>
      <c r="C1653" s="287"/>
      <c r="D1653" s="286"/>
      <c r="E1653" s="286"/>
    </row>
    <row r="1654">
      <c r="A1654" s="286"/>
      <c r="B1654" s="286"/>
      <c r="C1654" s="287"/>
      <c r="D1654" s="286"/>
      <c r="E1654" s="286"/>
    </row>
    <row r="1655">
      <c r="A1655" s="286"/>
      <c r="B1655" s="286"/>
      <c r="C1655" s="287"/>
      <c r="D1655" s="286"/>
      <c r="E1655" s="286"/>
    </row>
    <row r="1656">
      <c r="A1656" s="286"/>
      <c r="B1656" s="286"/>
      <c r="C1656" s="287"/>
      <c r="D1656" s="286"/>
      <c r="E1656" s="286"/>
    </row>
    <row r="1657">
      <c r="A1657" s="286"/>
      <c r="B1657" s="286"/>
      <c r="C1657" s="287"/>
      <c r="D1657" s="286"/>
      <c r="E1657" s="286"/>
    </row>
    <row r="1658">
      <c r="A1658" s="286"/>
      <c r="B1658" s="286"/>
      <c r="C1658" s="287"/>
      <c r="D1658" s="286"/>
      <c r="E1658" s="286"/>
    </row>
    <row r="1659">
      <c r="A1659" s="286"/>
      <c r="B1659" s="286"/>
      <c r="C1659" s="287"/>
      <c r="D1659" s="286"/>
      <c r="E1659" s="286"/>
    </row>
    <row r="1660">
      <c r="A1660" s="286"/>
      <c r="B1660" s="286"/>
      <c r="C1660" s="287"/>
      <c r="D1660" s="286"/>
      <c r="E1660" s="286"/>
    </row>
    <row r="1661">
      <c r="A1661" s="286"/>
      <c r="B1661" s="286"/>
      <c r="C1661" s="287"/>
      <c r="D1661" s="286"/>
      <c r="E1661" s="286"/>
    </row>
    <row r="1662">
      <c r="A1662" s="286"/>
      <c r="B1662" s="286"/>
      <c r="C1662" s="287"/>
      <c r="D1662" s="286"/>
      <c r="E1662" s="286"/>
    </row>
    <row r="1663">
      <c r="A1663" s="286"/>
      <c r="B1663" s="286"/>
      <c r="C1663" s="287"/>
      <c r="D1663" s="286"/>
      <c r="E1663" s="286"/>
    </row>
    <row r="1664">
      <c r="A1664" s="286"/>
      <c r="B1664" s="286"/>
      <c r="C1664" s="287"/>
      <c r="D1664" s="286"/>
      <c r="E1664" s="286"/>
    </row>
    <row r="1665">
      <c r="A1665" s="286"/>
      <c r="B1665" s="286"/>
      <c r="C1665" s="287"/>
      <c r="D1665" s="286"/>
      <c r="E1665" s="286"/>
    </row>
    <row r="1666">
      <c r="A1666" s="286"/>
      <c r="B1666" s="286"/>
      <c r="C1666" s="287"/>
      <c r="D1666" s="286"/>
      <c r="E1666" s="286"/>
    </row>
    <row r="1667">
      <c r="A1667" s="286"/>
      <c r="B1667" s="286"/>
      <c r="C1667" s="287"/>
      <c r="D1667" s="286"/>
      <c r="E1667" s="286"/>
    </row>
    <row r="1668">
      <c r="A1668" s="286"/>
      <c r="B1668" s="286"/>
      <c r="C1668" s="287"/>
      <c r="D1668" s="286"/>
      <c r="E1668" s="286"/>
    </row>
    <row r="1669">
      <c r="A1669" s="286"/>
      <c r="B1669" s="286"/>
      <c r="C1669" s="287"/>
      <c r="D1669" s="286"/>
      <c r="E1669" s="286"/>
    </row>
    <row r="1670">
      <c r="A1670" s="286"/>
      <c r="B1670" s="286"/>
      <c r="C1670" s="287"/>
      <c r="D1670" s="286"/>
      <c r="E1670" s="286"/>
    </row>
    <row r="1671">
      <c r="A1671" s="286"/>
      <c r="B1671" s="286"/>
      <c r="C1671" s="287"/>
      <c r="D1671" s="286"/>
      <c r="E1671" s="286"/>
    </row>
    <row r="1672">
      <c r="A1672" s="286"/>
      <c r="B1672" s="286"/>
      <c r="C1672" s="287"/>
      <c r="D1672" s="286"/>
      <c r="E1672" s="286"/>
    </row>
    <row r="1673">
      <c r="A1673" s="286"/>
      <c r="B1673" s="286"/>
      <c r="C1673" s="287"/>
      <c r="D1673" s="286"/>
      <c r="E1673" s="286"/>
    </row>
    <row r="1674">
      <c r="A1674" s="286"/>
      <c r="B1674" s="286"/>
      <c r="C1674" s="287"/>
      <c r="D1674" s="286"/>
      <c r="E1674" s="286"/>
    </row>
    <row r="1675">
      <c r="A1675" s="286"/>
      <c r="B1675" s="286"/>
      <c r="C1675" s="287"/>
      <c r="D1675" s="286"/>
      <c r="E1675" s="286"/>
    </row>
    <row r="1676">
      <c r="A1676" s="286"/>
      <c r="B1676" s="286"/>
      <c r="C1676" s="287"/>
      <c r="D1676" s="286"/>
      <c r="E1676" s="286"/>
    </row>
    <row r="1677">
      <c r="A1677" s="286"/>
      <c r="B1677" s="286"/>
      <c r="C1677" s="287"/>
      <c r="D1677" s="286"/>
      <c r="E1677" s="286"/>
    </row>
    <row r="1678">
      <c r="A1678" s="286"/>
      <c r="B1678" s="286"/>
      <c r="C1678" s="287"/>
      <c r="D1678" s="286"/>
      <c r="E1678" s="286"/>
    </row>
    <row r="1679">
      <c r="A1679" s="286"/>
      <c r="B1679" s="286"/>
      <c r="C1679" s="287"/>
      <c r="D1679" s="286"/>
      <c r="E1679" s="286"/>
    </row>
    <row r="1680">
      <c r="A1680" s="286"/>
      <c r="B1680" s="286"/>
      <c r="C1680" s="287"/>
      <c r="D1680" s="286"/>
      <c r="E1680" s="286"/>
    </row>
    <row r="1681">
      <c r="A1681" s="286"/>
      <c r="B1681" s="286"/>
      <c r="C1681" s="287"/>
      <c r="D1681" s="286"/>
      <c r="E1681" s="286"/>
    </row>
    <row r="1682">
      <c r="A1682" s="286"/>
      <c r="B1682" s="286"/>
      <c r="C1682" s="287"/>
      <c r="D1682" s="286"/>
      <c r="E1682" s="286"/>
    </row>
    <row r="1683">
      <c r="A1683" s="286"/>
      <c r="B1683" s="286"/>
      <c r="C1683" s="287"/>
      <c r="D1683" s="286"/>
      <c r="E1683" s="286"/>
    </row>
    <row r="1684">
      <c r="A1684" s="286"/>
      <c r="B1684" s="286"/>
      <c r="C1684" s="287"/>
      <c r="D1684" s="286"/>
      <c r="E1684" s="286"/>
    </row>
    <row r="1685">
      <c r="A1685" s="286"/>
      <c r="B1685" s="286"/>
      <c r="C1685" s="287"/>
      <c r="D1685" s="286"/>
      <c r="E1685" s="286"/>
    </row>
    <row r="1686">
      <c r="A1686" s="286"/>
      <c r="B1686" s="286"/>
      <c r="C1686" s="287"/>
      <c r="D1686" s="286"/>
      <c r="E1686" s="286"/>
    </row>
    <row r="1687">
      <c r="A1687" s="286"/>
      <c r="B1687" s="286"/>
      <c r="C1687" s="287"/>
      <c r="D1687" s="286"/>
      <c r="E1687" s="286"/>
    </row>
    <row r="1688">
      <c r="A1688" s="286"/>
      <c r="B1688" s="286"/>
      <c r="C1688" s="287"/>
      <c r="D1688" s="286"/>
      <c r="E1688" s="286"/>
    </row>
    <row r="1689">
      <c r="A1689" s="286"/>
      <c r="B1689" s="286"/>
      <c r="C1689" s="287"/>
      <c r="D1689" s="286"/>
      <c r="E1689" s="286"/>
    </row>
    <row r="1690">
      <c r="A1690" s="286"/>
      <c r="B1690" s="286"/>
      <c r="C1690" s="287"/>
      <c r="D1690" s="286"/>
      <c r="E1690" s="286"/>
    </row>
    <row r="1691">
      <c r="A1691" s="286"/>
      <c r="B1691" s="286"/>
      <c r="C1691" s="287"/>
      <c r="D1691" s="286"/>
      <c r="E1691" s="286"/>
    </row>
    <row r="1692">
      <c r="A1692" s="286"/>
      <c r="B1692" s="286"/>
      <c r="C1692" s="287"/>
      <c r="D1692" s="286"/>
      <c r="E1692" s="286"/>
    </row>
    <row r="1693">
      <c r="A1693" s="286"/>
      <c r="B1693" s="286"/>
      <c r="C1693" s="287"/>
      <c r="D1693" s="286"/>
      <c r="E1693" s="286"/>
    </row>
    <row r="1694">
      <c r="A1694" s="286"/>
      <c r="B1694" s="286"/>
      <c r="C1694" s="287"/>
      <c r="D1694" s="286"/>
      <c r="E1694" s="286"/>
    </row>
    <row r="1695">
      <c r="A1695" s="286"/>
      <c r="B1695" s="286"/>
      <c r="C1695" s="287"/>
      <c r="D1695" s="286"/>
      <c r="E1695" s="286"/>
    </row>
    <row r="1696">
      <c r="A1696" s="286"/>
      <c r="B1696" s="286"/>
      <c r="C1696" s="287"/>
      <c r="D1696" s="286"/>
      <c r="E1696" s="286"/>
    </row>
    <row r="1697">
      <c r="A1697" s="286"/>
      <c r="B1697" s="286"/>
      <c r="C1697" s="287"/>
      <c r="D1697" s="286"/>
      <c r="E1697" s="286"/>
    </row>
    <row r="1698">
      <c r="A1698" s="286"/>
      <c r="B1698" s="286"/>
      <c r="C1698" s="287"/>
      <c r="D1698" s="286"/>
      <c r="E1698" s="286"/>
    </row>
    <row r="1699">
      <c r="A1699" s="286"/>
      <c r="B1699" s="286"/>
      <c r="C1699" s="287"/>
      <c r="D1699" s="286"/>
      <c r="E1699" s="286"/>
    </row>
    <row r="1700">
      <c r="A1700" s="286"/>
      <c r="B1700" s="286"/>
      <c r="C1700" s="287"/>
      <c r="D1700" s="286"/>
      <c r="E1700" s="286"/>
    </row>
    <row r="1701">
      <c r="A1701" s="286"/>
      <c r="B1701" s="286"/>
      <c r="C1701" s="287"/>
      <c r="D1701" s="286"/>
      <c r="E1701" s="286"/>
    </row>
    <row r="1702">
      <c r="A1702" s="286"/>
      <c r="B1702" s="286"/>
      <c r="C1702" s="287"/>
      <c r="D1702" s="286"/>
      <c r="E1702" s="286"/>
    </row>
    <row r="1703">
      <c r="A1703" s="286"/>
      <c r="B1703" s="286"/>
      <c r="C1703" s="287"/>
      <c r="D1703" s="286"/>
      <c r="E1703" s="286"/>
    </row>
    <row r="1704">
      <c r="A1704" s="286"/>
      <c r="B1704" s="286"/>
      <c r="C1704" s="287"/>
      <c r="D1704" s="286"/>
      <c r="E1704" s="286"/>
    </row>
    <row r="1705">
      <c r="A1705" s="286"/>
      <c r="B1705" s="286"/>
      <c r="C1705" s="287"/>
      <c r="D1705" s="286"/>
      <c r="E1705" s="286"/>
    </row>
    <row r="1706">
      <c r="A1706" s="286"/>
      <c r="B1706" s="286"/>
      <c r="C1706" s="287"/>
      <c r="D1706" s="286"/>
      <c r="E1706" s="286"/>
    </row>
    <row r="1707">
      <c r="A1707" s="286"/>
      <c r="B1707" s="286"/>
      <c r="C1707" s="287"/>
      <c r="D1707" s="286"/>
      <c r="E1707" s="286"/>
    </row>
    <row r="1708">
      <c r="A1708" s="286"/>
      <c r="B1708" s="286"/>
      <c r="C1708" s="287"/>
      <c r="D1708" s="286"/>
      <c r="E1708" s="286"/>
    </row>
    <row r="1709">
      <c r="A1709" s="286"/>
      <c r="B1709" s="286"/>
      <c r="C1709" s="287"/>
      <c r="D1709" s="286"/>
      <c r="E1709" s="286"/>
    </row>
    <row r="1710">
      <c r="A1710" s="286"/>
      <c r="B1710" s="286"/>
      <c r="C1710" s="287"/>
      <c r="D1710" s="286"/>
      <c r="E1710" s="286"/>
    </row>
    <row r="1711">
      <c r="A1711" s="286"/>
      <c r="B1711" s="286"/>
      <c r="C1711" s="287"/>
      <c r="D1711" s="286"/>
      <c r="E1711" s="286"/>
    </row>
    <row r="1712">
      <c r="A1712" s="286"/>
      <c r="B1712" s="286"/>
      <c r="C1712" s="287"/>
      <c r="D1712" s="286"/>
      <c r="E1712" s="286"/>
    </row>
    <row r="1713">
      <c r="A1713" s="286"/>
      <c r="B1713" s="286"/>
      <c r="C1713" s="287"/>
      <c r="D1713" s="286"/>
      <c r="E1713" s="286"/>
    </row>
    <row r="1714">
      <c r="A1714" s="286"/>
      <c r="B1714" s="286"/>
      <c r="C1714" s="287"/>
      <c r="D1714" s="286"/>
      <c r="E1714" s="286"/>
    </row>
    <row r="1715">
      <c r="A1715" s="286"/>
      <c r="B1715" s="286"/>
      <c r="C1715" s="287"/>
      <c r="D1715" s="286"/>
      <c r="E1715" s="286"/>
    </row>
    <row r="1716">
      <c r="A1716" s="286"/>
      <c r="B1716" s="286"/>
      <c r="C1716" s="287"/>
      <c r="D1716" s="286"/>
      <c r="E1716" s="286"/>
    </row>
    <row r="1717">
      <c r="A1717" s="286"/>
      <c r="B1717" s="286"/>
      <c r="C1717" s="287"/>
      <c r="D1717" s="286"/>
      <c r="E1717" s="286"/>
    </row>
    <row r="1718">
      <c r="A1718" s="286"/>
      <c r="B1718" s="286"/>
      <c r="C1718" s="287"/>
      <c r="D1718" s="286"/>
      <c r="E1718" s="286"/>
    </row>
    <row r="1719">
      <c r="A1719" s="286"/>
      <c r="B1719" s="286"/>
      <c r="C1719" s="287"/>
      <c r="D1719" s="286"/>
      <c r="E1719" s="286"/>
    </row>
    <row r="1720">
      <c r="A1720" s="286"/>
      <c r="B1720" s="286"/>
      <c r="C1720" s="287"/>
      <c r="D1720" s="286"/>
      <c r="E1720" s="286"/>
    </row>
    <row r="1721">
      <c r="A1721" s="286"/>
      <c r="B1721" s="286"/>
      <c r="C1721" s="287"/>
      <c r="D1721" s="286"/>
      <c r="E1721" s="286"/>
    </row>
    <row r="1722">
      <c r="A1722" s="286"/>
      <c r="B1722" s="286"/>
      <c r="C1722" s="287"/>
      <c r="D1722" s="286"/>
      <c r="E1722" s="286"/>
    </row>
    <row r="1723">
      <c r="A1723" s="286"/>
      <c r="B1723" s="286"/>
      <c r="C1723" s="287"/>
      <c r="D1723" s="286"/>
      <c r="E1723" s="286"/>
    </row>
    <row r="1724">
      <c r="A1724" s="286"/>
      <c r="B1724" s="286"/>
      <c r="C1724" s="287"/>
      <c r="D1724" s="286"/>
      <c r="E1724" s="286"/>
    </row>
    <row r="1725">
      <c r="A1725" s="286"/>
      <c r="B1725" s="286"/>
      <c r="C1725" s="287"/>
      <c r="D1725" s="286"/>
      <c r="E1725" s="286"/>
    </row>
    <row r="1726">
      <c r="A1726" s="286"/>
      <c r="B1726" s="286"/>
      <c r="C1726" s="287"/>
      <c r="D1726" s="286"/>
      <c r="E1726" s="286"/>
    </row>
    <row r="1727">
      <c r="A1727" s="286"/>
      <c r="B1727" s="286"/>
      <c r="C1727" s="287"/>
      <c r="D1727" s="286"/>
      <c r="E1727" s="286"/>
    </row>
    <row r="1728">
      <c r="A1728" s="286"/>
      <c r="B1728" s="286"/>
      <c r="C1728" s="287"/>
      <c r="D1728" s="286"/>
      <c r="E1728" s="286"/>
    </row>
    <row r="1729">
      <c r="A1729" s="286"/>
      <c r="B1729" s="286"/>
      <c r="C1729" s="287"/>
      <c r="D1729" s="286"/>
      <c r="E1729" s="286"/>
    </row>
    <row r="1730">
      <c r="A1730" s="286"/>
      <c r="B1730" s="286"/>
      <c r="C1730" s="287"/>
      <c r="D1730" s="286"/>
      <c r="E1730" s="286"/>
    </row>
    <row r="1731">
      <c r="A1731" s="286"/>
      <c r="B1731" s="286"/>
      <c r="C1731" s="287"/>
      <c r="D1731" s="286"/>
      <c r="E1731" s="286"/>
    </row>
    <row r="1732">
      <c r="A1732" s="286"/>
      <c r="B1732" s="286"/>
      <c r="C1732" s="287"/>
      <c r="D1732" s="286"/>
      <c r="E1732" s="286"/>
    </row>
    <row r="1733">
      <c r="A1733" s="286"/>
      <c r="B1733" s="286"/>
      <c r="C1733" s="287"/>
      <c r="D1733" s="286"/>
      <c r="E1733" s="286"/>
    </row>
    <row r="1734">
      <c r="A1734" s="286"/>
      <c r="B1734" s="286"/>
      <c r="C1734" s="287"/>
      <c r="D1734" s="286"/>
      <c r="E1734" s="286"/>
    </row>
    <row r="1735">
      <c r="A1735" s="286"/>
      <c r="B1735" s="286"/>
      <c r="C1735" s="287"/>
      <c r="D1735" s="286"/>
      <c r="E1735" s="286"/>
    </row>
    <row r="1736">
      <c r="A1736" s="286"/>
      <c r="B1736" s="286"/>
      <c r="C1736" s="287"/>
      <c r="D1736" s="286"/>
      <c r="E1736" s="286"/>
    </row>
    <row r="1737">
      <c r="A1737" s="286"/>
      <c r="B1737" s="286"/>
      <c r="C1737" s="287"/>
      <c r="D1737" s="286"/>
      <c r="E1737" s="286"/>
    </row>
    <row r="1738">
      <c r="A1738" s="286"/>
      <c r="B1738" s="286"/>
      <c r="C1738" s="287"/>
      <c r="D1738" s="286"/>
      <c r="E1738" s="286"/>
    </row>
    <row r="1739">
      <c r="A1739" s="286"/>
      <c r="B1739" s="286"/>
      <c r="C1739" s="287"/>
      <c r="D1739" s="286"/>
      <c r="E1739" s="286"/>
    </row>
    <row r="1740">
      <c r="A1740" s="286"/>
      <c r="B1740" s="286"/>
      <c r="C1740" s="287"/>
      <c r="D1740" s="286"/>
      <c r="E1740" s="286"/>
    </row>
    <row r="1741">
      <c r="A1741" s="286"/>
      <c r="B1741" s="286"/>
      <c r="C1741" s="287"/>
      <c r="D1741" s="286"/>
      <c r="E1741" s="286"/>
    </row>
    <row r="1742">
      <c r="A1742" s="286"/>
      <c r="B1742" s="286"/>
      <c r="C1742" s="287"/>
      <c r="D1742" s="286"/>
      <c r="E1742" s="286"/>
    </row>
    <row r="1743">
      <c r="A1743" s="286"/>
      <c r="B1743" s="286"/>
      <c r="C1743" s="287"/>
      <c r="D1743" s="286"/>
      <c r="E1743" s="286"/>
    </row>
    <row r="1744">
      <c r="A1744" s="286"/>
      <c r="B1744" s="286"/>
      <c r="C1744" s="287"/>
      <c r="D1744" s="286"/>
      <c r="E1744" s="286"/>
    </row>
    <row r="1745">
      <c r="A1745" s="286"/>
      <c r="B1745" s="286"/>
      <c r="C1745" s="287"/>
      <c r="D1745" s="286"/>
      <c r="E1745" s="286"/>
    </row>
    <row r="1746">
      <c r="A1746" s="286"/>
      <c r="B1746" s="286"/>
      <c r="C1746" s="287"/>
      <c r="D1746" s="286"/>
      <c r="E1746" s="286"/>
    </row>
    <row r="1747">
      <c r="A1747" s="286"/>
      <c r="B1747" s="286"/>
      <c r="C1747" s="287"/>
      <c r="D1747" s="286"/>
      <c r="E1747" s="286"/>
    </row>
    <row r="1748">
      <c r="A1748" s="286"/>
      <c r="B1748" s="286"/>
      <c r="C1748" s="287"/>
      <c r="D1748" s="286"/>
      <c r="E1748" s="286"/>
    </row>
    <row r="1749">
      <c r="A1749" s="286"/>
      <c r="B1749" s="286"/>
      <c r="C1749" s="287"/>
      <c r="D1749" s="286"/>
      <c r="E1749" s="286"/>
    </row>
    <row r="1750">
      <c r="A1750" s="286"/>
      <c r="B1750" s="286"/>
      <c r="C1750" s="287"/>
      <c r="D1750" s="286"/>
      <c r="E1750" s="286"/>
    </row>
    <row r="1751">
      <c r="A1751" s="286"/>
      <c r="B1751" s="286"/>
      <c r="C1751" s="287"/>
      <c r="D1751" s="286"/>
      <c r="E1751" s="286"/>
    </row>
    <row r="1752">
      <c r="A1752" s="286"/>
      <c r="B1752" s="286"/>
      <c r="C1752" s="287"/>
      <c r="D1752" s="286"/>
      <c r="E1752" s="286"/>
    </row>
    <row r="1753">
      <c r="A1753" s="286"/>
      <c r="B1753" s="286"/>
      <c r="C1753" s="287"/>
      <c r="D1753" s="286"/>
      <c r="E1753" s="286"/>
    </row>
    <row r="1754">
      <c r="A1754" s="286"/>
      <c r="B1754" s="286"/>
      <c r="C1754" s="287"/>
      <c r="D1754" s="286"/>
      <c r="E1754" s="286"/>
    </row>
    <row r="1755">
      <c r="A1755" s="286"/>
      <c r="B1755" s="286"/>
      <c r="C1755" s="287"/>
      <c r="D1755" s="286"/>
      <c r="E1755" s="286"/>
    </row>
    <row r="1756">
      <c r="A1756" s="286"/>
      <c r="B1756" s="286"/>
      <c r="C1756" s="287"/>
      <c r="D1756" s="286"/>
      <c r="E1756" s="286"/>
    </row>
    <row r="1757">
      <c r="A1757" s="286"/>
      <c r="B1757" s="286"/>
      <c r="C1757" s="287"/>
      <c r="D1757" s="286"/>
      <c r="E1757" s="286"/>
    </row>
    <row r="1758">
      <c r="A1758" s="286"/>
      <c r="B1758" s="286"/>
      <c r="C1758" s="287"/>
      <c r="D1758" s="286"/>
      <c r="E1758" s="286"/>
    </row>
    <row r="1759">
      <c r="A1759" s="286"/>
      <c r="B1759" s="286"/>
      <c r="C1759" s="287"/>
      <c r="D1759" s="286"/>
      <c r="E1759" s="286"/>
    </row>
    <row r="1760">
      <c r="A1760" s="286"/>
      <c r="B1760" s="286"/>
      <c r="C1760" s="287"/>
      <c r="D1760" s="286"/>
      <c r="E1760" s="286"/>
    </row>
    <row r="1761">
      <c r="A1761" s="286"/>
      <c r="B1761" s="286"/>
      <c r="C1761" s="287"/>
      <c r="D1761" s="286"/>
      <c r="E1761" s="286"/>
    </row>
    <row r="1762">
      <c r="A1762" s="286"/>
      <c r="B1762" s="286"/>
      <c r="C1762" s="287"/>
      <c r="D1762" s="286"/>
      <c r="E1762" s="286"/>
    </row>
    <row r="1763">
      <c r="A1763" s="286"/>
      <c r="B1763" s="286"/>
      <c r="C1763" s="287"/>
      <c r="D1763" s="286"/>
      <c r="E1763" s="286"/>
    </row>
    <row r="1764">
      <c r="A1764" s="286"/>
      <c r="B1764" s="286"/>
      <c r="C1764" s="287"/>
      <c r="D1764" s="286"/>
      <c r="E1764" s="286"/>
    </row>
    <row r="1765">
      <c r="A1765" s="286"/>
      <c r="B1765" s="286"/>
      <c r="C1765" s="287"/>
      <c r="D1765" s="286"/>
      <c r="E1765" s="286"/>
    </row>
    <row r="1766">
      <c r="A1766" s="286"/>
      <c r="B1766" s="286"/>
      <c r="C1766" s="287"/>
      <c r="D1766" s="286"/>
      <c r="E1766" s="286"/>
    </row>
    <row r="1767">
      <c r="A1767" s="286"/>
      <c r="B1767" s="286"/>
      <c r="C1767" s="287"/>
      <c r="D1767" s="286"/>
      <c r="E1767" s="286"/>
    </row>
    <row r="1768">
      <c r="A1768" s="286"/>
      <c r="B1768" s="286"/>
      <c r="C1768" s="287"/>
      <c r="D1768" s="286"/>
      <c r="E1768" s="286"/>
    </row>
    <row r="1769">
      <c r="A1769" s="286"/>
      <c r="B1769" s="286"/>
      <c r="C1769" s="287"/>
      <c r="D1769" s="286"/>
      <c r="E1769" s="286"/>
    </row>
    <row r="1770">
      <c r="A1770" s="286"/>
      <c r="B1770" s="286"/>
      <c r="C1770" s="287"/>
      <c r="D1770" s="286"/>
      <c r="E1770" s="286"/>
    </row>
    <row r="1771">
      <c r="A1771" s="286"/>
      <c r="B1771" s="286"/>
      <c r="C1771" s="287"/>
      <c r="D1771" s="286"/>
      <c r="E1771" s="286"/>
    </row>
    <row r="1772">
      <c r="A1772" s="286"/>
      <c r="B1772" s="286"/>
      <c r="C1772" s="287"/>
      <c r="D1772" s="286"/>
      <c r="E1772" s="286"/>
    </row>
    <row r="1773">
      <c r="A1773" s="286"/>
      <c r="B1773" s="286"/>
      <c r="C1773" s="287"/>
      <c r="D1773" s="286"/>
      <c r="E1773" s="286"/>
    </row>
    <row r="1774">
      <c r="A1774" s="286"/>
      <c r="B1774" s="286"/>
      <c r="C1774" s="287"/>
      <c r="D1774" s="286"/>
      <c r="E1774" s="286"/>
    </row>
    <row r="1775">
      <c r="A1775" s="286"/>
      <c r="B1775" s="286"/>
      <c r="C1775" s="287"/>
      <c r="D1775" s="286"/>
      <c r="E1775" s="286"/>
    </row>
    <row r="1776">
      <c r="A1776" s="286"/>
      <c r="B1776" s="286"/>
      <c r="C1776" s="287"/>
      <c r="D1776" s="286"/>
      <c r="E1776" s="286"/>
    </row>
    <row r="1777">
      <c r="A1777" s="286"/>
      <c r="B1777" s="286"/>
      <c r="C1777" s="287"/>
      <c r="D1777" s="286"/>
      <c r="E1777" s="286"/>
    </row>
    <row r="1778">
      <c r="A1778" s="286"/>
      <c r="B1778" s="286"/>
      <c r="C1778" s="287"/>
      <c r="D1778" s="286"/>
      <c r="E1778" s="286"/>
    </row>
    <row r="1779">
      <c r="A1779" s="286"/>
      <c r="B1779" s="286"/>
      <c r="C1779" s="287"/>
      <c r="D1779" s="286"/>
      <c r="E1779" s="286"/>
    </row>
    <row r="1780">
      <c r="A1780" s="286"/>
      <c r="B1780" s="286"/>
      <c r="C1780" s="287"/>
      <c r="D1780" s="286"/>
      <c r="E1780" s="286"/>
    </row>
    <row r="1781">
      <c r="A1781" s="286"/>
      <c r="B1781" s="286"/>
      <c r="C1781" s="287"/>
      <c r="D1781" s="286"/>
      <c r="E1781" s="286"/>
    </row>
    <row r="1782">
      <c r="A1782" s="286"/>
      <c r="B1782" s="286"/>
      <c r="C1782" s="287"/>
      <c r="D1782" s="286"/>
      <c r="E1782" s="286"/>
    </row>
    <row r="1783">
      <c r="A1783" s="286"/>
      <c r="B1783" s="286"/>
      <c r="C1783" s="287"/>
      <c r="D1783" s="286"/>
      <c r="E1783" s="286"/>
    </row>
    <row r="1784">
      <c r="A1784" s="286"/>
      <c r="B1784" s="286"/>
      <c r="C1784" s="287"/>
      <c r="D1784" s="286"/>
      <c r="E1784" s="286"/>
    </row>
    <row r="1785">
      <c r="A1785" s="286"/>
      <c r="B1785" s="286"/>
      <c r="C1785" s="287"/>
      <c r="D1785" s="286"/>
      <c r="E1785" s="286"/>
    </row>
    <row r="1786">
      <c r="A1786" s="286"/>
      <c r="B1786" s="286"/>
      <c r="C1786" s="287"/>
      <c r="D1786" s="286"/>
      <c r="E1786" s="286"/>
    </row>
    <row r="1787">
      <c r="A1787" s="286"/>
      <c r="B1787" s="286"/>
      <c r="C1787" s="287"/>
      <c r="D1787" s="286"/>
      <c r="E1787" s="286"/>
    </row>
    <row r="1788">
      <c r="A1788" s="286"/>
      <c r="B1788" s="286"/>
      <c r="C1788" s="287"/>
      <c r="D1788" s="286"/>
      <c r="E1788" s="286"/>
    </row>
    <row r="1789">
      <c r="A1789" s="286"/>
      <c r="B1789" s="286"/>
      <c r="C1789" s="287"/>
      <c r="D1789" s="286"/>
      <c r="E1789" s="286"/>
    </row>
    <row r="1790">
      <c r="A1790" s="286"/>
      <c r="B1790" s="286"/>
      <c r="C1790" s="287"/>
      <c r="D1790" s="286"/>
      <c r="E1790" s="286"/>
    </row>
    <row r="1791">
      <c r="A1791" s="286"/>
      <c r="B1791" s="286"/>
      <c r="C1791" s="287"/>
      <c r="D1791" s="286"/>
      <c r="E1791" s="286"/>
    </row>
    <row r="1792">
      <c r="A1792" s="286"/>
      <c r="B1792" s="286"/>
      <c r="C1792" s="287"/>
      <c r="D1792" s="286"/>
      <c r="E1792" s="286"/>
    </row>
    <row r="1793">
      <c r="A1793" s="286"/>
      <c r="B1793" s="286"/>
      <c r="C1793" s="287"/>
      <c r="D1793" s="286"/>
      <c r="E1793" s="286"/>
    </row>
    <row r="1794">
      <c r="A1794" s="286"/>
      <c r="B1794" s="286"/>
      <c r="C1794" s="287"/>
      <c r="D1794" s="286"/>
      <c r="E1794" s="286"/>
    </row>
    <row r="1795">
      <c r="A1795" s="286"/>
      <c r="B1795" s="286"/>
      <c r="C1795" s="287"/>
      <c r="D1795" s="286"/>
      <c r="E1795" s="286"/>
    </row>
    <row r="1796">
      <c r="A1796" s="286"/>
      <c r="B1796" s="286"/>
      <c r="C1796" s="287"/>
      <c r="D1796" s="286"/>
      <c r="E1796" s="286"/>
    </row>
    <row r="1797">
      <c r="A1797" s="286"/>
      <c r="B1797" s="286"/>
      <c r="C1797" s="287"/>
      <c r="D1797" s="286"/>
      <c r="E1797" s="286"/>
    </row>
    <row r="1798">
      <c r="A1798" s="286"/>
      <c r="B1798" s="286"/>
      <c r="C1798" s="287"/>
      <c r="D1798" s="286"/>
      <c r="E1798" s="286"/>
    </row>
    <row r="1799">
      <c r="A1799" s="286"/>
      <c r="B1799" s="286"/>
      <c r="C1799" s="287"/>
      <c r="D1799" s="286"/>
      <c r="E1799" s="286"/>
    </row>
    <row r="1800">
      <c r="A1800" s="286"/>
      <c r="B1800" s="286"/>
      <c r="C1800" s="287"/>
      <c r="D1800" s="286"/>
      <c r="E1800" s="286"/>
    </row>
    <row r="1801">
      <c r="A1801" s="286"/>
      <c r="B1801" s="286"/>
      <c r="C1801" s="287"/>
      <c r="D1801" s="286"/>
      <c r="E1801" s="286"/>
    </row>
    <row r="1802">
      <c r="A1802" s="286"/>
      <c r="B1802" s="286"/>
      <c r="C1802" s="287"/>
      <c r="D1802" s="286"/>
      <c r="E1802" s="286"/>
    </row>
    <row r="1803">
      <c r="A1803" s="286"/>
      <c r="B1803" s="286"/>
      <c r="C1803" s="287"/>
      <c r="D1803" s="286"/>
      <c r="E1803" s="286"/>
    </row>
    <row r="1804">
      <c r="A1804" s="286"/>
      <c r="B1804" s="286"/>
      <c r="C1804" s="287"/>
      <c r="D1804" s="286"/>
      <c r="E1804" s="286"/>
    </row>
    <row r="1805">
      <c r="A1805" s="286"/>
      <c r="B1805" s="286"/>
      <c r="C1805" s="287"/>
      <c r="D1805" s="286"/>
      <c r="E1805" s="286"/>
    </row>
    <row r="1806">
      <c r="A1806" s="286"/>
      <c r="B1806" s="286"/>
      <c r="C1806" s="287"/>
      <c r="D1806" s="286"/>
      <c r="E1806" s="286"/>
    </row>
    <row r="1807">
      <c r="A1807" s="286"/>
      <c r="B1807" s="286"/>
      <c r="C1807" s="287"/>
      <c r="D1807" s="286"/>
      <c r="E1807" s="286"/>
    </row>
    <row r="1808">
      <c r="A1808" s="286"/>
      <c r="B1808" s="286"/>
      <c r="C1808" s="287"/>
      <c r="D1808" s="286"/>
      <c r="E1808" s="286"/>
    </row>
    <row r="1809">
      <c r="A1809" s="286"/>
      <c r="B1809" s="286"/>
      <c r="C1809" s="287"/>
      <c r="D1809" s="286"/>
      <c r="E1809" s="286"/>
    </row>
    <row r="1810">
      <c r="A1810" s="286"/>
      <c r="B1810" s="286"/>
      <c r="C1810" s="287"/>
      <c r="D1810" s="286"/>
      <c r="E1810" s="286"/>
    </row>
    <row r="1811">
      <c r="A1811" s="286"/>
      <c r="B1811" s="286"/>
      <c r="C1811" s="287"/>
      <c r="D1811" s="286"/>
      <c r="E1811" s="286"/>
    </row>
    <row r="1812">
      <c r="A1812" s="286"/>
      <c r="B1812" s="286"/>
      <c r="C1812" s="287"/>
      <c r="D1812" s="286"/>
      <c r="E1812" s="286"/>
    </row>
    <row r="1813">
      <c r="A1813" s="286"/>
      <c r="B1813" s="286"/>
      <c r="C1813" s="287"/>
      <c r="D1813" s="286"/>
      <c r="E1813" s="286"/>
    </row>
    <row r="1814">
      <c r="A1814" s="286"/>
      <c r="B1814" s="286"/>
      <c r="C1814" s="287"/>
      <c r="D1814" s="286"/>
      <c r="E1814" s="286"/>
    </row>
    <row r="1815">
      <c r="A1815" s="286"/>
      <c r="B1815" s="286"/>
      <c r="C1815" s="287"/>
      <c r="D1815" s="286"/>
      <c r="E1815" s="286"/>
    </row>
    <row r="1816">
      <c r="A1816" s="286"/>
      <c r="B1816" s="286"/>
      <c r="C1816" s="287"/>
      <c r="D1816" s="286"/>
      <c r="E1816" s="286"/>
    </row>
    <row r="1817">
      <c r="A1817" s="286"/>
      <c r="B1817" s="286"/>
      <c r="C1817" s="287"/>
      <c r="D1817" s="286"/>
      <c r="E1817" s="286"/>
    </row>
    <row r="1818">
      <c r="A1818" s="286"/>
      <c r="B1818" s="286"/>
      <c r="C1818" s="287"/>
      <c r="D1818" s="286"/>
      <c r="E1818" s="286"/>
    </row>
    <row r="1819">
      <c r="A1819" s="286"/>
      <c r="B1819" s="286"/>
      <c r="C1819" s="287"/>
      <c r="D1819" s="286"/>
      <c r="E1819" s="286"/>
    </row>
    <row r="1820">
      <c r="A1820" s="286"/>
      <c r="B1820" s="286"/>
      <c r="C1820" s="287"/>
      <c r="D1820" s="286"/>
      <c r="E1820" s="286"/>
    </row>
    <row r="1821">
      <c r="A1821" s="286"/>
      <c r="B1821" s="286"/>
      <c r="C1821" s="287"/>
      <c r="D1821" s="286"/>
      <c r="E1821" s="286"/>
    </row>
    <row r="1822">
      <c r="A1822" s="286"/>
      <c r="B1822" s="286"/>
      <c r="C1822" s="287"/>
      <c r="D1822" s="286"/>
      <c r="E1822" s="286"/>
    </row>
    <row r="1823">
      <c r="A1823" s="286"/>
      <c r="B1823" s="286"/>
      <c r="C1823" s="287"/>
      <c r="D1823" s="286"/>
      <c r="E1823" s="286"/>
    </row>
    <row r="1824">
      <c r="A1824" s="286"/>
      <c r="B1824" s="286"/>
      <c r="C1824" s="287"/>
      <c r="D1824" s="286"/>
      <c r="E1824" s="286"/>
    </row>
    <row r="1825">
      <c r="A1825" s="286"/>
      <c r="B1825" s="286"/>
      <c r="C1825" s="287"/>
      <c r="D1825" s="286"/>
      <c r="E1825" s="286"/>
    </row>
    <row r="1826">
      <c r="A1826" s="286"/>
      <c r="B1826" s="286"/>
      <c r="C1826" s="287"/>
      <c r="D1826" s="286"/>
      <c r="E1826" s="286"/>
    </row>
    <row r="1827">
      <c r="A1827" s="286"/>
      <c r="B1827" s="286"/>
      <c r="C1827" s="287"/>
      <c r="D1827" s="286"/>
      <c r="E1827" s="286"/>
    </row>
    <row r="1828">
      <c r="A1828" s="286"/>
      <c r="B1828" s="286"/>
      <c r="C1828" s="287"/>
      <c r="D1828" s="286"/>
      <c r="E1828" s="286"/>
    </row>
    <row r="1829">
      <c r="A1829" s="286"/>
      <c r="B1829" s="286"/>
      <c r="C1829" s="287"/>
      <c r="D1829" s="286"/>
      <c r="E1829" s="286"/>
    </row>
    <row r="1830">
      <c r="A1830" s="286"/>
      <c r="B1830" s="286"/>
      <c r="C1830" s="287"/>
      <c r="D1830" s="286"/>
      <c r="E1830" s="286"/>
    </row>
    <row r="1831">
      <c r="A1831" s="286"/>
      <c r="B1831" s="286"/>
      <c r="C1831" s="287"/>
      <c r="D1831" s="286"/>
      <c r="E1831" s="286"/>
    </row>
    <row r="1832">
      <c r="A1832" s="286"/>
      <c r="B1832" s="286"/>
      <c r="C1832" s="287"/>
      <c r="D1832" s="286"/>
      <c r="E1832" s="286"/>
    </row>
    <row r="1833">
      <c r="A1833" s="286"/>
      <c r="B1833" s="286"/>
      <c r="C1833" s="287"/>
      <c r="D1833" s="286"/>
      <c r="E1833" s="286"/>
    </row>
    <row r="1834">
      <c r="A1834" s="286"/>
      <c r="B1834" s="286"/>
      <c r="C1834" s="287"/>
      <c r="D1834" s="286"/>
      <c r="E1834" s="286"/>
    </row>
    <row r="1835">
      <c r="A1835" s="286"/>
      <c r="B1835" s="286"/>
      <c r="C1835" s="287"/>
      <c r="D1835" s="286"/>
      <c r="E1835" s="286"/>
    </row>
    <row r="1836">
      <c r="A1836" s="286"/>
      <c r="B1836" s="286"/>
      <c r="C1836" s="287"/>
      <c r="D1836" s="286"/>
      <c r="E1836" s="286"/>
    </row>
    <row r="1837">
      <c r="A1837" s="286"/>
      <c r="B1837" s="286"/>
      <c r="C1837" s="287"/>
      <c r="D1837" s="286"/>
      <c r="E1837" s="286"/>
    </row>
    <row r="1838">
      <c r="A1838" s="286"/>
      <c r="B1838" s="286"/>
      <c r="C1838" s="287"/>
      <c r="D1838" s="286"/>
      <c r="E1838" s="286"/>
    </row>
    <row r="1839">
      <c r="A1839" s="286"/>
      <c r="B1839" s="286"/>
      <c r="C1839" s="287"/>
      <c r="D1839" s="286"/>
      <c r="E1839" s="286"/>
    </row>
    <row r="1840">
      <c r="A1840" s="286"/>
      <c r="B1840" s="286"/>
      <c r="C1840" s="287"/>
      <c r="D1840" s="286"/>
      <c r="E1840" s="286"/>
    </row>
    <row r="1841">
      <c r="A1841" s="286"/>
      <c r="B1841" s="286"/>
      <c r="C1841" s="287"/>
      <c r="D1841" s="286"/>
      <c r="E1841" s="286"/>
    </row>
    <row r="1842">
      <c r="A1842" s="286"/>
      <c r="B1842" s="286"/>
      <c r="C1842" s="287"/>
      <c r="D1842" s="286"/>
      <c r="E1842" s="286"/>
    </row>
    <row r="1843">
      <c r="A1843" s="286"/>
      <c r="B1843" s="286"/>
      <c r="C1843" s="287"/>
      <c r="D1843" s="286"/>
      <c r="E1843" s="286"/>
    </row>
    <row r="1844">
      <c r="A1844" s="286"/>
      <c r="B1844" s="286"/>
      <c r="C1844" s="287"/>
      <c r="D1844" s="286"/>
      <c r="E1844" s="286"/>
    </row>
    <row r="1845">
      <c r="A1845" s="286"/>
      <c r="B1845" s="286"/>
      <c r="C1845" s="287"/>
      <c r="D1845" s="286"/>
      <c r="E1845" s="286"/>
    </row>
    <row r="1846">
      <c r="A1846" s="286"/>
      <c r="B1846" s="286"/>
      <c r="C1846" s="287"/>
      <c r="D1846" s="286"/>
      <c r="E1846" s="286"/>
    </row>
    <row r="1847">
      <c r="A1847" s="286"/>
      <c r="B1847" s="286"/>
      <c r="C1847" s="287"/>
      <c r="D1847" s="286"/>
      <c r="E1847" s="286"/>
    </row>
    <row r="1848">
      <c r="A1848" s="286"/>
      <c r="B1848" s="286"/>
      <c r="C1848" s="287"/>
      <c r="D1848" s="286"/>
      <c r="E1848" s="286"/>
    </row>
    <row r="1849">
      <c r="A1849" s="286"/>
      <c r="B1849" s="286"/>
      <c r="C1849" s="287"/>
      <c r="D1849" s="286"/>
      <c r="E1849" s="286"/>
    </row>
    <row r="1850">
      <c r="A1850" s="286"/>
      <c r="B1850" s="286"/>
      <c r="C1850" s="287"/>
      <c r="D1850" s="286"/>
      <c r="E1850" s="286"/>
    </row>
    <row r="1851">
      <c r="A1851" s="286"/>
      <c r="B1851" s="286"/>
      <c r="C1851" s="287"/>
      <c r="D1851" s="286"/>
      <c r="E1851" s="286"/>
    </row>
    <row r="1852">
      <c r="A1852" s="286"/>
      <c r="B1852" s="286"/>
      <c r="C1852" s="287"/>
      <c r="D1852" s="286"/>
      <c r="E1852" s="286"/>
    </row>
    <row r="1853">
      <c r="A1853" s="286"/>
      <c r="B1853" s="286"/>
      <c r="C1853" s="287"/>
      <c r="D1853" s="286"/>
      <c r="E1853" s="286"/>
    </row>
    <row r="1854">
      <c r="A1854" s="286"/>
      <c r="B1854" s="286"/>
      <c r="C1854" s="287"/>
      <c r="D1854" s="286"/>
      <c r="E1854" s="286"/>
    </row>
    <row r="1855">
      <c r="A1855" s="286"/>
      <c r="B1855" s="286"/>
      <c r="C1855" s="287"/>
      <c r="D1855" s="286"/>
      <c r="E1855" s="286"/>
    </row>
    <row r="1856">
      <c r="A1856" s="286"/>
      <c r="B1856" s="286"/>
      <c r="C1856" s="287"/>
      <c r="D1856" s="286"/>
      <c r="E1856" s="286"/>
    </row>
    <row r="1857">
      <c r="A1857" s="286"/>
      <c r="B1857" s="286"/>
      <c r="C1857" s="287"/>
      <c r="D1857" s="286"/>
      <c r="E1857" s="286"/>
    </row>
    <row r="1858">
      <c r="A1858" s="286"/>
      <c r="B1858" s="286"/>
      <c r="C1858" s="287"/>
      <c r="D1858" s="286"/>
      <c r="E1858" s="286"/>
    </row>
    <row r="1859">
      <c r="A1859" s="286"/>
      <c r="B1859" s="286"/>
      <c r="C1859" s="287"/>
      <c r="D1859" s="286"/>
      <c r="E1859" s="286"/>
    </row>
    <row r="1860">
      <c r="A1860" s="286"/>
      <c r="B1860" s="286"/>
      <c r="C1860" s="287"/>
      <c r="D1860" s="286"/>
      <c r="E1860" s="286"/>
    </row>
    <row r="1861">
      <c r="A1861" s="286"/>
      <c r="B1861" s="286"/>
      <c r="C1861" s="287"/>
      <c r="D1861" s="286"/>
      <c r="E1861" s="286"/>
    </row>
    <row r="1862">
      <c r="A1862" s="286"/>
      <c r="B1862" s="286"/>
      <c r="C1862" s="287"/>
      <c r="D1862" s="286"/>
      <c r="E1862" s="286"/>
    </row>
    <row r="1863">
      <c r="A1863" s="286"/>
      <c r="B1863" s="286"/>
      <c r="C1863" s="287"/>
      <c r="D1863" s="286"/>
      <c r="E1863" s="286"/>
    </row>
    <row r="1864">
      <c r="A1864" s="286"/>
      <c r="B1864" s="286"/>
      <c r="C1864" s="287"/>
      <c r="D1864" s="286"/>
      <c r="E1864" s="286"/>
    </row>
    <row r="1865">
      <c r="A1865" s="286"/>
      <c r="B1865" s="286"/>
      <c r="C1865" s="287"/>
      <c r="D1865" s="286"/>
      <c r="E1865" s="286"/>
    </row>
    <row r="1866">
      <c r="A1866" s="286"/>
      <c r="B1866" s="286"/>
      <c r="C1866" s="287"/>
      <c r="D1866" s="286"/>
      <c r="E1866" s="286"/>
    </row>
    <row r="1867">
      <c r="A1867" s="286"/>
      <c r="B1867" s="286"/>
      <c r="C1867" s="287"/>
      <c r="D1867" s="286"/>
      <c r="E1867" s="286"/>
    </row>
    <row r="1868">
      <c r="A1868" s="286"/>
      <c r="B1868" s="286"/>
      <c r="C1868" s="287"/>
      <c r="D1868" s="286"/>
      <c r="E1868" s="286"/>
    </row>
    <row r="1869">
      <c r="A1869" s="286"/>
      <c r="B1869" s="286"/>
      <c r="C1869" s="287"/>
      <c r="D1869" s="286"/>
      <c r="E1869" s="286"/>
    </row>
    <row r="1870">
      <c r="A1870" s="286"/>
      <c r="B1870" s="286"/>
      <c r="C1870" s="287"/>
      <c r="D1870" s="286"/>
      <c r="E1870" s="286"/>
    </row>
    <row r="1871">
      <c r="A1871" s="286"/>
      <c r="B1871" s="286"/>
      <c r="C1871" s="287"/>
      <c r="D1871" s="286"/>
      <c r="E1871" s="286"/>
    </row>
    <row r="1872">
      <c r="A1872" s="286"/>
      <c r="B1872" s="286"/>
      <c r="C1872" s="287"/>
      <c r="D1872" s="286"/>
      <c r="E1872" s="286"/>
    </row>
    <row r="1873">
      <c r="A1873" s="286"/>
      <c r="B1873" s="286"/>
      <c r="C1873" s="287"/>
      <c r="D1873" s="286"/>
      <c r="E1873" s="286"/>
    </row>
    <row r="1874">
      <c r="A1874" s="286"/>
      <c r="B1874" s="286"/>
      <c r="C1874" s="287"/>
      <c r="D1874" s="286"/>
      <c r="E1874" s="286"/>
    </row>
    <row r="1875">
      <c r="A1875" s="286"/>
      <c r="B1875" s="286"/>
      <c r="C1875" s="287"/>
      <c r="D1875" s="286"/>
      <c r="E1875" s="286"/>
    </row>
    <row r="1876">
      <c r="A1876" s="286"/>
      <c r="B1876" s="286"/>
      <c r="C1876" s="287"/>
      <c r="D1876" s="286"/>
      <c r="E1876" s="286"/>
    </row>
    <row r="1877">
      <c r="A1877" s="286"/>
      <c r="B1877" s="286"/>
      <c r="C1877" s="287"/>
      <c r="D1877" s="286"/>
      <c r="E1877" s="286"/>
    </row>
    <row r="1878">
      <c r="A1878" s="286"/>
      <c r="B1878" s="286"/>
      <c r="C1878" s="287"/>
      <c r="D1878" s="286"/>
      <c r="E1878" s="286"/>
    </row>
    <row r="1879">
      <c r="A1879" s="286"/>
      <c r="B1879" s="286"/>
      <c r="C1879" s="287"/>
      <c r="D1879" s="286"/>
      <c r="E1879" s="286"/>
    </row>
    <row r="1880">
      <c r="A1880" s="286"/>
      <c r="B1880" s="286"/>
      <c r="C1880" s="287"/>
      <c r="D1880" s="286"/>
      <c r="E1880" s="286"/>
    </row>
    <row r="1881">
      <c r="A1881" s="286"/>
      <c r="B1881" s="286"/>
      <c r="C1881" s="287"/>
      <c r="D1881" s="286"/>
      <c r="E1881" s="286"/>
    </row>
    <row r="1882">
      <c r="A1882" s="286"/>
      <c r="B1882" s="286"/>
      <c r="C1882" s="287"/>
      <c r="D1882" s="286"/>
      <c r="E1882" s="286"/>
    </row>
    <row r="1883">
      <c r="A1883" s="286"/>
      <c r="B1883" s="286"/>
      <c r="C1883" s="287"/>
      <c r="D1883" s="286"/>
      <c r="E1883" s="286"/>
    </row>
    <row r="1884">
      <c r="A1884" s="286"/>
      <c r="B1884" s="286"/>
      <c r="C1884" s="287"/>
      <c r="D1884" s="286"/>
      <c r="E1884" s="286"/>
    </row>
    <row r="1885">
      <c r="A1885" s="286"/>
      <c r="B1885" s="286"/>
      <c r="C1885" s="287"/>
      <c r="D1885" s="286"/>
      <c r="E1885" s="286"/>
    </row>
    <row r="1886">
      <c r="A1886" s="286"/>
      <c r="B1886" s="286"/>
      <c r="C1886" s="287"/>
      <c r="D1886" s="286"/>
      <c r="E1886" s="286"/>
    </row>
    <row r="1887">
      <c r="A1887" s="286"/>
      <c r="B1887" s="286"/>
      <c r="C1887" s="287"/>
      <c r="D1887" s="286"/>
      <c r="E1887" s="286"/>
    </row>
    <row r="1888">
      <c r="A1888" s="286"/>
      <c r="B1888" s="286"/>
      <c r="C1888" s="287"/>
      <c r="D1888" s="286"/>
      <c r="E1888" s="286"/>
    </row>
    <row r="1889">
      <c r="A1889" s="286"/>
      <c r="B1889" s="286"/>
      <c r="C1889" s="287"/>
      <c r="D1889" s="286"/>
      <c r="E1889" s="286"/>
    </row>
    <row r="1890">
      <c r="A1890" s="286"/>
      <c r="B1890" s="286"/>
      <c r="C1890" s="287"/>
      <c r="D1890" s="286"/>
      <c r="E1890" s="286"/>
    </row>
    <row r="1891">
      <c r="A1891" s="286"/>
      <c r="B1891" s="286"/>
      <c r="C1891" s="287"/>
      <c r="D1891" s="286"/>
      <c r="E1891" s="286"/>
    </row>
    <row r="1892">
      <c r="A1892" s="286"/>
      <c r="B1892" s="286"/>
      <c r="C1892" s="287"/>
      <c r="D1892" s="286"/>
      <c r="E1892" s="286"/>
    </row>
    <row r="1893">
      <c r="A1893" s="286"/>
      <c r="B1893" s="286"/>
      <c r="C1893" s="287"/>
      <c r="D1893" s="286"/>
      <c r="E1893" s="286"/>
    </row>
    <row r="1894">
      <c r="A1894" s="286"/>
      <c r="B1894" s="286"/>
      <c r="C1894" s="287"/>
      <c r="D1894" s="286"/>
      <c r="E1894" s="286"/>
    </row>
    <row r="1895">
      <c r="A1895" s="286"/>
      <c r="B1895" s="286"/>
      <c r="C1895" s="287"/>
      <c r="D1895" s="286"/>
      <c r="E1895" s="286"/>
    </row>
    <row r="1896">
      <c r="A1896" s="286"/>
      <c r="B1896" s="286"/>
      <c r="C1896" s="287"/>
      <c r="D1896" s="286"/>
      <c r="E1896" s="286"/>
    </row>
    <row r="1897">
      <c r="A1897" s="286"/>
      <c r="B1897" s="286"/>
      <c r="C1897" s="287"/>
      <c r="D1897" s="286"/>
      <c r="E1897" s="286"/>
    </row>
    <row r="1898">
      <c r="A1898" s="286"/>
      <c r="B1898" s="286"/>
      <c r="C1898" s="287"/>
      <c r="D1898" s="286"/>
      <c r="E1898" s="286"/>
    </row>
    <row r="1899">
      <c r="A1899" s="286"/>
      <c r="B1899" s="286"/>
      <c r="C1899" s="287"/>
      <c r="D1899" s="286"/>
      <c r="E1899" s="286"/>
    </row>
    <row r="1900">
      <c r="A1900" s="286"/>
      <c r="B1900" s="286"/>
      <c r="C1900" s="287"/>
      <c r="D1900" s="286"/>
      <c r="E1900" s="286"/>
    </row>
    <row r="1901">
      <c r="A1901" s="286"/>
      <c r="B1901" s="286"/>
      <c r="C1901" s="287"/>
      <c r="D1901" s="286"/>
      <c r="E1901" s="286"/>
    </row>
    <row r="1902">
      <c r="A1902" s="286"/>
      <c r="B1902" s="286"/>
      <c r="C1902" s="287"/>
      <c r="D1902" s="286"/>
      <c r="E1902" s="286"/>
    </row>
    <row r="1903">
      <c r="A1903" s="286"/>
      <c r="B1903" s="286"/>
      <c r="C1903" s="287"/>
      <c r="D1903" s="286"/>
      <c r="E1903" s="286"/>
    </row>
    <row r="1904">
      <c r="A1904" s="286"/>
      <c r="B1904" s="286"/>
      <c r="C1904" s="287"/>
      <c r="D1904" s="286"/>
      <c r="E1904" s="286"/>
    </row>
    <row r="1905">
      <c r="A1905" s="286"/>
      <c r="B1905" s="286"/>
      <c r="C1905" s="287"/>
      <c r="D1905" s="286"/>
      <c r="E1905" s="286"/>
    </row>
    <row r="1906">
      <c r="A1906" s="286"/>
      <c r="B1906" s="286"/>
      <c r="C1906" s="287"/>
      <c r="D1906" s="286"/>
      <c r="E1906" s="286"/>
    </row>
    <row r="1907">
      <c r="A1907" s="286"/>
      <c r="B1907" s="286"/>
      <c r="C1907" s="287"/>
      <c r="D1907" s="286"/>
      <c r="E1907" s="286"/>
    </row>
    <row r="1908">
      <c r="A1908" s="286"/>
      <c r="B1908" s="286"/>
      <c r="C1908" s="287"/>
      <c r="D1908" s="286"/>
      <c r="E1908" s="286"/>
    </row>
    <row r="1909">
      <c r="A1909" s="286"/>
      <c r="B1909" s="286"/>
      <c r="C1909" s="287"/>
      <c r="D1909" s="286"/>
      <c r="E1909" s="286"/>
    </row>
    <row r="1910">
      <c r="A1910" s="286"/>
      <c r="B1910" s="286"/>
      <c r="C1910" s="287"/>
      <c r="D1910" s="286"/>
      <c r="E1910" s="286"/>
    </row>
    <row r="1911">
      <c r="A1911" s="286"/>
      <c r="B1911" s="286"/>
      <c r="C1911" s="287"/>
      <c r="D1911" s="286"/>
      <c r="E1911" s="286"/>
    </row>
    <row r="1912">
      <c r="A1912" s="286"/>
      <c r="B1912" s="286"/>
      <c r="C1912" s="287"/>
      <c r="D1912" s="286"/>
      <c r="E1912" s="286"/>
    </row>
    <row r="1913">
      <c r="A1913" s="286"/>
      <c r="B1913" s="286"/>
      <c r="C1913" s="287"/>
      <c r="D1913" s="286"/>
      <c r="E1913" s="286"/>
    </row>
    <row r="1914">
      <c r="A1914" s="286"/>
      <c r="B1914" s="286"/>
      <c r="C1914" s="287"/>
      <c r="D1914" s="286"/>
      <c r="E1914" s="286"/>
    </row>
    <row r="1915">
      <c r="A1915" s="286"/>
      <c r="B1915" s="286"/>
      <c r="C1915" s="287"/>
      <c r="D1915" s="286"/>
      <c r="E1915" s="286"/>
    </row>
    <row r="1916">
      <c r="A1916" s="286"/>
      <c r="B1916" s="286"/>
      <c r="C1916" s="287"/>
      <c r="D1916" s="286"/>
      <c r="E1916" s="286"/>
    </row>
    <row r="1917">
      <c r="A1917" s="286"/>
      <c r="B1917" s="286"/>
      <c r="C1917" s="287"/>
      <c r="D1917" s="286"/>
      <c r="E1917" s="286"/>
    </row>
    <row r="1918">
      <c r="A1918" s="286"/>
      <c r="B1918" s="286"/>
      <c r="C1918" s="287"/>
      <c r="D1918" s="286"/>
      <c r="E1918" s="286"/>
    </row>
    <row r="1919">
      <c r="A1919" s="286"/>
      <c r="B1919" s="286"/>
      <c r="C1919" s="287"/>
      <c r="D1919" s="286"/>
      <c r="E1919" s="286"/>
    </row>
    <row r="1920">
      <c r="A1920" s="286"/>
      <c r="B1920" s="286"/>
      <c r="C1920" s="287"/>
      <c r="D1920" s="286"/>
      <c r="E1920" s="286"/>
    </row>
    <row r="1921">
      <c r="A1921" s="286"/>
      <c r="B1921" s="286"/>
      <c r="C1921" s="287"/>
      <c r="D1921" s="286"/>
      <c r="E1921" s="286"/>
    </row>
    <row r="1922">
      <c r="A1922" s="286"/>
      <c r="B1922" s="286"/>
      <c r="C1922" s="287"/>
      <c r="D1922" s="286"/>
      <c r="E1922" s="286"/>
    </row>
    <row r="1923">
      <c r="A1923" s="286"/>
      <c r="B1923" s="286"/>
      <c r="C1923" s="287"/>
      <c r="D1923" s="286"/>
      <c r="E1923" s="286"/>
    </row>
    <row r="1924">
      <c r="A1924" s="286"/>
      <c r="B1924" s="286"/>
      <c r="C1924" s="287"/>
      <c r="D1924" s="286"/>
      <c r="E1924" s="286"/>
    </row>
    <row r="1925">
      <c r="A1925" s="286"/>
      <c r="B1925" s="286"/>
      <c r="C1925" s="287"/>
      <c r="D1925" s="286"/>
      <c r="E1925" s="286"/>
    </row>
    <row r="1926">
      <c r="A1926" s="286"/>
      <c r="B1926" s="286"/>
      <c r="C1926" s="287"/>
      <c r="D1926" s="286"/>
      <c r="E1926" s="286"/>
    </row>
    <row r="1927">
      <c r="A1927" s="286"/>
      <c r="B1927" s="286"/>
      <c r="C1927" s="287"/>
      <c r="D1927" s="286"/>
      <c r="E1927" s="286"/>
    </row>
    <row r="1928">
      <c r="A1928" s="286"/>
      <c r="B1928" s="286"/>
      <c r="C1928" s="287"/>
      <c r="D1928" s="286"/>
      <c r="E1928" s="286"/>
    </row>
    <row r="1929">
      <c r="A1929" s="286"/>
      <c r="B1929" s="286"/>
      <c r="C1929" s="287"/>
      <c r="D1929" s="286"/>
      <c r="E1929" s="286"/>
    </row>
    <row r="1930">
      <c r="A1930" s="286"/>
      <c r="B1930" s="286"/>
      <c r="C1930" s="287"/>
      <c r="D1930" s="286"/>
      <c r="E1930" s="286"/>
    </row>
    <row r="1931">
      <c r="A1931" s="286"/>
      <c r="B1931" s="286"/>
      <c r="C1931" s="287"/>
      <c r="D1931" s="286"/>
      <c r="E1931" s="286"/>
    </row>
    <row r="1932">
      <c r="A1932" s="286"/>
      <c r="B1932" s="286"/>
      <c r="C1932" s="287"/>
      <c r="D1932" s="286"/>
      <c r="E1932" s="286"/>
    </row>
    <row r="1933">
      <c r="A1933" s="286"/>
      <c r="B1933" s="286"/>
      <c r="C1933" s="287"/>
      <c r="D1933" s="286"/>
      <c r="E1933" s="286"/>
    </row>
    <row r="1934">
      <c r="A1934" s="286"/>
      <c r="B1934" s="286"/>
      <c r="C1934" s="287"/>
      <c r="D1934" s="286"/>
      <c r="E1934" s="286"/>
    </row>
    <row r="1935">
      <c r="A1935" s="286"/>
      <c r="B1935" s="286"/>
      <c r="C1935" s="287"/>
      <c r="D1935" s="286"/>
      <c r="E1935" s="286"/>
    </row>
    <row r="1936">
      <c r="A1936" s="286"/>
      <c r="B1936" s="286"/>
      <c r="C1936" s="287"/>
      <c r="D1936" s="286"/>
      <c r="E1936" s="286"/>
    </row>
    <row r="1937">
      <c r="A1937" s="286"/>
      <c r="B1937" s="286"/>
      <c r="C1937" s="287"/>
      <c r="D1937" s="286"/>
      <c r="E1937" s="286"/>
    </row>
    <row r="1938">
      <c r="A1938" s="286"/>
      <c r="B1938" s="286"/>
      <c r="C1938" s="287"/>
      <c r="D1938" s="286"/>
      <c r="E1938" s="286"/>
    </row>
    <row r="1939">
      <c r="A1939" s="286"/>
      <c r="B1939" s="286"/>
      <c r="C1939" s="287"/>
      <c r="D1939" s="286"/>
      <c r="E1939" s="286"/>
    </row>
    <row r="1940">
      <c r="A1940" s="286"/>
      <c r="B1940" s="286"/>
      <c r="C1940" s="287"/>
      <c r="D1940" s="286"/>
      <c r="E1940" s="286"/>
    </row>
    <row r="1941">
      <c r="A1941" s="286"/>
      <c r="B1941" s="286"/>
      <c r="C1941" s="287"/>
      <c r="D1941" s="286"/>
      <c r="E1941" s="286"/>
    </row>
    <row r="1942">
      <c r="A1942" s="286"/>
      <c r="B1942" s="286"/>
      <c r="C1942" s="287"/>
      <c r="D1942" s="286"/>
      <c r="E1942" s="286"/>
    </row>
    <row r="1943">
      <c r="A1943" s="286"/>
      <c r="B1943" s="286"/>
      <c r="C1943" s="287"/>
      <c r="D1943" s="286"/>
      <c r="E1943" s="286"/>
    </row>
    <row r="1944">
      <c r="A1944" s="286"/>
      <c r="B1944" s="286"/>
      <c r="C1944" s="287"/>
      <c r="D1944" s="286"/>
      <c r="E1944" s="286"/>
    </row>
    <row r="1945">
      <c r="A1945" s="286"/>
      <c r="B1945" s="286"/>
      <c r="C1945" s="287"/>
      <c r="D1945" s="286"/>
      <c r="E1945" s="286"/>
    </row>
    <row r="1946">
      <c r="A1946" s="286"/>
      <c r="B1946" s="286"/>
      <c r="C1946" s="287"/>
      <c r="D1946" s="286"/>
      <c r="E1946" s="286"/>
    </row>
    <row r="1947">
      <c r="A1947" s="286"/>
      <c r="B1947" s="286"/>
      <c r="C1947" s="287"/>
      <c r="D1947" s="286"/>
      <c r="E1947" s="286"/>
    </row>
    <row r="1948">
      <c r="A1948" s="286"/>
      <c r="B1948" s="286"/>
      <c r="C1948" s="287"/>
      <c r="D1948" s="286"/>
      <c r="E1948" s="286"/>
    </row>
    <row r="1949">
      <c r="A1949" s="286"/>
      <c r="B1949" s="286"/>
      <c r="C1949" s="287"/>
      <c r="D1949" s="286"/>
      <c r="E1949" s="286"/>
    </row>
    <row r="1950">
      <c r="A1950" s="286"/>
      <c r="B1950" s="286"/>
      <c r="C1950" s="287"/>
      <c r="D1950" s="286"/>
      <c r="E1950" s="286"/>
    </row>
    <row r="1951">
      <c r="A1951" s="286"/>
      <c r="B1951" s="286"/>
      <c r="C1951" s="287"/>
      <c r="D1951" s="286"/>
      <c r="E1951" s="286"/>
    </row>
    <row r="1952">
      <c r="A1952" s="286"/>
      <c r="B1952" s="286"/>
      <c r="C1952" s="287"/>
      <c r="D1952" s="286"/>
      <c r="E1952" s="286"/>
    </row>
    <row r="1953">
      <c r="A1953" s="286"/>
      <c r="B1953" s="286"/>
      <c r="C1953" s="287"/>
      <c r="D1953" s="286"/>
      <c r="E1953" s="286"/>
    </row>
    <row r="1954">
      <c r="A1954" s="286"/>
      <c r="B1954" s="286"/>
      <c r="C1954" s="287"/>
      <c r="D1954" s="286"/>
      <c r="E1954" s="286"/>
    </row>
    <row r="1955">
      <c r="A1955" s="286"/>
      <c r="B1955" s="286"/>
      <c r="C1955" s="287"/>
      <c r="D1955" s="286"/>
      <c r="E1955" s="286"/>
    </row>
    <row r="1956">
      <c r="A1956" s="286"/>
      <c r="B1956" s="286"/>
      <c r="C1956" s="287"/>
      <c r="D1956" s="286"/>
      <c r="E1956" s="286"/>
    </row>
    <row r="1957">
      <c r="A1957" s="286"/>
      <c r="B1957" s="286"/>
      <c r="C1957" s="287"/>
      <c r="D1957" s="286"/>
      <c r="E1957" s="286"/>
    </row>
    <row r="1958">
      <c r="A1958" s="286"/>
      <c r="B1958" s="286"/>
      <c r="C1958" s="287"/>
      <c r="D1958" s="286"/>
      <c r="E1958" s="286"/>
    </row>
    <row r="1959">
      <c r="A1959" s="286"/>
      <c r="B1959" s="286"/>
      <c r="C1959" s="287"/>
      <c r="D1959" s="286"/>
      <c r="E1959" s="286"/>
    </row>
    <row r="1960">
      <c r="A1960" s="286"/>
      <c r="B1960" s="286"/>
      <c r="C1960" s="287"/>
      <c r="D1960" s="286"/>
      <c r="E1960" s="286"/>
    </row>
    <row r="1961">
      <c r="A1961" s="286"/>
      <c r="B1961" s="286"/>
      <c r="C1961" s="287"/>
      <c r="D1961" s="286"/>
      <c r="E1961" s="286"/>
    </row>
    <row r="1962">
      <c r="A1962" s="286"/>
      <c r="B1962" s="286"/>
      <c r="C1962" s="287"/>
      <c r="D1962" s="286"/>
      <c r="E1962" s="286"/>
    </row>
    <row r="1963">
      <c r="A1963" s="286"/>
      <c r="B1963" s="286"/>
      <c r="C1963" s="287"/>
      <c r="D1963" s="286"/>
      <c r="E1963" s="286"/>
    </row>
    <row r="1964">
      <c r="A1964" s="286"/>
      <c r="B1964" s="286"/>
      <c r="C1964" s="287"/>
      <c r="D1964" s="286"/>
      <c r="E1964" s="286"/>
    </row>
    <row r="1965">
      <c r="A1965" s="286"/>
      <c r="B1965" s="286"/>
      <c r="C1965" s="287"/>
      <c r="D1965" s="286"/>
      <c r="E1965" s="286"/>
    </row>
    <row r="1966">
      <c r="A1966" s="286"/>
      <c r="B1966" s="286"/>
      <c r="C1966" s="287"/>
      <c r="D1966" s="286"/>
      <c r="E1966" s="286"/>
    </row>
    <row r="1967">
      <c r="A1967" s="286"/>
      <c r="B1967" s="286"/>
      <c r="C1967" s="287"/>
      <c r="D1967" s="286"/>
      <c r="E1967" s="286"/>
    </row>
    <row r="1968">
      <c r="A1968" s="286"/>
      <c r="B1968" s="286"/>
      <c r="C1968" s="287"/>
      <c r="D1968" s="286"/>
      <c r="E1968" s="286"/>
    </row>
    <row r="1969">
      <c r="A1969" s="286"/>
      <c r="B1969" s="286"/>
      <c r="C1969" s="287"/>
      <c r="D1969" s="286"/>
      <c r="E1969" s="286"/>
    </row>
    <row r="1970">
      <c r="A1970" s="286"/>
      <c r="B1970" s="286"/>
      <c r="C1970" s="287"/>
      <c r="D1970" s="286"/>
      <c r="E1970" s="286"/>
    </row>
    <row r="1971">
      <c r="A1971" s="286"/>
      <c r="B1971" s="286"/>
      <c r="C1971" s="287"/>
      <c r="D1971" s="286"/>
      <c r="E1971" s="286"/>
    </row>
    <row r="1972">
      <c r="A1972" s="286"/>
      <c r="B1972" s="286"/>
      <c r="C1972" s="287"/>
      <c r="D1972" s="286"/>
      <c r="E1972" s="286"/>
    </row>
    <row r="1973">
      <c r="A1973" s="286"/>
      <c r="B1973" s="286"/>
      <c r="C1973" s="287"/>
      <c r="D1973" s="286"/>
      <c r="E1973" s="286"/>
    </row>
    <row r="1974">
      <c r="A1974" s="286"/>
      <c r="B1974" s="286"/>
      <c r="C1974" s="287"/>
      <c r="D1974" s="286"/>
      <c r="E1974" s="286"/>
    </row>
    <row r="1975">
      <c r="A1975" s="286"/>
      <c r="B1975" s="286"/>
      <c r="C1975" s="287"/>
      <c r="D1975" s="286"/>
      <c r="E1975" s="286"/>
    </row>
    <row r="1976">
      <c r="A1976" s="286"/>
      <c r="B1976" s="286"/>
      <c r="C1976" s="287"/>
      <c r="D1976" s="286"/>
      <c r="E1976" s="286"/>
    </row>
    <row r="1977">
      <c r="A1977" s="286"/>
      <c r="B1977" s="286"/>
      <c r="C1977" s="287"/>
      <c r="D1977" s="286"/>
      <c r="E1977" s="286"/>
    </row>
    <row r="1978">
      <c r="A1978" s="286"/>
      <c r="B1978" s="286"/>
      <c r="C1978" s="287"/>
      <c r="D1978" s="286"/>
      <c r="E1978" s="286"/>
    </row>
    <row r="1979">
      <c r="A1979" s="286"/>
      <c r="B1979" s="286"/>
      <c r="C1979" s="287"/>
      <c r="D1979" s="286"/>
      <c r="E1979" s="286"/>
    </row>
    <row r="1980">
      <c r="A1980" s="286"/>
      <c r="B1980" s="286"/>
      <c r="C1980" s="287"/>
      <c r="D1980" s="286"/>
      <c r="E1980" s="286"/>
    </row>
    <row r="1981">
      <c r="A1981" s="286"/>
      <c r="B1981" s="286"/>
      <c r="C1981" s="287"/>
      <c r="D1981" s="286"/>
      <c r="E1981" s="286"/>
    </row>
    <row r="1982">
      <c r="A1982" s="286"/>
      <c r="B1982" s="286"/>
      <c r="C1982" s="287"/>
      <c r="D1982" s="286"/>
      <c r="E1982" s="286"/>
    </row>
    <row r="1983">
      <c r="A1983" s="286"/>
      <c r="B1983" s="286"/>
      <c r="C1983" s="287"/>
      <c r="D1983" s="286"/>
      <c r="E1983" s="286"/>
    </row>
    <row r="1984">
      <c r="A1984" s="286"/>
      <c r="B1984" s="286"/>
      <c r="C1984" s="287"/>
      <c r="D1984" s="286"/>
      <c r="E1984" s="286"/>
    </row>
    <row r="1985">
      <c r="A1985" s="286"/>
      <c r="B1985" s="286"/>
      <c r="C1985" s="287"/>
      <c r="D1985" s="286"/>
      <c r="E1985" s="286"/>
    </row>
    <row r="1986">
      <c r="A1986" s="286"/>
      <c r="B1986" s="286"/>
      <c r="C1986" s="287"/>
      <c r="D1986" s="286"/>
      <c r="E1986" s="286"/>
    </row>
    <row r="1987">
      <c r="A1987" s="286"/>
      <c r="B1987" s="286"/>
      <c r="C1987" s="287"/>
      <c r="D1987" s="286"/>
      <c r="E1987" s="286"/>
    </row>
    <row r="1988">
      <c r="A1988" s="286"/>
      <c r="B1988" s="286"/>
      <c r="C1988" s="287"/>
      <c r="D1988" s="286"/>
      <c r="E1988" s="286"/>
    </row>
    <row r="1989">
      <c r="A1989" s="286"/>
      <c r="B1989" s="286"/>
      <c r="C1989" s="287"/>
      <c r="D1989" s="286"/>
      <c r="E1989" s="286"/>
    </row>
    <row r="1990">
      <c r="A1990" s="286"/>
      <c r="B1990" s="286"/>
      <c r="C1990" s="287"/>
      <c r="D1990" s="286"/>
      <c r="E1990" s="286"/>
    </row>
    <row r="1991">
      <c r="A1991" s="286"/>
      <c r="B1991" s="286"/>
      <c r="C1991" s="287"/>
      <c r="D1991" s="286"/>
      <c r="E1991" s="286"/>
    </row>
    <row r="1992">
      <c r="A1992" s="286"/>
      <c r="B1992" s="286"/>
      <c r="C1992" s="287"/>
      <c r="D1992" s="286"/>
      <c r="E1992" s="286"/>
    </row>
    <row r="1993">
      <c r="A1993" s="286"/>
      <c r="B1993" s="286"/>
      <c r="C1993" s="287"/>
      <c r="D1993" s="286"/>
      <c r="E1993" s="286"/>
    </row>
    <row r="1994">
      <c r="A1994" s="286"/>
      <c r="B1994" s="286"/>
      <c r="C1994" s="287"/>
      <c r="D1994" s="286"/>
      <c r="E1994" s="286"/>
    </row>
    <row r="1995">
      <c r="A1995" s="286"/>
      <c r="B1995" s="286"/>
      <c r="C1995" s="287"/>
      <c r="D1995" s="286"/>
      <c r="E1995" s="286"/>
    </row>
    <row r="1996">
      <c r="A1996" s="286"/>
      <c r="B1996" s="286"/>
      <c r="C1996" s="287"/>
      <c r="D1996" s="286"/>
      <c r="E1996" s="286"/>
    </row>
    <row r="1997">
      <c r="A1997" s="286"/>
      <c r="B1997" s="286"/>
      <c r="C1997" s="287"/>
      <c r="D1997" s="286"/>
      <c r="E1997" s="286"/>
    </row>
    <row r="1998">
      <c r="A1998" s="286"/>
      <c r="B1998" s="286"/>
      <c r="C1998" s="287"/>
      <c r="D1998" s="286"/>
      <c r="E1998" s="286"/>
    </row>
    <row r="1999">
      <c r="A1999" s="286"/>
      <c r="B1999" s="286"/>
      <c r="C1999" s="287"/>
      <c r="D1999" s="286"/>
      <c r="E1999" s="286"/>
    </row>
    <row r="2000">
      <c r="A2000" s="286"/>
      <c r="B2000" s="286"/>
      <c r="C2000" s="287"/>
      <c r="D2000" s="286"/>
      <c r="E2000" s="286"/>
    </row>
    <row r="2001">
      <c r="A2001" s="286"/>
      <c r="B2001" s="286"/>
      <c r="C2001" s="287"/>
      <c r="D2001" s="286"/>
      <c r="E2001" s="286"/>
    </row>
    <row r="2002">
      <c r="A2002" s="286"/>
      <c r="B2002" s="286"/>
      <c r="C2002" s="287"/>
      <c r="D2002" s="286"/>
      <c r="E2002" s="286"/>
    </row>
    <row r="2003">
      <c r="A2003" s="286"/>
      <c r="B2003" s="286"/>
      <c r="C2003" s="287"/>
      <c r="D2003" s="286"/>
      <c r="E2003" s="286"/>
    </row>
    <row r="2004">
      <c r="A2004" s="286"/>
      <c r="B2004" s="286"/>
      <c r="C2004" s="287"/>
      <c r="D2004" s="286"/>
      <c r="E2004" s="286"/>
    </row>
    <row r="2005">
      <c r="A2005" s="286"/>
      <c r="B2005" s="286"/>
      <c r="C2005" s="287"/>
      <c r="D2005" s="286"/>
      <c r="E2005" s="286"/>
    </row>
    <row r="2006">
      <c r="A2006" s="286"/>
      <c r="B2006" s="286"/>
      <c r="C2006" s="287"/>
      <c r="D2006" s="286"/>
      <c r="E2006" s="286"/>
    </row>
    <row r="2007">
      <c r="A2007" s="286"/>
      <c r="B2007" s="286"/>
      <c r="C2007" s="287"/>
      <c r="D2007" s="286"/>
      <c r="E2007" s="286"/>
    </row>
    <row r="2008">
      <c r="A2008" s="286"/>
      <c r="B2008" s="286"/>
      <c r="C2008" s="287"/>
      <c r="D2008" s="286"/>
      <c r="E2008" s="286"/>
    </row>
    <row r="2009">
      <c r="A2009" s="286"/>
      <c r="B2009" s="286"/>
      <c r="C2009" s="287"/>
      <c r="D2009" s="286"/>
      <c r="E2009" s="286"/>
    </row>
    <row r="2010">
      <c r="A2010" s="286"/>
      <c r="B2010" s="286"/>
      <c r="C2010" s="287"/>
      <c r="D2010" s="286"/>
      <c r="E2010" s="286"/>
    </row>
    <row r="2011">
      <c r="A2011" s="286"/>
      <c r="B2011" s="286"/>
      <c r="C2011" s="287"/>
      <c r="D2011" s="286"/>
      <c r="E2011" s="286"/>
    </row>
    <row r="2012">
      <c r="A2012" s="286"/>
      <c r="B2012" s="286"/>
      <c r="C2012" s="287"/>
      <c r="D2012" s="286"/>
      <c r="E2012" s="286"/>
    </row>
    <row r="2013">
      <c r="A2013" s="286"/>
      <c r="B2013" s="286"/>
      <c r="C2013" s="287"/>
      <c r="D2013" s="286"/>
      <c r="E2013" s="286"/>
    </row>
    <row r="2014">
      <c r="A2014" s="286"/>
      <c r="B2014" s="286"/>
      <c r="C2014" s="287"/>
      <c r="D2014" s="286"/>
      <c r="E2014" s="286"/>
    </row>
    <row r="2015">
      <c r="A2015" s="286"/>
      <c r="B2015" s="286"/>
      <c r="C2015" s="287"/>
      <c r="D2015" s="286"/>
      <c r="E2015" s="286"/>
    </row>
    <row r="2016">
      <c r="A2016" s="286"/>
      <c r="B2016" s="286"/>
      <c r="C2016" s="287"/>
      <c r="D2016" s="286"/>
      <c r="E2016" s="286"/>
    </row>
    <row r="2017">
      <c r="A2017" s="286"/>
      <c r="B2017" s="286"/>
      <c r="C2017" s="287"/>
      <c r="D2017" s="286"/>
      <c r="E2017" s="286"/>
    </row>
    <row r="2018">
      <c r="A2018" s="286"/>
      <c r="B2018" s="286"/>
      <c r="C2018" s="287"/>
      <c r="D2018" s="286"/>
      <c r="E2018" s="286"/>
    </row>
    <row r="2019">
      <c r="A2019" s="286"/>
      <c r="B2019" s="286"/>
      <c r="C2019" s="287"/>
      <c r="D2019" s="286"/>
      <c r="E2019" s="286"/>
    </row>
    <row r="2020">
      <c r="A2020" s="286"/>
      <c r="B2020" s="286"/>
      <c r="C2020" s="287"/>
      <c r="D2020" s="286"/>
      <c r="E2020" s="286"/>
    </row>
    <row r="2021">
      <c r="A2021" s="286"/>
      <c r="B2021" s="286"/>
      <c r="C2021" s="287"/>
      <c r="D2021" s="286"/>
      <c r="E2021" s="286"/>
    </row>
    <row r="2022">
      <c r="A2022" s="286"/>
      <c r="B2022" s="286"/>
      <c r="C2022" s="287"/>
      <c r="D2022" s="286"/>
      <c r="E2022" s="286"/>
    </row>
    <row r="2023">
      <c r="A2023" s="286"/>
      <c r="B2023" s="286"/>
      <c r="C2023" s="287"/>
      <c r="D2023" s="286"/>
      <c r="E2023" s="286"/>
    </row>
    <row r="2024">
      <c r="A2024" s="286"/>
      <c r="B2024" s="286"/>
      <c r="C2024" s="287"/>
      <c r="D2024" s="286"/>
      <c r="E2024" s="286"/>
    </row>
    <row r="2025">
      <c r="A2025" s="286"/>
      <c r="B2025" s="286"/>
      <c r="C2025" s="287"/>
      <c r="D2025" s="286"/>
      <c r="E2025" s="286"/>
    </row>
    <row r="2026">
      <c r="A2026" s="286"/>
      <c r="B2026" s="286"/>
      <c r="C2026" s="287"/>
      <c r="D2026" s="286"/>
      <c r="E2026" s="286"/>
    </row>
    <row r="2027">
      <c r="A2027" s="286"/>
      <c r="B2027" s="286"/>
      <c r="C2027" s="287"/>
      <c r="D2027" s="286"/>
      <c r="E2027" s="286"/>
    </row>
    <row r="2028">
      <c r="A2028" s="286"/>
      <c r="B2028" s="286"/>
      <c r="C2028" s="287"/>
      <c r="D2028" s="286"/>
      <c r="E2028" s="286"/>
    </row>
    <row r="2029">
      <c r="A2029" s="286"/>
      <c r="B2029" s="286"/>
      <c r="C2029" s="287"/>
      <c r="D2029" s="286"/>
      <c r="E2029" s="286"/>
    </row>
    <row r="2030">
      <c r="A2030" s="286"/>
      <c r="B2030" s="286"/>
      <c r="C2030" s="287"/>
      <c r="D2030" s="286"/>
      <c r="E2030" s="286"/>
    </row>
    <row r="2031">
      <c r="A2031" s="286"/>
      <c r="B2031" s="286"/>
      <c r="C2031" s="287"/>
      <c r="D2031" s="286"/>
      <c r="E2031" s="286"/>
    </row>
    <row r="2032">
      <c r="A2032" s="286"/>
      <c r="B2032" s="286"/>
      <c r="C2032" s="287"/>
      <c r="D2032" s="286"/>
      <c r="E2032" s="286"/>
    </row>
    <row r="2033">
      <c r="A2033" s="286"/>
      <c r="B2033" s="286"/>
      <c r="C2033" s="287"/>
      <c r="D2033" s="286"/>
      <c r="E2033" s="286"/>
    </row>
    <row r="2034">
      <c r="A2034" s="286"/>
      <c r="B2034" s="286"/>
      <c r="C2034" s="287"/>
      <c r="D2034" s="286"/>
      <c r="E2034" s="286"/>
    </row>
    <row r="2035">
      <c r="A2035" s="286"/>
      <c r="B2035" s="286"/>
      <c r="C2035" s="287"/>
      <c r="D2035" s="286"/>
      <c r="E2035" s="286"/>
    </row>
    <row r="2036">
      <c r="A2036" s="286"/>
      <c r="B2036" s="286"/>
      <c r="C2036" s="287"/>
      <c r="D2036" s="286"/>
      <c r="E2036" s="286"/>
    </row>
    <row r="2037">
      <c r="A2037" s="286"/>
      <c r="B2037" s="286"/>
      <c r="C2037" s="287"/>
      <c r="D2037" s="286"/>
      <c r="E2037" s="286"/>
    </row>
    <row r="2038">
      <c r="A2038" s="286"/>
      <c r="B2038" s="286"/>
      <c r="C2038" s="287"/>
      <c r="D2038" s="286"/>
      <c r="E2038" s="286"/>
    </row>
    <row r="2039">
      <c r="A2039" s="286"/>
      <c r="B2039" s="286"/>
      <c r="C2039" s="287"/>
      <c r="D2039" s="286"/>
      <c r="E2039" s="286"/>
    </row>
    <row r="2040">
      <c r="A2040" s="286"/>
      <c r="B2040" s="286"/>
      <c r="C2040" s="287"/>
      <c r="D2040" s="286"/>
      <c r="E2040" s="286"/>
    </row>
    <row r="2041">
      <c r="A2041" s="286"/>
      <c r="B2041" s="286"/>
      <c r="C2041" s="287"/>
      <c r="D2041" s="286"/>
      <c r="E2041" s="286"/>
    </row>
    <row r="2042">
      <c r="A2042" s="286"/>
      <c r="B2042" s="286"/>
      <c r="C2042" s="287"/>
      <c r="D2042" s="286"/>
      <c r="E2042" s="286"/>
    </row>
    <row r="2043">
      <c r="A2043" s="286"/>
      <c r="B2043" s="286"/>
      <c r="C2043" s="287"/>
      <c r="D2043" s="286"/>
      <c r="E2043" s="286"/>
    </row>
    <row r="2044">
      <c r="A2044" s="286"/>
      <c r="B2044" s="286"/>
      <c r="C2044" s="287"/>
      <c r="D2044" s="286"/>
      <c r="E2044" s="286"/>
    </row>
    <row r="2045">
      <c r="A2045" s="286"/>
      <c r="B2045" s="286"/>
      <c r="C2045" s="287"/>
      <c r="D2045" s="286"/>
      <c r="E2045" s="286"/>
    </row>
    <row r="2046">
      <c r="A2046" s="286"/>
      <c r="B2046" s="286"/>
      <c r="C2046" s="287"/>
      <c r="D2046" s="286"/>
      <c r="E2046" s="286"/>
    </row>
    <row r="2047">
      <c r="A2047" s="286"/>
      <c r="B2047" s="286"/>
      <c r="C2047" s="287"/>
      <c r="D2047" s="286"/>
      <c r="E2047" s="286"/>
    </row>
    <row r="2048">
      <c r="A2048" s="286"/>
      <c r="B2048" s="286"/>
      <c r="C2048" s="287"/>
      <c r="D2048" s="286"/>
      <c r="E2048" s="286"/>
    </row>
    <row r="2049">
      <c r="A2049" s="286"/>
      <c r="B2049" s="286"/>
      <c r="C2049" s="287"/>
      <c r="D2049" s="286"/>
      <c r="E2049" s="286"/>
    </row>
    <row r="2050">
      <c r="A2050" s="286"/>
      <c r="B2050" s="286"/>
      <c r="C2050" s="287"/>
      <c r="D2050" s="286"/>
      <c r="E2050" s="286"/>
    </row>
    <row r="2051">
      <c r="A2051" s="286"/>
      <c r="B2051" s="286"/>
      <c r="C2051" s="287"/>
      <c r="D2051" s="286"/>
      <c r="E2051" s="286"/>
    </row>
    <row r="2052">
      <c r="A2052" s="286"/>
      <c r="B2052" s="286"/>
      <c r="C2052" s="287"/>
      <c r="D2052" s="286"/>
      <c r="E2052" s="286"/>
    </row>
    <row r="2053">
      <c r="A2053" s="286"/>
      <c r="B2053" s="286"/>
      <c r="C2053" s="287"/>
      <c r="D2053" s="286"/>
      <c r="E2053" s="286"/>
    </row>
    <row r="2054">
      <c r="A2054" s="286"/>
      <c r="B2054" s="286"/>
      <c r="C2054" s="287"/>
      <c r="D2054" s="286"/>
      <c r="E2054" s="286"/>
    </row>
    <row r="2055">
      <c r="A2055" s="286"/>
      <c r="B2055" s="286"/>
      <c r="C2055" s="287"/>
      <c r="D2055" s="286"/>
      <c r="E2055" s="286"/>
    </row>
    <row r="2056">
      <c r="A2056" s="286"/>
      <c r="B2056" s="286"/>
      <c r="C2056" s="287"/>
      <c r="D2056" s="286"/>
      <c r="E2056" s="286"/>
    </row>
    <row r="2057">
      <c r="A2057" s="286"/>
      <c r="B2057" s="286"/>
      <c r="C2057" s="287"/>
      <c r="D2057" s="286"/>
      <c r="E2057" s="286"/>
    </row>
    <row r="2058">
      <c r="A2058" s="286"/>
      <c r="B2058" s="286"/>
      <c r="C2058" s="287"/>
      <c r="D2058" s="286"/>
      <c r="E2058" s="286"/>
    </row>
    <row r="2059">
      <c r="A2059" s="286"/>
      <c r="B2059" s="286"/>
      <c r="C2059" s="287"/>
      <c r="D2059" s="286"/>
      <c r="E2059" s="286"/>
    </row>
    <row r="2060">
      <c r="A2060" s="286"/>
      <c r="B2060" s="286"/>
      <c r="C2060" s="287"/>
      <c r="D2060" s="286"/>
      <c r="E2060" s="286"/>
    </row>
    <row r="2061">
      <c r="A2061" s="286"/>
      <c r="B2061" s="286"/>
      <c r="C2061" s="287"/>
      <c r="D2061" s="286"/>
      <c r="E2061" s="286"/>
    </row>
    <row r="2062">
      <c r="A2062" s="286"/>
      <c r="B2062" s="286"/>
      <c r="C2062" s="287"/>
      <c r="D2062" s="286"/>
      <c r="E2062" s="286"/>
    </row>
    <row r="2063">
      <c r="A2063" s="286"/>
      <c r="B2063" s="286"/>
      <c r="C2063" s="287"/>
      <c r="D2063" s="286"/>
      <c r="E2063" s="286"/>
    </row>
    <row r="2064">
      <c r="A2064" s="286"/>
      <c r="B2064" s="286"/>
      <c r="C2064" s="287"/>
      <c r="D2064" s="286"/>
      <c r="E2064" s="286"/>
    </row>
    <row r="2065">
      <c r="A2065" s="286"/>
      <c r="B2065" s="286"/>
      <c r="C2065" s="287"/>
      <c r="D2065" s="286"/>
      <c r="E2065" s="286"/>
    </row>
    <row r="2066">
      <c r="A2066" s="286"/>
      <c r="B2066" s="286"/>
      <c r="C2066" s="287"/>
      <c r="D2066" s="286"/>
      <c r="E2066" s="286"/>
    </row>
    <row r="2067">
      <c r="A2067" s="286"/>
      <c r="B2067" s="286"/>
      <c r="C2067" s="287"/>
      <c r="D2067" s="286"/>
      <c r="E2067" s="286"/>
    </row>
    <row r="2068">
      <c r="A2068" s="286"/>
      <c r="B2068" s="286"/>
      <c r="C2068" s="287"/>
      <c r="D2068" s="286"/>
      <c r="E2068" s="286"/>
    </row>
    <row r="2069">
      <c r="A2069" s="286"/>
      <c r="B2069" s="286"/>
      <c r="C2069" s="287"/>
      <c r="D2069" s="286"/>
      <c r="E2069" s="286"/>
    </row>
    <row r="2070">
      <c r="A2070" s="286"/>
      <c r="B2070" s="286"/>
      <c r="C2070" s="287"/>
      <c r="D2070" s="286"/>
      <c r="E2070" s="286"/>
    </row>
    <row r="2071">
      <c r="A2071" s="286"/>
      <c r="B2071" s="286"/>
      <c r="C2071" s="287"/>
      <c r="D2071" s="286"/>
      <c r="E2071" s="286"/>
    </row>
    <row r="2072">
      <c r="A2072" s="286"/>
      <c r="B2072" s="286"/>
      <c r="C2072" s="287"/>
      <c r="D2072" s="286"/>
      <c r="E2072" s="286"/>
    </row>
    <row r="2073">
      <c r="A2073" s="286"/>
      <c r="B2073" s="286"/>
      <c r="C2073" s="287"/>
      <c r="D2073" s="286"/>
      <c r="E2073" s="286"/>
    </row>
    <row r="2074">
      <c r="A2074" s="286"/>
      <c r="B2074" s="286"/>
      <c r="C2074" s="287"/>
      <c r="D2074" s="286"/>
      <c r="E2074" s="286"/>
    </row>
    <row r="2075">
      <c r="A2075" s="286"/>
      <c r="B2075" s="286"/>
      <c r="C2075" s="287"/>
      <c r="D2075" s="286"/>
      <c r="E2075" s="286"/>
    </row>
    <row r="2076">
      <c r="A2076" s="286"/>
      <c r="B2076" s="286"/>
      <c r="C2076" s="287"/>
      <c r="D2076" s="286"/>
      <c r="E2076" s="286"/>
    </row>
    <row r="2077">
      <c r="A2077" s="286"/>
      <c r="B2077" s="286"/>
      <c r="C2077" s="287"/>
      <c r="D2077" s="286"/>
      <c r="E2077" s="286"/>
    </row>
    <row r="2078">
      <c r="A2078" s="286"/>
      <c r="B2078" s="286"/>
      <c r="C2078" s="287"/>
      <c r="D2078" s="286"/>
      <c r="E2078" s="286"/>
    </row>
    <row r="2079">
      <c r="A2079" s="286"/>
      <c r="B2079" s="286"/>
      <c r="C2079" s="287"/>
      <c r="D2079" s="286"/>
      <c r="E2079" s="286"/>
    </row>
    <row r="2080">
      <c r="A2080" s="286"/>
      <c r="B2080" s="286"/>
      <c r="C2080" s="287"/>
      <c r="D2080" s="286"/>
      <c r="E2080" s="286"/>
    </row>
    <row r="2081">
      <c r="A2081" s="286"/>
      <c r="B2081" s="286"/>
      <c r="C2081" s="287"/>
      <c r="D2081" s="286"/>
      <c r="E2081" s="286"/>
    </row>
    <row r="2082">
      <c r="A2082" s="286"/>
      <c r="B2082" s="286"/>
      <c r="C2082" s="287"/>
      <c r="D2082" s="286"/>
      <c r="E2082" s="286"/>
    </row>
    <row r="2083">
      <c r="A2083" s="286"/>
      <c r="B2083" s="286"/>
      <c r="C2083" s="287"/>
      <c r="D2083" s="286"/>
      <c r="E2083" s="286"/>
    </row>
    <row r="2084">
      <c r="A2084" s="286"/>
      <c r="B2084" s="286"/>
      <c r="C2084" s="287"/>
      <c r="D2084" s="286"/>
      <c r="E2084" s="286"/>
    </row>
    <row r="2085">
      <c r="A2085" s="286"/>
      <c r="B2085" s="286"/>
      <c r="C2085" s="287"/>
      <c r="D2085" s="286"/>
      <c r="E2085" s="286"/>
    </row>
    <row r="2086">
      <c r="A2086" s="286"/>
      <c r="B2086" s="286"/>
      <c r="C2086" s="287"/>
      <c r="D2086" s="286"/>
      <c r="E2086" s="286"/>
    </row>
    <row r="2087">
      <c r="A2087" s="286"/>
      <c r="B2087" s="286"/>
      <c r="C2087" s="287"/>
      <c r="D2087" s="286"/>
      <c r="E2087" s="286"/>
    </row>
    <row r="2088">
      <c r="A2088" s="286"/>
      <c r="B2088" s="286"/>
      <c r="C2088" s="287"/>
      <c r="D2088" s="286"/>
      <c r="E2088" s="286"/>
    </row>
    <row r="2089">
      <c r="A2089" s="286"/>
      <c r="B2089" s="286"/>
      <c r="C2089" s="287"/>
      <c r="D2089" s="286"/>
      <c r="E2089" s="286"/>
    </row>
    <row r="2090">
      <c r="A2090" s="286"/>
      <c r="B2090" s="286"/>
      <c r="C2090" s="287"/>
      <c r="D2090" s="286"/>
      <c r="E2090" s="286"/>
    </row>
    <row r="2091">
      <c r="A2091" s="286"/>
      <c r="B2091" s="286"/>
      <c r="C2091" s="287"/>
      <c r="D2091" s="286"/>
      <c r="E2091" s="286"/>
    </row>
    <row r="2092">
      <c r="A2092" s="286"/>
      <c r="B2092" s="286"/>
      <c r="C2092" s="287"/>
      <c r="D2092" s="286"/>
      <c r="E2092" s="286"/>
    </row>
    <row r="2093">
      <c r="A2093" s="286"/>
      <c r="B2093" s="286"/>
      <c r="C2093" s="287"/>
      <c r="D2093" s="286"/>
      <c r="E2093" s="286"/>
    </row>
    <row r="2094">
      <c r="A2094" s="286"/>
      <c r="B2094" s="286"/>
      <c r="C2094" s="287"/>
      <c r="D2094" s="286"/>
      <c r="E2094" s="286"/>
    </row>
    <row r="2095">
      <c r="A2095" s="286"/>
      <c r="B2095" s="286"/>
      <c r="C2095" s="287"/>
      <c r="D2095" s="286"/>
      <c r="E2095" s="286"/>
    </row>
    <row r="2096">
      <c r="A2096" s="286"/>
      <c r="B2096" s="286"/>
      <c r="C2096" s="287"/>
      <c r="D2096" s="286"/>
      <c r="E2096" s="286"/>
    </row>
    <row r="2097">
      <c r="A2097" s="286"/>
      <c r="B2097" s="286"/>
      <c r="C2097" s="287"/>
      <c r="D2097" s="286"/>
      <c r="E2097" s="286"/>
    </row>
    <row r="2098">
      <c r="A2098" s="286"/>
      <c r="B2098" s="286"/>
      <c r="C2098" s="287"/>
      <c r="D2098" s="286"/>
      <c r="E2098" s="286"/>
    </row>
    <row r="2099">
      <c r="A2099" s="286"/>
      <c r="B2099" s="286"/>
      <c r="C2099" s="287"/>
      <c r="D2099" s="286"/>
      <c r="E2099" s="286"/>
    </row>
    <row r="2100">
      <c r="A2100" s="286"/>
      <c r="B2100" s="286"/>
      <c r="C2100" s="287"/>
      <c r="D2100" s="286"/>
      <c r="E2100" s="286"/>
    </row>
    <row r="2101">
      <c r="A2101" s="286"/>
      <c r="B2101" s="286"/>
      <c r="C2101" s="287"/>
      <c r="D2101" s="286"/>
      <c r="E2101" s="286"/>
    </row>
    <row r="2102">
      <c r="A2102" s="286"/>
      <c r="B2102" s="286"/>
      <c r="C2102" s="287"/>
      <c r="D2102" s="286"/>
      <c r="E2102" s="286"/>
    </row>
    <row r="2103">
      <c r="A2103" s="286"/>
      <c r="B2103" s="286"/>
      <c r="C2103" s="287"/>
      <c r="D2103" s="286"/>
      <c r="E2103" s="286"/>
    </row>
    <row r="2104">
      <c r="A2104" s="286"/>
      <c r="B2104" s="286"/>
      <c r="C2104" s="287"/>
      <c r="D2104" s="286"/>
      <c r="E2104" s="286"/>
    </row>
    <row r="2105">
      <c r="A2105" s="286"/>
      <c r="B2105" s="286"/>
      <c r="C2105" s="287"/>
      <c r="D2105" s="286"/>
      <c r="E2105" s="286"/>
    </row>
    <row r="2106">
      <c r="A2106" s="286"/>
      <c r="B2106" s="286"/>
      <c r="C2106" s="287"/>
      <c r="D2106" s="286"/>
      <c r="E2106" s="286"/>
    </row>
    <row r="2107">
      <c r="A2107" s="286"/>
      <c r="B2107" s="286"/>
      <c r="C2107" s="287"/>
      <c r="D2107" s="286"/>
      <c r="E2107" s="286"/>
    </row>
    <row r="2108">
      <c r="A2108" s="286"/>
      <c r="B2108" s="286"/>
      <c r="C2108" s="287"/>
      <c r="D2108" s="286"/>
      <c r="E2108" s="286"/>
    </row>
    <row r="2109">
      <c r="A2109" s="286"/>
      <c r="B2109" s="286"/>
      <c r="C2109" s="287"/>
      <c r="D2109" s="286"/>
      <c r="E2109" s="286"/>
    </row>
    <row r="2110">
      <c r="A2110" s="286"/>
      <c r="B2110" s="286"/>
      <c r="C2110" s="287"/>
      <c r="D2110" s="286"/>
      <c r="E2110" s="286"/>
    </row>
    <row r="2111">
      <c r="A2111" s="286"/>
      <c r="B2111" s="286"/>
      <c r="C2111" s="287"/>
      <c r="D2111" s="286"/>
      <c r="E2111" s="286"/>
    </row>
    <row r="2112">
      <c r="A2112" s="286"/>
      <c r="B2112" s="286"/>
      <c r="C2112" s="287"/>
      <c r="D2112" s="286"/>
      <c r="E2112" s="286"/>
    </row>
    <row r="2113">
      <c r="A2113" s="286"/>
      <c r="B2113" s="286"/>
      <c r="C2113" s="287"/>
      <c r="D2113" s="286"/>
      <c r="E2113" s="286"/>
    </row>
    <row r="2114">
      <c r="A2114" s="286"/>
      <c r="B2114" s="286"/>
      <c r="C2114" s="287"/>
      <c r="D2114" s="286"/>
      <c r="E2114" s="286"/>
    </row>
    <row r="2115">
      <c r="A2115" s="286"/>
      <c r="B2115" s="286"/>
      <c r="C2115" s="287"/>
      <c r="D2115" s="286"/>
      <c r="E2115" s="286"/>
    </row>
    <row r="2116">
      <c r="A2116" s="286"/>
      <c r="B2116" s="286"/>
      <c r="C2116" s="287"/>
      <c r="D2116" s="286"/>
      <c r="E2116" s="286"/>
    </row>
    <row r="2117">
      <c r="A2117" s="286"/>
      <c r="B2117" s="286"/>
      <c r="C2117" s="287"/>
      <c r="D2117" s="286"/>
      <c r="E2117" s="286"/>
    </row>
    <row r="2118">
      <c r="A2118" s="286"/>
      <c r="B2118" s="286"/>
      <c r="C2118" s="287"/>
      <c r="D2118" s="286"/>
      <c r="E2118" s="286"/>
    </row>
    <row r="2119">
      <c r="A2119" s="286"/>
      <c r="B2119" s="286"/>
      <c r="C2119" s="287"/>
      <c r="D2119" s="286"/>
      <c r="E2119" s="286"/>
    </row>
    <row r="2120">
      <c r="A2120" s="286"/>
      <c r="B2120" s="286"/>
      <c r="C2120" s="287"/>
      <c r="D2120" s="286"/>
      <c r="E2120" s="286"/>
    </row>
    <row r="2121">
      <c r="A2121" s="286"/>
      <c r="B2121" s="286"/>
      <c r="C2121" s="287"/>
      <c r="D2121" s="286"/>
      <c r="E2121" s="286"/>
    </row>
    <row r="2122">
      <c r="A2122" s="286"/>
      <c r="B2122" s="286"/>
      <c r="C2122" s="287"/>
      <c r="D2122" s="286"/>
      <c r="E2122" s="286"/>
    </row>
    <row r="2123">
      <c r="A2123" s="286"/>
      <c r="B2123" s="286"/>
      <c r="C2123" s="287"/>
      <c r="D2123" s="286"/>
      <c r="E2123" s="286"/>
    </row>
    <row r="2124">
      <c r="A2124" s="286"/>
      <c r="B2124" s="286"/>
      <c r="C2124" s="287"/>
      <c r="D2124" s="286"/>
      <c r="E2124" s="286"/>
    </row>
    <row r="2125">
      <c r="A2125" s="286"/>
      <c r="B2125" s="286"/>
      <c r="C2125" s="287"/>
      <c r="D2125" s="286"/>
      <c r="E2125" s="286"/>
    </row>
    <row r="2126">
      <c r="A2126" s="286"/>
      <c r="B2126" s="286"/>
      <c r="C2126" s="287"/>
      <c r="D2126" s="286"/>
      <c r="E2126" s="286"/>
    </row>
    <row r="2127">
      <c r="A2127" s="286"/>
      <c r="B2127" s="286"/>
      <c r="C2127" s="287"/>
      <c r="D2127" s="286"/>
      <c r="E2127" s="286"/>
    </row>
    <row r="2128">
      <c r="A2128" s="286"/>
      <c r="B2128" s="286"/>
      <c r="C2128" s="287"/>
      <c r="D2128" s="286"/>
      <c r="E2128" s="286"/>
    </row>
    <row r="2129">
      <c r="A2129" s="286"/>
      <c r="B2129" s="286"/>
      <c r="C2129" s="287"/>
      <c r="D2129" s="286"/>
      <c r="E2129" s="286"/>
    </row>
    <row r="2130">
      <c r="A2130" s="286"/>
      <c r="B2130" s="286"/>
      <c r="C2130" s="287"/>
      <c r="D2130" s="286"/>
      <c r="E2130" s="286"/>
    </row>
    <row r="2131">
      <c r="A2131" s="286"/>
      <c r="B2131" s="286"/>
      <c r="C2131" s="287"/>
      <c r="D2131" s="286"/>
      <c r="E2131" s="286"/>
    </row>
    <row r="2132">
      <c r="A2132" s="286"/>
      <c r="B2132" s="286"/>
      <c r="C2132" s="287"/>
      <c r="D2132" s="286"/>
      <c r="E2132" s="286"/>
    </row>
    <row r="2133">
      <c r="A2133" s="286"/>
      <c r="B2133" s="286"/>
      <c r="C2133" s="287"/>
      <c r="D2133" s="286"/>
      <c r="E2133" s="286"/>
    </row>
    <row r="2134">
      <c r="A2134" s="286"/>
      <c r="B2134" s="286"/>
      <c r="C2134" s="287"/>
      <c r="D2134" s="286"/>
      <c r="E2134" s="286"/>
    </row>
    <row r="2135">
      <c r="A2135" s="286"/>
      <c r="B2135" s="286"/>
      <c r="C2135" s="287"/>
      <c r="D2135" s="286"/>
      <c r="E2135" s="286"/>
    </row>
    <row r="2136">
      <c r="A2136" s="286"/>
      <c r="B2136" s="286"/>
      <c r="C2136" s="287"/>
      <c r="D2136" s="286"/>
      <c r="E2136" s="286"/>
    </row>
    <row r="2137">
      <c r="A2137" s="286"/>
      <c r="B2137" s="286"/>
      <c r="C2137" s="287"/>
      <c r="D2137" s="286"/>
      <c r="E2137" s="286"/>
    </row>
    <row r="2138">
      <c r="A2138" s="286"/>
      <c r="B2138" s="286"/>
      <c r="C2138" s="287"/>
      <c r="D2138" s="286"/>
      <c r="E2138" s="286"/>
    </row>
    <row r="2139">
      <c r="A2139" s="286"/>
      <c r="B2139" s="286"/>
      <c r="C2139" s="287"/>
      <c r="D2139" s="286"/>
      <c r="E2139" s="286"/>
    </row>
    <row r="2140">
      <c r="A2140" s="286"/>
      <c r="B2140" s="286"/>
      <c r="C2140" s="287"/>
      <c r="D2140" s="286"/>
      <c r="E2140" s="286"/>
    </row>
    <row r="2141">
      <c r="A2141" s="286"/>
      <c r="B2141" s="286"/>
      <c r="C2141" s="287"/>
      <c r="D2141" s="286"/>
      <c r="E2141" s="286"/>
    </row>
    <row r="2142">
      <c r="A2142" s="286"/>
      <c r="B2142" s="286"/>
      <c r="C2142" s="287"/>
      <c r="D2142" s="286"/>
      <c r="E2142" s="286"/>
    </row>
    <row r="2143">
      <c r="A2143" s="286"/>
      <c r="B2143" s="286"/>
      <c r="C2143" s="287"/>
      <c r="D2143" s="286"/>
      <c r="E2143" s="286"/>
    </row>
    <row r="2144">
      <c r="A2144" s="286"/>
      <c r="B2144" s="286"/>
      <c r="C2144" s="287"/>
      <c r="D2144" s="286"/>
      <c r="E2144" s="286"/>
    </row>
    <row r="2145">
      <c r="A2145" s="286"/>
      <c r="B2145" s="286"/>
      <c r="C2145" s="287"/>
      <c r="D2145" s="286"/>
      <c r="E2145" s="286"/>
    </row>
    <row r="2146">
      <c r="A2146" s="286"/>
      <c r="B2146" s="286"/>
      <c r="C2146" s="287"/>
      <c r="D2146" s="286"/>
      <c r="E2146" s="286"/>
    </row>
    <row r="2147">
      <c r="A2147" s="286"/>
      <c r="B2147" s="286"/>
      <c r="C2147" s="287"/>
      <c r="D2147" s="286"/>
      <c r="E2147" s="286"/>
    </row>
    <row r="2148">
      <c r="A2148" s="286"/>
      <c r="B2148" s="286"/>
      <c r="C2148" s="287"/>
      <c r="D2148" s="286"/>
      <c r="E2148" s="286"/>
    </row>
    <row r="2149">
      <c r="A2149" s="286"/>
      <c r="B2149" s="286"/>
      <c r="C2149" s="287"/>
      <c r="D2149" s="286"/>
      <c r="E2149" s="286"/>
    </row>
    <row r="2150">
      <c r="A2150" s="286"/>
      <c r="B2150" s="286"/>
      <c r="C2150" s="287"/>
      <c r="D2150" s="286"/>
      <c r="E2150" s="286"/>
    </row>
    <row r="2151">
      <c r="A2151" s="286"/>
      <c r="B2151" s="286"/>
      <c r="C2151" s="287"/>
      <c r="D2151" s="286"/>
      <c r="E2151" s="286"/>
    </row>
    <row r="2152">
      <c r="A2152" s="286"/>
      <c r="B2152" s="286"/>
      <c r="C2152" s="287"/>
      <c r="D2152" s="286"/>
      <c r="E2152" s="286"/>
    </row>
    <row r="2153">
      <c r="A2153" s="286"/>
      <c r="B2153" s="286"/>
      <c r="C2153" s="287"/>
      <c r="D2153" s="286"/>
      <c r="E2153" s="286"/>
    </row>
    <row r="2154">
      <c r="A2154" s="286"/>
      <c r="B2154" s="286"/>
      <c r="C2154" s="287"/>
      <c r="D2154" s="286"/>
      <c r="E2154" s="286"/>
    </row>
    <row r="2155">
      <c r="A2155" s="286"/>
      <c r="B2155" s="286"/>
      <c r="C2155" s="287"/>
      <c r="D2155" s="286"/>
      <c r="E2155" s="286"/>
    </row>
    <row r="2156">
      <c r="A2156" s="286"/>
      <c r="B2156" s="286"/>
      <c r="C2156" s="287"/>
      <c r="D2156" s="286"/>
      <c r="E2156" s="286"/>
    </row>
    <row r="2157">
      <c r="A2157" s="286"/>
      <c r="B2157" s="286"/>
      <c r="C2157" s="287"/>
      <c r="D2157" s="286"/>
      <c r="E2157" s="286"/>
    </row>
    <row r="2158">
      <c r="A2158" s="286"/>
      <c r="B2158" s="286"/>
      <c r="C2158" s="287"/>
      <c r="D2158" s="286"/>
      <c r="E2158" s="286"/>
    </row>
    <row r="2159">
      <c r="A2159" s="286"/>
      <c r="B2159" s="286"/>
      <c r="C2159" s="287"/>
      <c r="D2159" s="286"/>
      <c r="E2159" s="286"/>
    </row>
    <row r="2160">
      <c r="A2160" s="286"/>
      <c r="B2160" s="286"/>
      <c r="C2160" s="287"/>
      <c r="D2160" s="286"/>
      <c r="E2160" s="286"/>
    </row>
    <row r="2161">
      <c r="A2161" s="286"/>
      <c r="B2161" s="286"/>
      <c r="C2161" s="287"/>
      <c r="D2161" s="286"/>
      <c r="E2161" s="286"/>
    </row>
    <row r="2162">
      <c r="A2162" s="286"/>
      <c r="B2162" s="286"/>
      <c r="C2162" s="287"/>
      <c r="D2162" s="286"/>
      <c r="E2162" s="286"/>
    </row>
    <row r="2163">
      <c r="A2163" s="286"/>
      <c r="B2163" s="286"/>
      <c r="C2163" s="287"/>
      <c r="D2163" s="286"/>
      <c r="E2163" s="286"/>
    </row>
    <row r="2164">
      <c r="A2164" s="286"/>
      <c r="B2164" s="286"/>
      <c r="C2164" s="287"/>
      <c r="D2164" s="286"/>
      <c r="E2164" s="286"/>
    </row>
    <row r="2165">
      <c r="A2165" s="286"/>
      <c r="B2165" s="286"/>
      <c r="C2165" s="287"/>
      <c r="D2165" s="286"/>
      <c r="E2165" s="286"/>
    </row>
    <row r="2166">
      <c r="A2166" s="286"/>
      <c r="B2166" s="286"/>
      <c r="C2166" s="287"/>
      <c r="D2166" s="286"/>
      <c r="E2166" s="286"/>
    </row>
    <row r="2167">
      <c r="A2167" s="286"/>
      <c r="B2167" s="286"/>
      <c r="C2167" s="287"/>
      <c r="D2167" s="286"/>
      <c r="E2167" s="286"/>
    </row>
    <row r="2168">
      <c r="A2168" s="286"/>
      <c r="B2168" s="286"/>
      <c r="C2168" s="287"/>
      <c r="D2168" s="286"/>
      <c r="E2168" s="286"/>
    </row>
    <row r="2169">
      <c r="A2169" s="286"/>
      <c r="B2169" s="286"/>
      <c r="C2169" s="287"/>
      <c r="D2169" s="286"/>
      <c r="E2169" s="286"/>
    </row>
    <row r="2170">
      <c r="A2170" s="286"/>
      <c r="B2170" s="286"/>
      <c r="C2170" s="287"/>
      <c r="D2170" s="286"/>
      <c r="E2170" s="286"/>
    </row>
    <row r="2171">
      <c r="A2171" s="286"/>
      <c r="B2171" s="286"/>
      <c r="C2171" s="287"/>
      <c r="D2171" s="286"/>
      <c r="E2171" s="286"/>
    </row>
    <row r="2172">
      <c r="A2172" s="286"/>
      <c r="B2172" s="286"/>
      <c r="C2172" s="287"/>
      <c r="D2172" s="286"/>
      <c r="E2172" s="286"/>
    </row>
    <row r="2173">
      <c r="A2173" s="286"/>
      <c r="B2173" s="286"/>
      <c r="C2173" s="287"/>
      <c r="D2173" s="286"/>
      <c r="E2173" s="286"/>
    </row>
    <row r="2174">
      <c r="A2174" s="286"/>
      <c r="B2174" s="286"/>
      <c r="C2174" s="287"/>
      <c r="D2174" s="286"/>
      <c r="E2174" s="286"/>
    </row>
    <row r="2175">
      <c r="A2175" s="286"/>
      <c r="B2175" s="286"/>
      <c r="C2175" s="287"/>
      <c r="D2175" s="286"/>
      <c r="E2175" s="286"/>
    </row>
    <row r="2176">
      <c r="A2176" s="286"/>
      <c r="B2176" s="286"/>
      <c r="C2176" s="287"/>
      <c r="D2176" s="286"/>
      <c r="E2176" s="286"/>
    </row>
    <row r="2177">
      <c r="A2177" s="286"/>
      <c r="B2177" s="286"/>
      <c r="C2177" s="287"/>
      <c r="D2177" s="286"/>
      <c r="E2177" s="286"/>
    </row>
    <row r="2178">
      <c r="A2178" s="286"/>
      <c r="B2178" s="286"/>
      <c r="C2178" s="287"/>
      <c r="D2178" s="286"/>
      <c r="E2178" s="286"/>
    </row>
    <row r="2179">
      <c r="A2179" s="286"/>
      <c r="B2179" s="286"/>
      <c r="C2179" s="287"/>
      <c r="D2179" s="286"/>
      <c r="E2179" s="286"/>
    </row>
    <row r="2180">
      <c r="A2180" s="286"/>
      <c r="B2180" s="286"/>
      <c r="C2180" s="287"/>
      <c r="D2180" s="286"/>
      <c r="E2180" s="286"/>
    </row>
    <row r="2181">
      <c r="A2181" s="286"/>
      <c r="B2181" s="286"/>
      <c r="C2181" s="287"/>
      <c r="D2181" s="286"/>
      <c r="E2181" s="286"/>
    </row>
    <row r="2182">
      <c r="A2182" s="286"/>
      <c r="B2182" s="286"/>
      <c r="C2182" s="287"/>
      <c r="D2182" s="286"/>
      <c r="E2182" s="286"/>
    </row>
    <row r="2183">
      <c r="A2183" s="286"/>
      <c r="B2183" s="286"/>
      <c r="C2183" s="287"/>
      <c r="D2183" s="286"/>
      <c r="E2183" s="286"/>
    </row>
    <row r="2184">
      <c r="A2184" s="286"/>
      <c r="B2184" s="286"/>
      <c r="C2184" s="287"/>
      <c r="D2184" s="286"/>
      <c r="E2184" s="286"/>
    </row>
    <row r="2185">
      <c r="A2185" s="286"/>
      <c r="B2185" s="286"/>
      <c r="C2185" s="287"/>
      <c r="D2185" s="286"/>
      <c r="E2185" s="286"/>
    </row>
    <row r="2186">
      <c r="A2186" s="286"/>
      <c r="B2186" s="286"/>
      <c r="C2186" s="287"/>
      <c r="D2186" s="286"/>
      <c r="E2186" s="286"/>
    </row>
    <row r="2187">
      <c r="A2187" s="286"/>
      <c r="B2187" s="286"/>
      <c r="C2187" s="287"/>
      <c r="D2187" s="286"/>
      <c r="E2187" s="286"/>
    </row>
    <row r="2188">
      <c r="A2188" s="286"/>
      <c r="B2188" s="286"/>
      <c r="C2188" s="287"/>
      <c r="D2188" s="286"/>
      <c r="E2188" s="286"/>
    </row>
    <row r="2189">
      <c r="A2189" s="286"/>
      <c r="B2189" s="286"/>
      <c r="C2189" s="287"/>
      <c r="D2189" s="286"/>
      <c r="E2189" s="286"/>
    </row>
    <row r="2190">
      <c r="A2190" s="286"/>
      <c r="B2190" s="286"/>
      <c r="C2190" s="287"/>
      <c r="D2190" s="286"/>
      <c r="E2190" s="286"/>
    </row>
    <row r="2191">
      <c r="A2191" s="286"/>
      <c r="B2191" s="286"/>
      <c r="C2191" s="287"/>
      <c r="D2191" s="286"/>
      <c r="E2191" s="286"/>
    </row>
    <row r="2192">
      <c r="A2192" s="286"/>
      <c r="B2192" s="286"/>
      <c r="C2192" s="287"/>
      <c r="D2192" s="286"/>
      <c r="E2192" s="286"/>
    </row>
    <row r="2193">
      <c r="A2193" s="286"/>
      <c r="B2193" s="286"/>
      <c r="C2193" s="287"/>
      <c r="D2193" s="286"/>
      <c r="E2193" s="286"/>
    </row>
    <row r="2194">
      <c r="A2194" s="286"/>
      <c r="B2194" s="286"/>
      <c r="C2194" s="287"/>
      <c r="D2194" s="286"/>
      <c r="E2194" s="286"/>
    </row>
    <row r="2195">
      <c r="A2195" s="286"/>
      <c r="B2195" s="286"/>
      <c r="C2195" s="287"/>
      <c r="D2195" s="286"/>
      <c r="E2195" s="286"/>
    </row>
    <row r="2196">
      <c r="A2196" s="286"/>
      <c r="B2196" s="286"/>
      <c r="C2196" s="287"/>
      <c r="D2196" s="286"/>
      <c r="E2196" s="286"/>
    </row>
    <row r="2197">
      <c r="A2197" s="286"/>
      <c r="B2197" s="286"/>
      <c r="C2197" s="287"/>
      <c r="D2197" s="286"/>
      <c r="E2197" s="286"/>
    </row>
    <row r="2198">
      <c r="A2198" s="286"/>
      <c r="B2198" s="286"/>
      <c r="C2198" s="287"/>
      <c r="D2198" s="286"/>
      <c r="E2198" s="286"/>
    </row>
    <row r="2199">
      <c r="A2199" s="286"/>
      <c r="B2199" s="286"/>
      <c r="C2199" s="287"/>
      <c r="D2199" s="286"/>
      <c r="E2199" s="286"/>
    </row>
    <row r="2200">
      <c r="A2200" s="286"/>
      <c r="B2200" s="286"/>
      <c r="C2200" s="287"/>
      <c r="D2200" s="286"/>
      <c r="E2200" s="286"/>
    </row>
    <row r="2201">
      <c r="A2201" s="286"/>
      <c r="B2201" s="286"/>
      <c r="C2201" s="287"/>
      <c r="D2201" s="286"/>
      <c r="E2201" s="286"/>
    </row>
    <row r="2202">
      <c r="A2202" s="286"/>
      <c r="B2202" s="286"/>
      <c r="C2202" s="287"/>
      <c r="D2202" s="286"/>
      <c r="E2202" s="286"/>
    </row>
    <row r="2203">
      <c r="A2203" s="286"/>
      <c r="B2203" s="286"/>
      <c r="C2203" s="287"/>
      <c r="D2203" s="286"/>
      <c r="E2203" s="286"/>
    </row>
    <row r="2204">
      <c r="A2204" s="286"/>
      <c r="B2204" s="286"/>
      <c r="C2204" s="287"/>
      <c r="D2204" s="286"/>
      <c r="E2204" s="286"/>
    </row>
    <row r="2205">
      <c r="A2205" s="286"/>
      <c r="B2205" s="286"/>
      <c r="C2205" s="287"/>
      <c r="D2205" s="286"/>
      <c r="E2205" s="286"/>
    </row>
    <row r="2206">
      <c r="A2206" s="286"/>
      <c r="B2206" s="286"/>
      <c r="C2206" s="287"/>
      <c r="D2206" s="286"/>
      <c r="E2206" s="286"/>
    </row>
    <row r="2207">
      <c r="A2207" s="286"/>
      <c r="B2207" s="286"/>
      <c r="C2207" s="287"/>
      <c r="D2207" s="286"/>
      <c r="E2207" s="286"/>
    </row>
    <row r="2208">
      <c r="A2208" s="286"/>
      <c r="B2208" s="286"/>
      <c r="C2208" s="287"/>
      <c r="D2208" s="286"/>
      <c r="E2208" s="286"/>
    </row>
    <row r="2209">
      <c r="A2209" s="286"/>
      <c r="B2209" s="286"/>
      <c r="C2209" s="287"/>
      <c r="D2209" s="286"/>
      <c r="E2209" s="286"/>
    </row>
    <row r="2210">
      <c r="A2210" s="286"/>
      <c r="B2210" s="286"/>
      <c r="C2210" s="287"/>
      <c r="D2210" s="286"/>
      <c r="E2210" s="286"/>
    </row>
    <row r="2211">
      <c r="A2211" s="286"/>
      <c r="B2211" s="286"/>
      <c r="C2211" s="287"/>
      <c r="D2211" s="286"/>
      <c r="E2211" s="286"/>
    </row>
    <row r="2212">
      <c r="A2212" s="286"/>
      <c r="B2212" s="286"/>
      <c r="C2212" s="287"/>
      <c r="D2212" s="286"/>
      <c r="E2212" s="286"/>
    </row>
    <row r="2213">
      <c r="A2213" s="286"/>
      <c r="B2213" s="286"/>
      <c r="C2213" s="287"/>
      <c r="D2213" s="286"/>
      <c r="E2213" s="286"/>
    </row>
    <row r="2214">
      <c r="A2214" s="286"/>
      <c r="B2214" s="286"/>
      <c r="C2214" s="287"/>
      <c r="D2214" s="286"/>
      <c r="E2214" s="286"/>
    </row>
    <row r="2215">
      <c r="A2215" s="286"/>
      <c r="B2215" s="286"/>
      <c r="C2215" s="287"/>
      <c r="D2215" s="286"/>
      <c r="E2215" s="286"/>
    </row>
    <row r="2216">
      <c r="A2216" s="286"/>
      <c r="B2216" s="286"/>
      <c r="C2216" s="287"/>
      <c r="D2216" s="286"/>
      <c r="E2216" s="286"/>
    </row>
    <row r="2217">
      <c r="A2217" s="286"/>
      <c r="B2217" s="286"/>
      <c r="C2217" s="287"/>
      <c r="D2217" s="286"/>
      <c r="E2217" s="286"/>
    </row>
    <row r="2218">
      <c r="A2218" s="286"/>
      <c r="B2218" s="286"/>
      <c r="C2218" s="287"/>
      <c r="D2218" s="286"/>
      <c r="E2218" s="286"/>
    </row>
    <row r="2219">
      <c r="A2219" s="286"/>
      <c r="B2219" s="286"/>
      <c r="C2219" s="287"/>
      <c r="D2219" s="286"/>
      <c r="E2219" s="286"/>
    </row>
    <row r="2220">
      <c r="A2220" s="286"/>
      <c r="B2220" s="286"/>
      <c r="C2220" s="287"/>
      <c r="D2220" s="286"/>
      <c r="E2220" s="286"/>
    </row>
    <row r="2221">
      <c r="A2221" s="286"/>
      <c r="B2221" s="286"/>
      <c r="C2221" s="287"/>
      <c r="D2221" s="286"/>
      <c r="E2221" s="286"/>
    </row>
    <row r="2222">
      <c r="A2222" s="286"/>
      <c r="B2222" s="286"/>
      <c r="C2222" s="287"/>
      <c r="D2222" s="286"/>
      <c r="E2222" s="286"/>
    </row>
    <row r="2223">
      <c r="A2223" s="286"/>
      <c r="B2223" s="286"/>
      <c r="C2223" s="287"/>
      <c r="D2223" s="286"/>
      <c r="E2223" s="286"/>
    </row>
    <row r="2224">
      <c r="A2224" s="286"/>
      <c r="B2224" s="286"/>
      <c r="C2224" s="287"/>
      <c r="D2224" s="286"/>
      <c r="E2224" s="286"/>
    </row>
    <row r="2225">
      <c r="A2225" s="286"/>
      <c r="B2225" s="286"/>
      <c r="C2225" s="287"/>
      <c r="D2225" s="286"/>
      <c r="E2225" s="286"/>
    </row>
    <row r="2226">
      <c r="A2226" s="286"/>
      <c r="B2226" s="286"/>
      <c r="C2226" s="287"/>
      <c r="D2226" s="286"/>
      <c r="E2226" s="286"/>
    </row>
    <row r="2227">
      <c r="A2227" s="286"/>
      <c r="B2227" s="286"/>
      <c r="C2227" s="287"/>
      <c r="D2227" s="286"/>
      <c r="E2227" s="286"/>
    </row>
    <row r="2228">
      <c r="A2228" s="286"/>
      <c r="B2228" s="286"/>
      <c r="C2228" s="287"/>
      <c r="D2228" s="286"/>
      <c r="E2228" s="286"/>
    </row>
    <row r="2229">
      <c r="A2229" s="286"/>
      <c r="B2229" s="286"/>
      <c r="C2229" s="287"/>
      <c r="D2229" s="286"/>
      <c r="E2229" s="286"/>
    </row>
    <row r="2230">
      <c r="A2230" s="286"/>
      <c r="B2230" s="286"/>
      <c r="C2230" s="287"/>
      <c r="D2230" s="286"/>
      <c r="E2230" s="286"/>
    </row>
    <row r="2231">
      <c r="A2231" s="286"/>
      <c r="B2231" s="286"/>
      <c r="C2231" s="287"/>
      <c r="D2231" s="286"/>
      <c r="E2231" s="286"/>
    </row>
    <row r="2232">
      <c r="A2232" s="286"/>
      <c r="B2232" s="286"/>
      <c r="C2232" s="287"/>
      <c r="D2232" s="286"/>
      <c r="E2232" s="286"/>
    </row>
    <row r="2233">
      <c r="A2233" s="286"/>
      <c r="B2233" s="286"/>
      <c r="C2233" s="287"/>
      <c r="D2233" s="286"/>
      <c r="E2233" s="286"/>
    </row>
    <row r="2234">
      <c r="A2234" s="286"/>
      <c r="B2234" s="286"/>
      <c r="C2234" s="287"/>
      <c r="D2234" s="286"/>
      <c r="E2234" s="286"/>
    </row>
    <row r="2235">
      <c r="A2235" s="286"/>
      <c r="B2235" s="286"/>
      <c r="C2235" s="287"/>
      <c r="D2235" s="286"/>
      <c r="E2235" s="286"/>
    </row>
    <row r="2236">
      <c r="A2236" s="286"/>
      <c r="B2236" s="286"/>
      <c r="C2236" s="287"/>
      <c r="D2236" s="286"/>
      <c r="E2236" s="286"/>
    </row>
    <row r="2237">
      <c r="A2237" s="286"/>
      <c r="B2237" s="286"/>
      <c r="C2237" s="287"/>
      <c r="D2237" s="286"/>
      <c r="E2237" s="286"/>
    </row>
    <row r="2238">
      <c r="A2238" s="286"/>
      <c r="B2238" s="286"/>
      <c r="C2238" s="287"/>
      <c r="D2238" s="286"/>
      <c r="E2238" s="286"/>
    </row>
    <row r="2239">
      <c r="A2239" s="286"/>
      <c r="B2239" s="286"/>
      <c r="C2239" s="287"/>
      <c r="D2239" s="286"/>
      <c r="E2239" s="286"/>
    </row>
    <row r="2240">
      <c r="A2240" s="286"/>
      <c r="B2240" s="286"/>
      <c r="C2240" s="287"/>
      <c r="D2240" s="286"/>
      <c r="E2240" s="286"/>
    </row>
    <row r="2241">
      <c r="A2241" s="286"/>
      <c r="B2241" s="286"/>
      <c r="C2241" s="287"/>
      <c r="D2241" s="286"/>
      <c r="E2241" s="286"/>
    </row>
    <row r="2242">
      <c r="A2242" s="286"/>
      <c r="B2242" s="286"/>
      <c r="C2242" s="287"/>
      <c r="D2242" s="286"/>
      <c r="E2242" s="286"/>
    </row>
    <row r="2243">
      <c r="A2243" s="286"/>
      <c r="B2243" s="286"/>
      <c r="C2243" s="287"/>
      <c r="D2243" s="286"/>
      <c r="E2243" s="286"/>
    </row>
    <row r="2244">
      <c r="A2244" s="286"/>
      <c r="B2244" s="286"/>
      <c r="C2244" s="287"/>
      <c r="D2244" s="286"/>
      <c r="E2244" s="286"/>
    </row>
    <row r="2245">
      <c r="A2245" s="286"/>
      <c r="B2245" s="286"/>
      <c r="C2245" s="287"/>
      <c r="D2245" s="286"/>
      <c r="E2245" s="286"/>
    </row>
    <row r="2246">
      <c r="A2246" s="286"/>
      <c r="B2246" s="286"/>
      <c r="C2246" s="287"/>
      <c r="D2246" s="286"/>
      <c r="E2246" s="286"/>
    </row>
    <row r="2247">
      <c r="A2247" s="286"/>
      <c r="B2247" s="286"/>
      <c r="C2247" s="287"/>
      <c r="D2247" s="286"/>
      <c r="E2247" s="286"/>
    </row>
    <row r="2248">
      <c r="A2248" s="286"/>
      <c r="B2248" s="286"/>
      <c r="C2248" s="287"/>
      <c r="D2248" s="286"/>
      <c r="E2248" s="286"/>
    </row>
    <row r="2249">
      <c r="A2249" s="286"/>
      <c r="B2249" s="286"/>
      <c r="C2249" s="287"/>
      <c r="D2249" s="286"/>
      <c r="E2249" s="286"/>
    </row>
    <row r="2250">
      <c r="A2250" s="286"/>
      <c r="B2250" s="286"/>
      <c r="C2250" s="287"/>
      <c r="D2250" s="286"/>
      <c r="E2250" s="286"/>
    </row>
    <row r="2251">
      <c r="A2251" s="286"/>
      <c r="B2251" s="286"/>
      <c r="C2251" s="287"/>
      <c r="D2251" s="286"/>
      <c r="E2251" s="286"/>
    </row>
    <row r="2252">
      <c r="A2252" s="286"/>
      <c r="B2252" s="286"/>
      <c r="C2252" s="287"/>
      <c r="D2252" s="286"/>
      <c r="E2252" s="286"/>
    </row>
    <row r="2253">
      <c r="A2253" s="286"/>
      <c r="B2253" s="286"/>
      <c r="C2253" s="287"/>
      <c r="D2253" s="286"/>
      <c r="E2253" s="286"/>
    </row>
    <row r="2254">
      <c r="A2254" s="286"/>
      <c r="B2254" s="286"/>
      <c r="C2254" s="287"/>
      <c r="D2254" s="286"/>
      <c r="E2254" s="286"/>
    </row>
    <row r="2255">
      <c r="A2255" s="286"/>
      <c r="B2255" s="286"/>
      <c r="C2255" s="287"/>
      <c r="D2255" s="286"/>
      <c r="E2255" s="286"/>
    </row>
    <row r="2256">
      <c r="A2256" s="286"/>
      <c r="B2256" s="286"/>
      <c r="C2256" s="287"/>
      <c r="D2256" s="286"/>
      <c r="E2256" s="286"/>
    </row>
    <row r="2257">
      <c r="A2257" s="286"/>
      <c r="B2257" s="286"/>
      <c r="C2257" s="287"/>
      <c r="D2257" s="286"/>
      <c r="E2257" s="286"/>
    </row>
    <row r="2258">
      <c r="A2258" s="286"/>
      <c r="B2258" s="286"/>
      <c r="C2258" s="287"/>
      <c r="D2258" s="286"/>
      <c r="E2258" s="286"/>
    </row>
    <row r="2259">
      <c r="A2259" s="286"/>
      <c r="B2259" s="286"/>
      <c r="C2259" s="287"/>
      <c r="D2259" s="286"/>
      <c r="E2259" s="286"/>
    </row>
    <row r="2260">
      <c r="A2260" s="286"/>
      <c r="B2260" s="286"/>
      <c r="C2260" s="287"/>
      <c r="D2260" s="286"/>
      <c r="E2260" s="286"/>
    </row>
    <row r="2261">
      <c r="A2261" s="286"/>
      <c r="B2261" s="286"/>
      <c r="C2261" s="287"/>
      <c r="D2261" s="286"/>
      <c r="E2261" s="286"/>
    </row>
    <row r="2262">
      <c r="A2262" s="286"/>
      <c r="B2262" s="286"/>
      <c r="C2262" s="287"/>
      <c r="D2262" s="286"/>
      <c r="E2262" s="286"/>
    </row>
    <row r="2263">
      <c r="A2263" s="286"/>
      <c r="B2263" s="286"/>
      <c r="C2263" s="287"/>
      <c r="D2263" s="286"/>
      <c r="E2263" s="286"/>
    </row>
    <row r="2264">
      <c r="A2264" s="286"/>
      <c r="B2264" s="286"/>
      <c r="C2264" s="287"/>
      <c r="D2264" s="286"/>
      <c r="E2264" s="286"/>
    </row>
    <row r="2265">
      <c r="A2265" s="286"/>
      <c r="B2265" s="286"/>
      <c r="C2265" s="287"/>
      <c r="D2265" s="286"/>
      <c r="E2265" s="286"/>
    </row>
    <row r="2266">
      <c r="A2266" s="286"/>
      <c r="B2266" s="286"/>
      <c r="C2266" s="287"/>
      <c r="D2266" s="286"/>
      <c r="E2266" s="286"/>
    </row>
    <row r="2267">
      <c r="A2267" s="286"/>
      <c r="B2267" s="286"/>
      <c r="C2267" s="287"/>
      <c r="D2267" s="286"/>
      <c r="E2267" s="286"/>
    </row>
    <row r="2268">
      <c r="A2268" s="286"/>
      <c r="B2268" s="286"/>
      <c r="C2268" s="287"/>
      <c r="D2268" s="286"/>
      <c r="E2268" s="286"/>
    </row>
    <row r="2269">
      <c r="A2269" s="286"/>
      <c r="B2269" s="286"/>
      <c r="C2269" s="287"/>
      <c r="D2269" s="286"/>
      <c r="E2269" s="286"/>
    </row>
    <row r="2270">
      <c r="A2270" s="286"/>
      <c r="B2270" s="286"/>
      <c r="C2270" s="287"/>
      <c r="D2270" s="286"/>
      <c r="E2270" s="286"/>
    </row>
    <row r="2271">
      <c r="A2271" s="286"/>
      <c r="B2271" s="286"/>
      <c r="C2271" s="287"/>
      <c r="D2271" s="286"/>
      <c r="E2271" s="286"/>
    </row>
    <row r="2272">
      <c r="A2272" s="286"/>
      <c r="B2272" s="286"/>
      <c r="C2272" s="287"/>
      <c r="D2272" s="286"/>
      <c r="E2272" s="286"/>
    </row>
    <row r="2273">
      <c r="A2273" s="286"/>
      <c r="B2273" s="286"/>
      <c r="C2273" s="287"/>
      <c r="D2273" s="286"/>
      <c r="E2273" s="286"/>
    </row>
    <row r="2274">
      <c r="A2274" s="286"/>
      <c r="B2274" s="286"/>
      <c r="C2274" s="287"/>
      <c r="D2274" s="286"/>
      <c r="E2274" s="286"/>
    </row>
    <row r="2275">
      <c r="A2275" s="286"/>
      <c r="B2275" s="286"/>
      <c r="C2275" s="287"/>
      <c r="D2275" s="286"/>
      <c r="E2275" s="286"/>
    </row>
    <row r="2276">
      <c r="A2276" s="286"/>
      <c r="B2276" s="286"/>
      <c r="C2276" s="287"/>
      <c r="D2276" s="286"/>
      <c r="E2276" s="286"/>
    </row>
    <row r="2277">
      <c r="A2277" s="286"/>
      <c r="B2277" s="286"/>
      <c r="C2277" s="287"/>
      <c r="D2277" s="286"/>
      <c r="E2277" s="286"/>
    </row>
    <row r="2278">
      <c r="A2278" s="286"/>
      <c r="B2278" s="286"/>
      <c r="C2278" s="287"/>
      <c r="D2278" s="286"/>
      <c r="E2278" s="286"/>
    </row>
    <row r="2279">
      <c r="A2279" s="286"/>
      <c r="B2279" s="286"/>
      <c r="C2279" s="287"/>
      <c r="D2279" s="286"/>
      <c r="E2279" s="286"/>
    </row>
    <row r="2280">
      <c r="A2280" s="286"/>
      <c r="B2280" s="286"/>
      <c r="C2280" s="287"/>
      <c r="D2280" s="286"/>
      <c r="E2280" s="286"/>
    </row>
    <row r="2281">
      <c r="A2281" s="286"/>
      <c r="B2281" s="286"/>
      <c r="C2281" s="287"/>
      <c r="D2281" s="286"/>
      <c r="E2281" s="286"/>
    </row>
    <row r="2282">
      <c r="A2282" s="286"/>
      <c r="B2282" s="286"/>
      <c r="C2282" s="287"/>
      <c r="D2282" s="286"/>
      <c r="E2282" s="286"/>
    </row>
    <row r="2283">
      <c r="A2283" s="286"/>
      <c r="B2283" s="286"/>
      <c r="C2283" s="287"/>
      <c r="D2283" s="286"/>
      <c r="E2283" s="286"/>
    </row>
    <row r="2284">
      <c r="A2284" s="286"/>
      <c r="B2284" s="286"/>
      <c r="C2284" s="287"/>
      <c r="D2284" s="286"/>
      <c r="E2284" s="286"/>
    </row>
    <row r="2285">
      <c r="A2285" s="286"/>
      <c r="B2285" s="286"/>
      <c r="C2285" s="287"/>
      <c r="D2285" s="286"/>
      <c r="E2285" s="286"/>
    </row>
    <row r="2286">
      <c r="A2286" s="286"/>
      <c r="B2286" s="286"/>
      <c r="C2286" s="287"/>
      <c r="D2286" s="286"/>
      <c r="E2286" s="286"/>
    </row>
    <row r="2287">
      <c r="A2287" s="286"/>
      <c r="B2287" s="286"/>
      <c r="C2287" s="287"/>
      <c r="D2287" s="286"/>
      <c r="E2287" s="286"/>
    </row>
    <row r="2288">
      <c r="A2288" s="286"/>
      <c r="B2288" s="286"/>
      <c r="C2288" s="287"/>
      <c r="D2288" s="286"/>
      <c r="E2288" s="286"/>
    </row>
    <row r="2289">
      <c r="A2289" s="286"/>
      <c r="B2289" s="286"/>
      <c r="C2289" s="287"/>
      <c r="D2289" s="286"/>
      <c r="E2289" s="286"/>
    </row>
    <row r="2290">
      <c r="A2290" s="286"/>
      <c r="B2290" s="286"/>
      <c r="C2290" s="287"/>
      <c r="D2290" s="286"/>
      <c r="E2290" s="286"/>
    </row>
    <row r="2291">
      <c r="A2291" s="286"/>
      <c r="B2291" s="286"/>
      <c r="C2291" s="287"/>
      <c r="D2291" s="286"/>
      <c r="E2291" s="286"/>
    </row>
    <row r="2292">
      <c r="A2292" s="286"/>
      <c r="B2292" s="286"/>
      <c r="C2292" s="287"/>
      <c r="D2292" s="286"/>
      <c r="E2292" s="286"/>
    </row>
    <row r="2293">
      <c r="A2293" s="286"/>
      <c r="B2293" s="286"/>
      <c r="C2293" s="287"/>
      <c r="D2293" s="286"/>
      <c r="E2293" s="286"/>
    </row>
    <row r="2294">
      <c r="A2294" s="286"/>
      <c r="B2294" s="286"/>
      <c r="C2294" s="287"/>
      <c r="D2294" s="286"/>
      <c r="E2294" s="286"/>
    </row>
    <row r="2295">
      <c r="A2295" s="286"/>
      <c r="B2295" s="286"/>
      <c r="C2295" s="287"/>
      <c r="D2295" s="286"/>
      <c r="E2295" s="286"/>
    </row>
    <row r="2296">
      <c r="A2296" s="286"/>
      <c r="B2296" s="286"/>
      <c r="C2296" s="287"/>
      <c r="D2296" s="286"/>
      <c r="E2296" s="286"/>
    </row>
    <row r="2297">
      <c r="A2297" s="286"/>
      <c r="B2297" s="286"/>
      <c r="C2297" s="287"/>
      <c r="D2297" s="286"/>
      <c r="E2297" s="286"/>
    </row>
    <row r="2298">
      <c r="A2298" s="286"/>
      <c r="B2298" s="286"/>
      <c r="C2298" s="287"/>
      <c r="D2298" s="286"/>
      <c r="E2298" s="286"/>
    </row>
    <row r="2299">
      <c r="A2299" s="286"/>
      <c r="B2299" s="286"/>
      <c r="C2299" s="287"/>
      <c r="D2299" s="286"/>
      <c r="E2299" s="286"/>
    </row>
    <row r="2300">
      <c r="A2300" s="286"/>
      <c r="B2300" s="286"/>
      <c r="C2300" s="287"/>
      <c r="D2300" s="286"/>
      <c r="E2300" s="286"/>
    </row>
    <row r="2301">
      <c r="A2301" s="286"/>
      <c r="B2301" s="286"/>
      <c r="C2301" s="287"/>
      <c r="D2301" s="286"/>
      <c r="E2301" s="286"/>
    </row>
    <row r="2302">
      <c r="A2302" s="286"/>
      <c r="B2302" s="286"/>
      <c r="C2302" s="287"/>
      <c r="D2302" s="286"/>
      <c r="E2302" s="286"/>
    </row>
    <row r="2303">
      <c r="A2303" s="286"/>
      <c r="B2303" s="286"/>
      <c r="C2303" s="287"/>
      <c r="D2303" s="286"/>
      <c r="E2303" s="286"/>
    </row>
    <row r="2304">
      <c r="A2304" s="286"/>
      <c r="B2304" s="286"/>
      <c r="C2304" s="287"/>
      <c r="D2304" s="286"/>
      <c r="E2304" s="286"/>
    </row>
    <row r="2305">
      <c r="A2305" s="286"/>
      <c r="B2305" s="286"/>
      <c r="C2305" s="287"/>
      <c r="D2305" s="286"/>
      <c r="E2305" s="286"/>
    </row>
    <row r="2306">
      <c r="A2306" s="286"/>
      <c r="B2306" s="286"/>
      <c r="C2306" s="287"/>
      <c r="D2306" s="286"/>
      <c r="E2306" s="286"/>
    </row>
    <row r="2307">
      <c r="A2307" s="286"/>
      <c r="B2307" s="286"/>
      <c r="C2307" s="287"/>
      <c r="D2307" s="286"/>
      <c r="E2307" s="286"/>
    </row>
    <row r="2308">
      <c r="A2308" s="286"/>
      <c r="B2308" s="286"/>
      <c r="C2308" s="287"/>
      <c r="D2308" s="286"/>
      <c r="E2308" s="286"/>
    </row>
    <row r="2309">
      <c r="A2309" s="286"/>
      <c r="B2309" s="286"/>
      <c r="C2309" s="287"/>
      <c r="D2309" s="286"/>
      <c r="E2309" s="286"/>
    </row>
    <row r="2310">
      <c r="A2310" s="286"/>
      <c r="B2310" s="286"/>
      <c r="C2310" s="287"/>
      <c r="D2310" s="286"/>
      <c r="E2310" s="286"/>
    </row>
    <row r="2311">
      <c r="A2311" s="286"/>
      <c r="B2311" s="286"/>
      <c r="C2311" s="287"/>
      <c r="D2311" s="286"/>
      <c r="E2311" s="286"/>
    </row>
    <row r="2312">
      <c r="A2312" s="286"/>
      <c r="B2312" s="286"/>
      <c r="C2312" s="287"/>
      <c r="D2312" s="286"/>
      <c r="E2312" s="286"/>
    </row>
    <row r="2313">
      <c r="A2313" s="286"/>
      <c r="B2313" s="286"/>
      <c r="C2313" s="287"/>
      <c r="D2313" s="286"/>
      <c r="E2313" s="286"/>
    </row>
    <row r="2314">
      <c r="A2314" s="286"/>
      <c r="B2314" s="286"/>
      <c r="C2314" s="287"/>
      <c r="D2314" s="286"/>
      <c r="E2314" s="286"/>
    </row>
    <row r="2315">
      <c r="A2315" s="286"/>
      <c r="B2315" s="286"/>
      <c r="C2315" s="287"/>
      <c r="D2315" s="286"/>
      <c r="E2315" s="286"/>
    </row>
    <row r="2316">
      <c r="A2316" s="286"/>
      <c r="B2316" s="286"/>
      <c r="C2316" s="287"/>
      <c r="D2316" s="286"/>
      <c r="E2316" s="286"/>
    </row>
    <row r="2317">
      <c r="A2317" s="286"/>
      <c r="B2317" s="286"/>
      <c r="C2317" s="287"/>
      <c r="D2317" s="286"/>
      <c r="E2317" s="286"/>
    </row>
    <row r="2318">
      <c r="A2318" s="286"/>
      <c r="B2318" s="286"/>
      <c r="C2318" s="287"/>
      <c r="D2318" s="286"/>
      <c r="E2318" s="286"/>
    </row>
    <row r="2319">
      <c r="A2319" s="286"/>
      <c r="B2319" s="286"/>
      <c r="C2319" s="287"/>
      <c r="D2319" s="286"/>
      <c r="E2319" s="286"/>
    </row>
    <row r="2320">
      <c r="A2320" s="286"/>
      <c r="B2320" s="286"/>
      <c r="C2320" s="287"/>
      <c r="D2320" s="286"/>
      <c r="E2320" s="286"/>
    </row>
    <row r="2321">
      <c r="A2321" s="286"/>
      <c r="B2321" s="286"/>
      <c r="C2321" s="287"/>
      <c r="D2321" s="286"/>
      <c r="E2321" s="286"/>
    </row>
    <row r="2322">
      <c r="A2322" s="286"/>
      <c r="B2322" s="286"/>
      <c r="C2322" s="287"/>
      <c r="D2322" s="286"/>
      <c r="E2322" s="286"/>
    </row>
    <row r="2323">
      <c r="A2323" s="286"/>
      <c r="B2323" s="286"/>
      <c r="C2323" s="287"/>
      <c r="D2323" s="286"/>
      <c r="E2323" s="286"/>
    </row>
    <row r="2324">
      <c r="A2324" s="286"/>
      <c r="B2324" s="286"/>
      <c r="C2324" s="287"/>
      <c r="D2324" s="286"/>
      <c r="E2324" s="286"/>
    </row>
    <row r="2325">
      <c r="A2325" s="286"/>
      <c r="B2325" s="286"/>
      <c r="C2325" s="287"/>
      <c r="D2325" s="286"/>
      <c r="E2325" s="286"/>
    </row>
    <row r="2326">
      <c r="A2326" s="286"/>
      <c r="B2326" s="286"/>
      <c r="C2326" s="287"/>
      <c r="D2326" s="286"/>
      <c r="E2326" s="286"/>
    </row>
    <row r="2327">
      <c r="A2327" s="286"/>
      <c r="B2327" s="286"/>
      <c r="C2327" s="287"/>
      <c r="D2327" s="286"/>
      <c r="E2327" s="286"/>
    </row>
    <row r="2328">
      <c r="A2328" s="286"/>
      <c r="B2328" s="286"/>
      <c r="C2328" s="287"/>
      <c r="D2328" s="286"/>
      <c r="E2328" s="286"/>
    </row>
    <row r="2329">
      <c r="A2329" s="286"/>
      <c r="B2329" s="286"/>
      <c r="C2329" s="287"/>
      <c r="D2329" s="286"/>
      <c r="E2329" s="286"/>
    </row>
    <row r="2330">
      <c r="A2330" s="286"/>
      <c r="B2330" s="286"/>
      <c r="C2330" s="287"/>
      <c r="D2330" s="286"/>
      <c r="E2330" s="286"/>
    </row>
    <row r="2331">
      <c r="A2331" s="286"/>
      <c r="B2331" s="286"/>
      <c r="C2331" s="287"/>
      <c r="D2331" s="286"/>
      <c r="E2331" s="286"/>
    </row>
    <row r="2332">
      <c r="A2332" s="286"/>
      <c r="B2332" s="286"/>
      <c r="C2332" s="287"/>
      <c r="D2332" s="286"/>
      <c r="E2332" s="286"/>
    </row>
    <row r="2333">
      <c r="A2333" s="286"/>
      <c r="B2333" s="286"/>
      <c r="C2333" s="287"/>
      <c r="D2333" s="286"/>
      <c r="E2333" s="286"/>
    </row>
    <row r="2334">
      <c r="A2334" s="286"/>
      <c r="B2334" s="286"/>
      <c r="C2334" s="287"/>
      <c r="D2334" s="286"/>
      <c r="E2334" s="286"/>
    </row>
    <row r="2335">
      <c r="A2335" s="286"/>
      <c r="B2335" s="286"/>
      <c r="C2335" s="287"/>
      <c r="D2335" s="286"/>
      <c r="E2335" s="286"/>
    </row>
    <row r="2336">
      <c r="A2336" s="286"/>
      <c r="B2336" s="286"/>
      <c r="C2336" s="287"/>
      <c r="D2336" s="286"/>
      <c r="E2336" s="286"/>
    </row>
    <row r="2337">
      <c r="A2337" s="286"/>
      <c r="B2337" s="286"/>
      <c r="C2337" s="287"/>
      <c r="D2337" s="286"/>
      <c r="E2337" s="286"/>
    </row>
    <row r="2338">
      <c r="A2338" s="286"/>
      <c r="B2338" s="286"/>
      <c r="C2338" s="287"/>
      <c r="D2338" s="286"/>
      <c r="E2338" s="286"/>
    </row>
    <row r="2339">
      <c r="A2339" s="286"/>
      <c r="B2339" s="286"/>
      <c r="C2339" s="287"/>
      <c r="D2339" s="286"/>
      <c r="E2339" s="286"/>
    </row>
    <row r="2340">
      <c r="A2340" s="286"/>
      <c r="B2340" s="286"/>
      <c r="C2340" s="287"/>
      <c r="D2340" s="286"/>
      <c r="E2340" s="286"/>
    </row>
    <row r="2341">
      <c r="A2341" s="286"/>
      <c r="B2341" s="286"/>
      <c r="C2341" s="287"/>
      <c r="D2341" s="286"/>
      <c r="E2341" s="286"/>
    </row>
    <row r="2342">
      <c r="A2342" s="286"/>
      <c r="B2342" s="286"/>
      <c r="C2342" s="287"/>
      <c r="D2342" s="286"/>
      <c r="E2342" s="286"/>
    </row>
    <row r="2343">
      <c r="A2343" s="286"/>
      <c r="B2343" s="286"/>
      <c r="C2343" s="287"/>
      <c r="D2343" s="286"/>
      <c r="E2343" s="286"/>
    </row>
    <row r="2344">
      <c r="A2344" s="286"/>
      <c r="B2344" s="286"/>
      <c r="C2344" s="287"/>
      <c r="D2344" s="286"/>
      <c r="E2344" s="286"/>
    </row>
    <row r="2345">
      <c r="A2345" s="286"/>
      <c r="B2345" s="286"/>
      <c r="C2345" s="287"/>
      <c r="D2345" s="286"/>
      <c r="E2345" s="286"/>
    </row>
    <row r="2346">
      <c r="A2346" s="286"/>
      <c r="B2346" s="286"/>
      <c r="C2346" s="287"/>
      <c r="D2346" s="286"/>
      <c r="E2346" s="286"/>
    </row>
    <row r="2347">
      <c r="A2347" s="286"/>
      <c r="B2347" s="286"/>
      <c r="C2347" s="287"/>
      <c r="D2347" s="286"/>
      <c r="E2347" s="286"/>
    </row>
    <row r="2348">
      <c r="A2348" s="286"/>
      <c r="B2348" s="286"/>
      <c r="C2348" s="287"/>
      <c r="D2348" s="286"/>
      <c r="E2348" s="286"/>
    </row>
    <row r="2349">
      <c r="A2349" s="286"/>
      <c r="B2349" s="286"/>
      <c r="C2349" s="287"/>
      <c r="D2349" s="286"/>
      <c r="E2349" s="286"/>
    </row>
    <row r="2350">
      <c r="A2350" s="286"/>
      <c r="B2350" s="286"/>
      <c r="C2350" s="287"/>
      <c r="D2350" s="286"/>
      <c r="E2350" s="286"/>
    </row>
    <row r="2351">
      <c r="A2351" s="286"/>
      <c r="B2351" s="286"/>
      <c r="C2351" s="287"/>
      <c r="D2351" s="286"/>
      <c r="E2351" s="286"/>
    </row>
    <row r="2352">
      <c r="A2352" s="286"/>
      <c r="B2352" s="286"/>
      <c r="C2352" s="287"/>
      <c r="D2352" s="286"/>
      <c r="E2352" s="286"/>
    </row>
    <row r="2353">
      <c r="A2353" s="286"/>
      <c r="B2353" s="286"/>
      <c r="C2353" s="287"/>
      <c r="D2353" s="286"/>
      <c r="E2353" s="286"/>
    </row>
    <row r="2354">
      <c r="A2354" s="286"/>
      <c r="B2354" s="286"/>
      <c r="C2354" s="287"/>
      <c r="D2354" s="286"/>
      <c r="E2354" s="286"/>
    </row>
    <row r="2355">
      <c r="A2355" s="286"/>
      <c r="B2355" s="286"/>
      <c r="C2355" s="287"/>
      <c r="D2355" s="286"/>
      <c r="E2355" s="286"/>
    </row>
    <row r="2356">
      <c r="A2356" s="286"/>
      <c r="B2356" s="286"/>
      <c r="C2356" s="287"/>
      <c r="D2356" s="286"/>
      <c r="E2356" s="286"/>
    </row>
    <row r="2357">
      <c r="A2357" s="286"/>
      <c r="B2357" s="286"/>
      <c r="C2357" s="287"/>
      <c r="D2357" s="286"/>
      <c r="E2357" s="286"/>
    </row>
    <row r="2358">
      <c r="A2358" s="286"/>
      <c r="B2358" s="286"/>
      <c r="C2358" s="287"/>
      <c r="D2358" s="286"/>
      <c r="E2358" s="286"/>
    </row>
    <row r="2359">
      <c r="A2359" s="286"/>
      <c r="B2359" s="286"/>
      <c r="C2359" s="287"/>
      <c r="D2359" s="286"/>
      <c r="E2359" s="286"/>
    </row>
    <row r="2360">
      <c r="A2360" s="286"/>
      <c r="B2360" s="286"/>
      <c r="C2360" s="287"/>
      <c r="D2360" s="286"/>
      <c r="E2360" s="286"/>
    </row>
    <row r="2361">
      <c r="A2361" s="286"/>
      <c r="B2361" s="286"/>
      <c r="C2361" s="287"/>
      <c r="D2361" s="286"/>
      <c r="E2361" s="286"/>
    </row>
    <row r="2362">
      <c r="A2362" s="286"/>
      <c r="B2362" s="286"/>
      <c r="C2362" s="287"/>
      <c r="D2362" s="286"/>
      <c r="E2362" s="286"/>
    </row>
    <row r="2363">
      <c r="A2363" s="286"/>
      <c r="B2363" s="286"/>
      <c r="C2363" s="287"/>
      <c r="D2363" s="286"/>
      <c r="E2363" s="286"/>
    </row>
    <row r="2364">
      <c r="A2364" s="286"/>
      <c r="B2364" s="286"/>
      <c r="C2364" s="287"/>
      <c r="D2364" s="286"/>
      <c r="E2364" s="286"/>
    </row>
    <row r="2365">
      <c r="A2365" s="286"/>
      <c r="B2365" s="286"/>
      <c r="C2365" s="287"/>
      <c r="D2365" s="286"/>
      <c r="E2365" s="286"/>
    </row>
    <row r="2366">
      <c r="A2366" s="286"/>
      <c r="B2366" s="286"/>
      <c r="C2366" s="287"/>
      <c r="D2366" s="286"/>
      <c r="E2366" s="286"/>
    </row>
    <row r="2367">
      <c r="A2367" s="286"/>
      <c r="B2367" s="286"/>
      <c r="C2367" s="287"/>
      <c r="D2367" s="286"/>
      <c r="E2367" s="286"/>
    </row>
    <row r="2368">
      <c r="A2368" s="286"/>
      <c r="B2368" s="286"/>
      <c r="C2368" s="287"/>
      <c r="D2368" s="286"/>
      <c r="E2368" s="286"/>
    </row>
    <row r="2369">
      <c r="A2369" s="286"/>
      <c r="B2369" s="286"/>
      <c r="C2369" s="287"/>
      <c r="D2369" s="286"/>
      <c r="E2369" s="286"/>
    </row>
    <row r="2370">
      <c r="A2370" s="286"/>
      <c r="B2370" s="286"/>
      <c r="C2370" s="287"/>
      <c r="D2370" s="286"/>
      <c r="E2370" s="286"/>
    </row>
    <row r="2371">
      <c r="A2371" s="286"/>
      <c r="B2371" s="286"/>
      <c r="C2371" s="287"/>
      <c r="D2371" s="286"/>
      <c r="E2371" s="286"/>
    </row>
    <row r="2372">
      <c r="A2372" s="286"/>
      <c r="B2372" s="286"/>
      <c r="C2372" s="287"/>
      <c r="D2372" s="286"/>
      <c r="E2372" s="286"/>
    </row>
    <row r="2373">
      <c r="A2373" s="286"/>
      <c r="B2373" s="286"/>
      <c r="C2373" s="287"/>
      <c r="D2373" s="286"/>
      <c r="E2373" s="286"/>
    </row>
    <row r="2374">
      <c r="A2374" s="286"/>
      <c r="B2374" s="286"/>
      <c r="C2374" s="287"/>
      <c r="D2374" s="286"/>
      <c r="E2374" s="286"/>
    </row>
    <row r="2375">
      <c r="A2375" s="286"/>
      <c r="B2375" s="286"/>
      <c r="C2375" s="287"/>
      <c r="D2375" s="286"/>
      <c r="E2375" s="286"/>
    </row>
    <row r="2376">
      <c r="A2376" s="286"/>
      <c r="B2376" s="286"/>
      <c r="C2376" s="287"/>
      <c r="D2376" s="286"/>
      <c r="E2376" s="286"/>
    </row>
    <row r="2377">
      <c r="A2377" s="286"/>
      <c r="B2377" s="286"/>
      <c r="C2377" s="287"/>
      <c r="D2377" s="286"/>
      <c r="E2377" s="286"/>
    </row>
    <row r="2378">
      <c r="A2378" s="286"/>
      <c r="B2378" s="286"/>
      <c r="C2378" s="287"/>
      <c r="D2378" s="286"/>
      <c r="E2378" s="286"/>
    </row>
    <row r="2379">
      <c r="A2379" s="286"/>
      <c r="B2379" s="286"/>
      <c r="C2379" s="287"/>
      <c r="D2379" s="286"/>
      <c r="E2379" s="286"/>
    </row>
    <row r="2380">
      <c r="A2380" s="286"/>
      <c r="B2380" s="286"/>
      <c r="C2380" s="287"/>
      <c r="D2380" s="286"/>
      <c r="E2380" s="286"/>
    </row>
    <row r="2381">
      <c r="A2381" s="286"/>
      <c r="B2381" s="286"/>
      <c r="C2381" s="287"/>
      <c r="D2381" s="286"/>
      <c r="E2381" s="286"/>
    </row>
    <row r="2382">
      <c r="A2382" s="286"/>
      <c r="B2382" s="286"/>
      <c r="C2382" s="287"/>
      <c r="D2382" s="286"/>
      <c r="E2382" s="286"/>
    </row>
    <row r="2383">
      <c r="A2383" s="286"/>
      <c r="B2383" s="286"/>
      <c r="C2383" s="287"/>
      <c r="D2383" s="286"/>
      <c r="E2383" s="286"/>
    </row>
    <row r="2384">
      <c r="A2384" s="286"/>
      <c r="B2384" s="286"/>
      <c r="C2384" s="287"/>
      <c r="D2384" s="286"/>
      <c r="E2384" s="286"/>
    </row>
    <row r="2385">
      <c r="A2385" s="286"/>
      <c r="B2385" s="286"/>
      <c r="C2385" s="287"/>
      <c r="D2385" s="286"/>
      <c r="E2385" s="286"/>
    </row>
    <row r="2386">
      <c r="A2386" s="286"/>
      <c r="B2386" s="286"/>
      <c r="C2386" s="287"/>
      <c r="D2386" s="286"/>
      <c r="E2386" s="286"/>
    </row>
    <row r="2387">
      <c r="A2387" s="286"/>
      <c r="B2387" s="286"/>
      <c r="C2387" s="287"/>
      <c r="D2387" s="286"/>
      <c r="E2387" s="286"/>
    </row>
    <row r="2388">
      <c r="A2388" s="286"/>
      <c r="B2388" s="286"/>
      <c r="C2388" s="287"/>
      <c r="D2388" s="286"/>
      <c r="E2388" s="286"/>
    </row>
    <row r="2389">
      <c r="A2389" s="286"/>
      <c r="B2389" s="286"/>
      <c r="C2389" s="287"/>
      <c r="D2389" s="286"/>
      <c r="E2389" s="286"/>
    </row>
    <row r="2390">
      <c r="A2390" s="286"/>
      <c r="B2390" s="286"/>
      <c r="C2390" s="287"/>
      <c r="D2390" s="286"/>
      <c r="E2390" s="286"/>
    </row>
    <row r="2391">
      <c r="A2391" s="286"/>
      <c r="B2391" s="286"/>
      <c r="C2391" s="287"/>
      <c r="D2391" s="286"/>
      <c r="E2391" s="286"/>
    </row>
    <row r="2392">
      <c r="A2392" s="286"/>
      <c r="B2392" s="286"/>
      <c r="C2392" s="287"/>
      <c r="D2392" s="286"/>
      <c r="E2392" s="286"/>
    </row>
    <row r="2393">
      <c r="A2393" s="286"/>
      <c r="B2393" s="286"/>
      <c r="C2393" s="287"/>
      <c r="D2393" s="286"/>
      <c r="E2393" s="286"/>
    </row>
    <row r="2394">
      <c r="A2394" s="286"/>
      <c r="B2394" s="286"/>
      <c r="C2394" s="287"/>
      <c r="D2394" s="286"/>
      <c r="E2394" s="286"/>
    </row>
    <row r="2395">
      <c r="A2395" s="286"/>
      <c r="B2395" s="286"/>
      <c r="C2395" s="287"/>
      <c r="D2395" s="286"/>
      <c r="E2395" s="286"/>
    </row>
    <row r="2396">
      <c r="A2396" s="286"/>
      <c r="B2396" s="286"/>
      <c r="C2396" s="287"/>
      <c r="D2396" s="286"/>
      <c r="E2396" s="286"/>
    </row>
    <row r="2397">
      <c r="A2397" s="286"/>
      <c r="B2397" s="286"/>
      <c r="C2397" s="287"/>
      <c r="D2397" s="286"/>
      <c r="E2397" s="286"/>
    </row>
    <row r="2398">
      <c r="A2398" s="286"/>
      <c r="B2398" s="286"/>
      <c r="C2398" s="287"/>
      <c r="D2398" s="286"/>
      <c r="E2398" s="286"/>
    </row>
    <row r="2399">
      <c r="A2399" s="286"/>
      <c r="B2399" s="286"/>
      <c r="C2399" s="287"/>
      <c r="D2399" s="286"/>
      <c r="E2399" s="286"/>
    </row>
    <row r="2400">
      <c r="A2400" s="286"/>
      <c r="B2400" s="286"/>
      <c r="C2400" s="287"/>
      <c r="D2400" s="286"/>
      <c r="E2400" s="286"/>
    </row>
    <row r="2401">
      <c r="A2401" s="286"/>
      <c r="B2401" s="286"/>
      <c r="C2401" s="287"/>
      <c r="D2401" s="286"/>
      <c r="E2401" s="286"/>
    </row>
    <row r="2402">
      <c r="A2402" s="286"/>
      <c r="B2402" s="286"/>
      <c r="C2402" s="287"/>
      <c r="D2402" s="286"/>
      <c r="E2402" s="286"/>
    </row>
    <row r="2403">
      <c r="A2403" s="286"/>
      <c r="B2403" s="286"/>
      <c r="C2403" s="287"/>
      <c r="D2403" s="286"/>
      <c r="E2403" s="286"/>
    </row>
    <row r="2404">
      <c r="A2404" s="286"/>
      <c r="B2404" s="286"/>
      <c r="C2404" s="287"/>
      <c r="D2404" s="286"/>
      <c r="E2404" s="286"/>
    </row>
    <row r="2405">
      <c r="A2405" s="286"/>
      <c r="B2405" s="286"/>
      <c r="C2405" s="287"/>
      <c r="D2405" s="286"/>
      <c r="E2405" s="286"/>
    </row>
    <row r="2406">
      <c r="A2406" s="286"/>
      <c r="B2406" s="286"/>
      <c r="C2406" s="287"/>
      <c r="D2406" s="286"/>
      <c r="E2406" s="286"/>
    </row>
    <row r="2407">
      <c r="A2407" s="286"/>
      <c r="B2407" s="286"/>
      <c r="C2407" s="287"/>
      <c r="D2407" s="286"/>
      <c r="E2407" s="286"/>
    </row>
    <row r="2408">
      <c r="A2408" s="286"/>
      <c r="B2408" s="286"/>
      <c r="C2408" s="287"/>
      <c r="D2408" s="286"/>
      <c r="E2408" s="286"/>
    </row>
    <row r="2409">
      <c r="A2409" s="286"/>
      <c r="B2409" s="286"/>
      <c r="C2409" s="287"/>
      <c r="D2409" s="286"/>
      <c r="E2409" s="286"/>
    </row>
    <row r="2410">
      <c r="A2410" s="286"/>
      <c r="B2410" s="286"/>
      <c r="C2410" s="287"/>
      <c r="D2410" s="286"/>
      <c r="E2410" s="286"/>
    </row>
    <row r="2411">
      <c r="A2411" s="286"/>
      <c r="B2411" s="286"/>
      <c r="C2411" s="287"/>
      <c r="D2411" s="286"/>
      <c r="E2411" s="286"/>
    </row>
    <row r="2412">
      <c r="A2412" s="286"/>
      <c r="B2412" s="286"/>
      <c r="C2412" s="287"/>
      <c r="D2412" s="286"/>
      <c r="E2412" s="286"/>
    </row>
    <row r="2413">
      <c r="A2413" s="286"/>
      <c r="B2413" s="286"/>
      <c r="C2413" s="287"/>
      <c r="D2413" s="286"/>
      <c r="E2413" s="286"/>
    </row>
    <row r="2414">
      <c r="A2414" s="286"/>
      <c r="B2414" s="286"/>
      <c r="C2414" s="287"/>
      <c r="D2414" s="286"/>
      <c r="E2414" s="286"/>
    </row>
    <row r="2415">
      <c r="A2415" s="286"/>
      <c r="B2415" s="286"/>
      <c r="C2415" s="287"/>
      <c r="D2415" s="286"/>
      <c r="E2415" s="286"/>
    </row>
    <row r="2416">
      <c r="A2416" s="286"/>
      <c r="B2416" s="286"/>
      <c r="C2416" s="287"/>
      <c r="D2416" s="286"/>
      <c r="E2416" s="286"/>
    </row>
    <row r="2417">
      <c r="A2417" s="286"/>
      <c r="B2417" s="286"/>
      <c r="C2417" s="287"/>
      <c r="D2417" s="286"/>
      <c r="E2417" s="286"/>
    </row>
    <row r="2418">
      <c r="A2418" s="286"/>
      <c r="B2418" s="286"/>
      <c r="C2418" s="287"/>
      <c r="D2418" s="286"/>
      <c r="E2418" s="286"/>
    </row>
    <row r="2419">
      <c r="A2419" s="286"/>
      <c r="B2419" s="286"/>
      <c r="C2419" s="287"/>
      <c r="D2419" s="286"/>
      <c r="E2419" s="286"/>
    </row>
    <row r="2420">
      <c r="A2420" s="286"/>
      <c r="B2420" s="286"/>
      <c r="C2420" s="287"/>
      <c r="D2420" s="286"/>
      <c r="E2420" s="286"/>
    </row>
    <row r="2421">
      <c r="A2421" s="286"/>
      <c r="B2421" s="286"/>
      <c r="C2421" s="287"/>
      <c r="D2421" s="286"/>
      <c r="E2421" s="286"/>
    </row>
    <row r="2422">
      <c r="A2422" s="286"/>
      <c r="B2422" s="286"/>
      <c r="C2422" s="287"/>
      <c r="D2422" s="286"/>
      <c r="E2422" s="286"/>
    </row>
    <row r="2423">
      <c r="A2423" s="286"/>
      <c r="B2423" s="286"/>
      <c r="C2423" s="287"/>
      <c r="D2423" s="286"/>
      <c r="E2423" s="286"/>
    </row>
    <row r="2424">
      <c r="A2424" s="286"/>
      <c r="B2424" s="286"/>
      <c r="C2424" s="287"/>
      <c r="D2424" s="286"/>
      <c r="E2424" s="286"/>
    </row>
    <row r="2425">
      <c r="A2425" s="286"/>
      <c r="B2425" s="286"/>
      <c r="C2425" s="287"/>
      <c r="D2425" s="286"/>
      <c r="E2425" s="286"/>
    </row>
    <row r="2426">
      <c r="A2426" s="286"/>
      <c r="B2426" s="286"/>
      <c r="C2426" s="287"/>
      <c r="D2426" s="286"/>
      <c r="E2426" s="286"/>
    </row>
    <row r="2427">
      <c r="A2427" s="286"/>
      <c r="B2427" s="286"/>
      <c r="C2427" s="287"/>
      <c r="D2427" s="286"/>
      <c r="E2427" s="286"/>
    </row>
    <row r="2428">
      <c r="A2428" s="286"/>
      <c r="B2428" s="286"/>
      <c r="C2428" s="287"/>
      <c r="D2428" s="286"/>
      <c r="E2428" s="286"/>
    </row>
    <row r="2429">
      <c r="A2429" s="286"/>
      <c r="B2429" s="286"/>
      <c r="C2429" s="287"/>
      <c r="D2429" s="286"/>
      <c r="E2429" s="286"/>
    </row>
    <row r="2430">
      <c r="A2430" s="286"/>
      <c r="B2430" s="286"/>
      <c r="C2430" s="287"/>
      <c r="D2430" s="286"/>
      <c r="E2430" s="286"/>
    </row>
    <row r="2431">
      <c r="A2431" s="286"/>
      <c r="B2431" s="286"/>
      <c r="C2431" s="287"/>
      <c r="D2431" s="286"/>
      <c r="E2431" s="286"/>
    </row>
    <row r="2432">
      <c r="A2432" s="286"/>
      <c r="B2432" s="286"/>
      <c r="C2432" s="287"/>
      <c r="D2432" s="286"/>
      <c r="E2432" s="286"/>
    </row>
    <row r="2433">
      <c r="A2433" s="286"/>
      <c r="B2433" s="286"/>
      <c r="C2433" s="287"/>
      <c r="D2433" s="286"/>
      <c r="E2433" s="286"/>
    </row>
    <row r="2434">
      <c r="A2434" s="286"/>
      <c r="B2434" s="286"/>
      <c r="C2434" s="287"/>
      <c r="D2434" s="286"/>
      <c r="E2434" s="286"/>
    </row>
    <row r="2435">
      <c r="A2435" s="286"/>
      <c r="B2435" s="286"/>
      <c r="C2435" s="287"/>
      <c r="D2435" s="286"/>
      <c r="E2435" s="286"/>
    </row>
    <row r="2436">
      <c r="A2436" s="286"/>
      <c r="B2436" s="286"/>
      <c r="C2436" s="287"/>
      <c r="D2436" s="286"/>
      <c r="E2436" s="286"/>
    </row>
    <row r="2437">
      <c r="A2437" s="286"/>
      <c r="B2437" s="286"/>
      <c r="C2437" s="287"/>
      <c r="D2437" s="286"/>
      <c r="E2437" s="286"/>
    </row>
    <row r="2438">
      <c r="A2438" s="286"/>
      <c r="B2438" s="286"/>
      <c r="C2438" s="287"/>
      <c r="D2438" s="286"/>
      <c r="E2438" s="286"/>
    </row>
    <row r="2439">
      <c r="A2439" s="286"/>
      <c r="B2439" s="286"/>
      <c r="C2439" s="287"/>
      <c r="D2439" s="286"/>
      <c r="E2439" s="286"/>
    </row>
    <row r="2440">
      <c r="A2440" s="286"/>
      <c r="B2440" s="286"/>
      <c r="C2440" s="287"/>
      <c r="D2440" s="286"/>
      <c r="E2440" s="286"/>
    </row>
    <row r="2441">
      <c r="A2441" s="286"/>
      <c r="B2441" s="286"/>
      <c r="C2441" s="287"/>
      <c r="D2441" s="286"/>
      <c r="E2441" s="286"/>
    </row>
    <row r="2442">
      <c r="A2442" s="286"/>
      <c r="B2442" s="286"/>
      <c r="C2442" s="287"/>
      <c r="D2442" s="286"/>
      <c r="E2442" s="286"/>
    </row>
    <row r="2443">
      <c r="A2443" s="286"/>
      <c r="B2443" s="286"/>
      <c r="C2443" s="287"/>
      <c r="D2443" s="286"/>
      <c r="E2443" s="286"/>
    </row>
    <row r="2444">
      <c r="A2444" s="286"/>
      <c r="B2444" s="286"/>
      <c r="C2444" s="287"/>
      <c r="D2444" s="286"/>
      <c r="E2444" s="286"/>
    </row>
    <row r="2445">
      <c r="A2445" s="286"/>
      <c r="B2445" s="286"/>
      <c r="C2445" s="287"/>
      <c r="D2445" s="286"/>
      <c r="E2445" s="286"/>
    </row>
    <row r="2446">
      <c r="A2446" s="286"/>
      <c r="B2446" s="286"/>
      <c r="C2446" s="287"/>
      <c r="D2446" s="286"/>
      <c r="E2446" s="286"/>
    </row>
    <row r="2447">
      <c r="A2447" s="286"/>
      <c r="B2447" s="286"/>
      <c r="C2447" s="287"/>
      <c r="D2447" s="286"/>
      <c r="E2447" s="286"/>
    </row>
    <row r="2448">
      <c r="A2448" s="286"/>
      <c r="B2448" s="286"/>
      <c r="C2448" s="287"/>
      <c r="D2448" s="286"/>
      <c r="E2448" s="286"/>
    </row>
    <row r="2449">
      <c r="A2449" s="286"/>
      <c r="B2449" s="286"/>
      <c r="C2449" s="287"/>
      <c r="D2449" s="286"/>
      <c r="E2449" s="286"/>
    </row>
    <row r="2450">
      <c r="A2450" s="286"/>
      <c r="B2450" s="286"/>
      <c r="C2450" s="287"/>
      <c r="D2450" s="286"/>
      <c r="E2450" s="286"/>
    </row>
    <row r="2451">
      <c r="A2451" s="286"/>
      <c r="B2451" s="286"/>
      <c r="C2451" s="287"/>
      <c r="D2451" s="286"/>
      <c r="E2451" s="286"/>
    </row>
    <row r="2452">
      <c r="A2452" s="286"/>
      <c r="B2452" s="286"/>
      <c r="C2452" s="287"/>
      <c r="D2452" s="286"/>
      <c r="E2452" s="286"/>
    </row>
    <row r="2453">
      <c r="A2453" s="286"/>
      <c r="B2453" s="286"/>
      <c r="C2453" s="287"/>
      <c r="D2453" s="286"/>
      <c r="E2453" s="286"/>
    </row>
    <row r="2454">
      <c r="A2454" s="286"/>
      <c r="B2454" s="286"/>
      <c r="C2454" s="287"/>
      <c r="D2454" s="286"/>
      <c r="E2454" s="286"/>
    </row>
    <row r="2455">
      <c r="A2455" s="286"/>
      <c r="B2455" s="286"/>
      <c r="C2455" s="287"/>
      <c r="D2455" s="286"/>
      <c r="E2455" s="286"/>
    </row>
    <row r="2456">
      <c r="A2456" s="286"/>
      <c r="B2456" s="286"/>
      <c r="C2456" s="287"/>
      <c r="D2456" s="286"/>
      <c r="E2456" s="286"/>
    </row>
    <row r="2457">
      <c r="A2457" s="286"/>
      <c r="B2457" s="286"/>
      <c r="C2457" s="287"/>
      <c r="D2457" s="286"/>
      <c r="E2457" s="286"/>
    </row>
    <row r="2458">
      <c r="A2458" s="286"/>
      <c r="B2458" s="286"/>
      <c r="C2458" s="287"/>
      <c r="D2458" s="286"/>
      <c r="E2458" s="286"/>
    </row>
    <row r="2459">
      <c r="A2459" s="286"/>
      <c r="B2459" s="286"/>
      <c r="C2459" s="287"/>
      <c r="D2459" s="286"/>
      <c r="E2459" s="286"/>
    </row>
    <row r="2460">
      <c r="A2460" s="286"/>
      <c r="B2460" s="286"/>
      <c r="C2460" s="287"/>
      <c r="D2460" s="286"/>
      <c r="E2460" s="286"/>
    </row>
    <row r="2461">
      <c r="A2461" s="286"/>
      <c r="B2461" s="286"/>
      <c r="C2461" s="287"/>
      <c r="D2461" s="286"/>
      <c r="E2461" s="286"/>
    </row>
    <row r="2462">
      <c r="A2462" s="286"/>
      <c r="B2462" s="286"/>
      <c r="C2462" s="287"/>
      <c r="D2462" s="286"/>
      <c r="E2462" s="286"/>
    </row>
    <row r="2463">
      <c r="A2463" s="286"/>
      <c r="B2463" s="286"/>
      <c r="C2463" s="287"/>
      <c r="D2463" s="286"/>
      <c r="E2463" s="286"/>
    </row>
    <row r="2464">
      <c r="A2464" s="286"/>
      <c r="B2464" s="286"/>
      <c r="C2464" s="287"/>
      <c r="D2464" s="286"/>
      <c r="E2464" s="286"/>
    </row>
    <row r="2465">
      <c r="A2465" s="286"/>
      <c r="B2465" s="286"/>
      <c r="C2465" s="287"/>
      <c r="D2465" s="286"/>
      <c r="E2465" s="286"/>
    </row>
    <row r="2466">
      <c r="A2466" s="286"/>
      <c r="B2466" s="286"/>
      <c r="C2466" s="287"/>
      <c r="D2466" s="286"/>
      <c r="E2466" s="286"/>
    </row>
    <row r="2467">
      <c r="A2467" s="286"/>
      <c r="B2467" s="286"/>
      <c r="C2467" s="287"/>
      <c r="D2467" s="286"/>
      <c r="E2467" s="286"/>
    </row>
    <row r="2468">
      <c r="A2468" s="286"/>
      <c r="B2468" s="286"/>
      <c r="C2468" s="287"/>
      <c r="D2468" s="286"/>
      <c r="E2468" s="286"/>
    </row>
    <row r="2469">
      <c r="A2469" s="286"/>
      <c r="B2469" s="286"/>
      <c r="C2469" s="287"/>
      <c r="D2469" s="286"/>
      <c r="E2469" s="286"/>
    </row>
    <row r="2470">
      <c r="A2470" s="286"/>
      <c r="B2470" s="286"/>
      <c r="C2470" s="287"/>
      <c r="D2470" s="286"/>
      <c r="E2470" s="286"/>
    </row>
    <row r="2471">
      <c r="A2471" s="286"/>
      <c r="B2471" s="286"/>
      <c r="C2471" s="287"/>
      <c r="D2471" s="286"/>
      <c r="E2471" s="286"/>
    </row>
    <row r="2472">
      <c r="A2472" s="286"/>
      <c r="B2472" s="286"/>
      <c r="C2472" s="287"/>
      <c r="D2472" s="286"/>
      <c r="E2472" s="286"/>
    </row>
    <row r="2473">
      <c r="A2473" s="286"/>
      <c r="B2473" s="286"/>
      <c r="C2473" s="287"/>
      <c r="D2473" s="286"/>
      <c r="E2473" s="286"/>
    </row>
    <row r="2474">
      <c r="A2474" s="286"/>
      <c r="B2474" s="286"/>
      <c r="C2474" s="287"/>
      <c r="D2474" s="286"/>
      <c r="E2474" s="286"/>
    </row>
    <row r="2475">
      <c r="A2475" s="286"/>
      <c r="B2475" s="286"/>
      <c r="C2475" s="287"/>
      <c r="D2475" s="286"/>
      <c r="E2475" s="286"/>
    </row>
    <row r="2476">
      <c r="A2476" s="286"/>
      <c r="B2476" s="286"/>
      <c r="C2476" s="287"/>
      <c r="D2476" s="286"/>
      <c r="E2476" s="286"/>
    </row>
    <row r="2477">
      <c r="A2477" s="286"/>
      <c r="B2477" s="286"/>
      <c r="C2477" s="287"/>
      <c r="D2477" s="286"/>
      <c r="E2477" s="286"/>
    </row>
    <row r="2478">
      <c r="A2478" s="286"/>
      <c r="B2478" s="286"/>
      <c r="C2478" s="287"/>
      <c r="D2478" s="286"/>
      <c r="E2478" s="286"/>
    </row>
    <row r="2479">
      <c r="A2479" s="286"/>
      <c r="B2479" s="286"/>
      <c r="C2479" s="287"/>
      <c r="D2479" s="286"/>
      <c r="E2479" s="286"/>
    </row>
    <row r="2480">
      <c r="A2480" s="286"/>
      <c r="B2480" s="286"/>
      <c r="C2480" s="287"/>
      <c r="D2480" s="286"/>
      <c r="E2480" s="286"/>
    </row>
    <row r="2481">
      <c r="A2481" s="286"/>
      <c r="B2481" s="286"/>
      <c r="C2481" s="287"/>
      <c r="D2481" s="286"/>
      <c r="E2481" s="286"/>
    </row>
    <row r="2482">
      <c r="A2482" s="286"/>
      <c r="B2482" s="286"/>
      <c r="C2482" s="287"/>
      <c r="D2482" s="286"/>
      <c r="E2482" s="286"/>
    </row>
    <row r="2483">
      <c r="A2483" s="286"/>
      <c r="B2483" s="286"/>
      <c r="C2483" s="287"/>
      <c r="D2483" s="286"/>
      <c r="E2483" s="286"/>
    </row>
    <row r="2484">
      <c r="A2484" s="286"/>
      <c r="B2484" s="286"/>
      <c r="C2484" s="287"/>
      <c r="D2484" s="286"/>
      <c r="E2484" s="286"/>
    </row>
    <row r="2485">
      <c r="A2485" s="286"/>
      <c r="B2485" s="286"/>
      <c r="C2485" s="287"/>
      <c r="D2485" s="286"/>
      <c r="E2485" s="286"/>
    </row>
    <row r="2486">
      <c r="A2486" s="286"/>
      <c r="B2486" s="286"/>
      <c r="C2486" s="287"/>
      <c r="D2486" s="286"/>
      <c r="E2486" s="286"/>
    </row>
    <row r="2487">
      <c r="A2487" s="286"/>
      <c r="B2487" s="286"/>
      <c r="C2487" s="287"/>
      <c r="D2487" s="286"/>
      <c r="E2487" s="286"/>
    </row>
    <row r="2488">
      <c r="A2488" s="286"/>
      <c r="B2488" s="286"/>
      <c r="C2488" s="287"/>
      <c r="D2488" s="286"/>
      <c r="E2488" s="286"/>
    </row>
    <row r="2489">
      <c r="A2489" s="286"/>
      <c r="B2489" s="286"/>
      <c r="C2489" s="287"/>
      <c r="D2489" s="286"/>
      <c r="E2489" s="286"/>
    </row>
    <row r="2490">
      <c r="A2490" s="286"/>
      <c r="B2490" s="286"/>
      <c r="C2490" s="287"/>
      <c r="D2490" s="286"/>
      <c r="E2490" s="286"/>
    </row>
    <row r="2491">
      <c r="A2491" s="286"/>
      <c r="B2491" s="286"/>
      <c r="C2491" s="287"/>
      <c r="D2491" s="286"/>
      <c r="E2491" s="286"/>
    </row>
    <row r="2492">
      <c r="A2492" s="286"/>
      <c r="B2492" s="286"/>
      <c r="C2492" s="287"/>
      <c r="D2492" s="286"/>
      <c r="E2492" s="286"/>
    </row>
    <row r="2493">
      <c r="A2493" s="286"/>
      <c r="B2493" s="286"/>
      <c r="C2493" s="287"/>
      <c r="D2493" s="286"/>
      <c r="E2493" s="286"/>
    </row>
    <row r="2494">
      <c r="A2494" s="286"/>
      <c r="B2494" s="286"/>
      <c r="C2494" s="287"/>
      <c r="D2494" s="286"/>
      <c r="E2494" s="286"/>
    </row>
    <row r="2495">
      <c r="A2495" s="286"/>
      <c r="B2495" s="286"/>
      <c r="C2495" s="287"/>
      <c r="D2495" s="286"/>
      <c r="E2495" s="286"/>
    </row>
    <row r="2496">
      <c r="A2496" s="286"/>
      <c r="B2496" s="286"/>
      <c r="C2496" s="287"/>
      <c r="D2496" s="286"/>
      <c r="E2496" s="286"/>
    </row>
    <row r="2497">
      <c r="A2497" s="286"/>
      <c r="B2497" s="286"/>
      <c r="C2497" s="287"/>
      <c r="D2497" s="286"/>
      <c r="E2497" s="286"/>
    </row>
    <row r="2498">
      <c r="A2498" s="286"/>
      <c r="B2498" s="286"/>
      <c r="C2498" s="287"/>
      <c r="D2498" s="286"/>
      <c r="E2498" s="286"/>
    </row>
    <row r="2499">
      <c r="A2499" s="286"/>
      <c r="B2499" s="286"/>
      <c r="C2499" s="287"/>
      <c r="D2499" s="286"/>
      <c r="E2499" s="286"/>
    </row>
    <row r="2500">
      <c r="A2500" s="286"/>
      <c r="B2500" s="286"/>
      <c r="C2500" s="287"/>
      <c r="D2500" s="286"/>
      <c r="E2500" s="286"/>
    </row>
    <row r="2501">
      <c r="A2501" s="286"/>
      <c r="B2501" s="286"/>
      <c r="C2501" s="287"/>
      <c r="D2501" s="286"/>
      <c r="E2501" s="286"/>
    </row>
    <row r="2502">
      <c r="A2502" s="286"/>
      <c r="B2502" s="286"/>
      <c r="C2502" s="287"/>
      <c r="D2502" s="286"/>
      <c r="E2502" s="286"/>
    </row>
    <row r="2503">
      <c r="A2503" s="286"/>
      <c r="B2503" s="286"/>
      <c r="C2503" s="287"/>
      <c r="D2503" s="286"/>
      <c r="E2503" s="286"/>
    </row>
    <row r="2504">
      <c r="A2504" s="286"/>
      <c r="B2504" s="286"/>
      <c r="C2504" s="287"/>
      <c r="D2504" s="286"/>
      <c r="E2504" s="286"/>
    </row>
    <row r="2505">
      <c r="A2505" s="286"/>
      <c r="B2505" s="286"/>
      <c r="C2505" s="287"/>
      <c r="D2505" s="286"/>
      <c r="E2505" s="286"/>
    </row>
    <row r="2506">
      <c r="A2506" s="286"/>
      <c r="B2506" s="286"/>
      <c r="C2506" s="287"/>
      <c r="D2506" s="286"/>
      <c r="E2506" s="286"/>
    </row>
    <row r="2507">
      <c r="A2507" s="286"/>
      <c r="B2507" s="286"/>
      <c r="C2507" s="287"/>
      <c r="D2507" s="286"/>
      <c r="E2507" s="286"/>
    </row>
    <row r="2508">
      <c r="A2508" s="286"/>
      <c r="B2508" s="286"/>
      <c r="C2508" s="287"/>
      <c r="D2508" s="286"/>
      <c r="E2508" s="286"/>
    </row>
    <row r="2509">
      <c r="A2509" s="286"/>
      <c r="B2509" s="286"/>
      <c r="C2509" s="287"/>
      <c r="D2509" s="286"/>
      <c r="E2509" s="286"/>
    </row>
    <row r="2510">
      <c r="A2510" s="286"/>
      <c r="B2510" s="286"/>
      <c r="C2510" s="287"/>
      <c r="D2510" s="286"/>
      <c r="E2510" s="286"/>
    </row>
    <row r="2511">
      <c r="A2511" s="286"/>
      <c r="B2511" s="286"/>
      <c r="C2511" s="287"/>
      <c r="D2511" s="286"/>
      <c r="E2511" s="286"/>
    </row>
    <row r="2512">
      <c r="A2512" s="286"/>
      <c r="B2512" s="286"/>
      <c r="C2512" s="287"/>
      <c r="D2512" s="286"/>
      <c r="E2512" s="286"/>
    </row>
    <row r="2513">
      <c r="A2513" s="286"/>
      <c r="B2513" s="286"/>
      <c r="C2513" s="287"/>
      <c r="D2513" s="286"/>
      <c r="E2513" s="286"/>
    </row>
    <row r="2514">
      <c r="A2514" s="286"/>
      <c r="B2514" s="286"/>
      <c r="C2514" s="287"/>
      <c r="D2514" s="286"/>
      <c r="E2514" s="286"/>
    </row>
    <row r="2515">
      <c r="A2515" s="286"/>
      <c r="B2515" s="286"/>
      <c r="C2515" s="287"/>
      <c r="D2515" s="286"/>
      <c r="E2515" s="286"/>
    </row>
    <row r="2516">
      <c r="A2516" s="286"/>
      <c r="B2516" s="286"/>
      <c r="C2516" s="287"/>
      <c r="D2516" s="286"/>
      <c r="E2516" s="286"/>
    </row>
    <row r="2517">
      <c r="A2517" s="286"/>
      <c r="B2517" s="286"/>
      <c r="C2517" s="287"/>
      <c r="D2517" s="286"/>
      <c r="E2517" s="286"/>
    </row>
    <row r="2518">
      <c r="A2518" s="286"/>
      <c r="B2518" s="286"/>
      <c r="C2518" s="287"/>
      <c r="D2518" s="286"/>
      <c r="E2518" s="286"/>
    </row>
    <row r="2519">
      <c r="A2519" s="286"/>
      <c r="B2519" s="286"/>
      <c r="C2519" s="287"/>
      <c r="D2519" s="286"/>
      <c r="E2519" s="286"/>
    </row>
    <row r="2520">
      <c r="A2520" s="286"/>
      <c r="B2520" s="286"/>
      <c r="C2520" s="287"/>
      <c r="D2520" s="286"/>
      <c r="E2520" s="286"/>
    </row>
    <row r="2521">
      <c r="A2521" s="286"/>
      <c r="B2521" s="286"/>
      <c r="C2521" s="287"/>
      <c r="D2521" s="286"/>
      <c r="E2521" s="286"/>
    </row>
    <row r="2522">
      <c r="A2522" s="286"/>
      <c r="B2522" s="286"/>
      <c r="C2522" s="287"/>
      <c r="D2522" s="286"/>
      <c r="E2522" s="286"/>
    </row>
    <row r="2523">
      <c r="A2523" s="286"/>
      <c r="B2523" s="286"/>
      <c r="C2523" s="287"/>
      <c r="D2523" s="286"/>
      <c r="E2523" s="286"/>
    </row>
    <row r="2524">
      <c r="A2524" s="286"/>
      <c r="B2524" s="286"/>
      <c r="C2524" s="287"/>
      <c r="D2524" s="286"/>
      <c r="E2524" s="286"/>
    </row>
    <row r="2525">
      <c r="A2525" s="286"/>
      <c r="B2525" s="286"/>
      <c r="C2525" s="287"/>
      <c r="D2525" s="286"/>
      <c r="E2525" s="286"/>
    </row>
    <row r="2526">
      <c r="A2526" s="286"/>
      <c r="B2526" s="286"/>
      <c r="C2526" s="287"/>
      <c r="D2526" s="286"/>
      <c r="E2526" s="286"/>
    </row>
    <row r="2527">
      <c r="A2527" s="286"/>
      <c r="B2527" s="286"/>
      <c r="C2527" s="287"/>
      <c r="D2527" s="286"/>
      <c r="E2527" s="286"/>
    </row>
    <row r="2528">
      <c r="A2528" s="286"/>
      <c r="B2528" s="286"/>
      <c r="C2528" s="287"/>
      <c r="D2528" s="286"/>
      <c r="E2528" s="286"/>
    </row>
    <row r="2529">
      <c r="A2529" s="286"/>
      <c r="B2529" s="286"/>
      <c r="C2529" s="287"/>
      <c r="D2529" s="286"/>
      <c r="E2529" s="286"/>
    </row>
    <row r="2530">
      <c r="A2530" s="286"/>
      <c r="B2530" s="286"/>
      <c r="C2530" s="287"/>
      <c r="D2530" s="286"/>
      <c r="E2530" s="286"/>
    </row>
    <row r="2531">
      <c r="A2531" s="286"/>
      <c r="B2531" s="286"/>
      <c r="C2531" s="287"/>
      <c r="D2531" s="286"/>
      <c r="E2531" s="286"/>
    </row>
    <row r="2532">
      <c r="A2532" s="286"/>
      <c r="B2532" s="286"/>
      <c r="C2532" s="287"/>
      <c r="D2532" s="286"/>
      <c r="E2532" s="286"/>
    </row>
    <row r="2533">
      <c r="A2533" s="286"/>
      <c r="B2533" s="286"/>
      <c r="C2533" s="287"/>
      <c r="D2533" s="286"/>
      <c r="E2533" s="286"/>
    </row>
    <row r="2534">
      <c r="A2534" s="286"/>
      <c r="B2534" s="286"/>
      <c r="C2534" s="287"/>
      <c r="D2534" s="286"/>
      <c r="E2534" s="286"/>
    </row>
    <row r="2535">
      <c r="A2535" s="286"/>
      <c r="B2535" s="286"/>
      <c r="C2535" s="287"/>
      <c r="D2535" s="286"/>
      <c r="E2535" s="286"/>
    </row>
    <row r="2536">
      <c r="A2536" s="286"/>
      <c r="B2536" s="286"/>
      <c r="C2536" s="287"/>
      <c r="D2536" s="286"/>
      <c r="E2536" s="286"/>
    </row>
    <row r="2537">
      <c r="A2537" s="286"/>
      <c r="B2537" s="286"/>
      <c r="C2537" s="287"/>
      <c r="D2537" s="286"/>
      <c r="E2537" s="286"/>
    </row>
    <row r="2538">
      <c r="A2538" s="286"/>
      <c r="B2538" s="286"/>
      <c r="C2538" s="287"/>
      <c r="D2538" s="286"/>
      <c r="E2538" s="286"/>
    </row>
    <row r="2539">
      <c r="A2539" s="286"/>
      <c r="B2539" s="286"/>
      <c r="C2539" s="287"/>
      <c r="D2539" s="286"/>
      <c r="E2539" s="286"/>
    </row>
    <row r="2540">
      <c r="A2540" s="286"/>
      <c r="B2540" s="286"/>
      <c r="C2540" s="287"/>
      <c r="D2540" s="286"/>
      <c r="E2540" s="286"/>
    </row>
    <row r="2541">
      <c r="A2541" s="286"/>
      <c r="B2541" s="286"/>
      <c r="C2541" s="287"/>
      <c r="D2541" s="286"/>
      <c r="E2541" s="286"/>
    </row>
    <row r="2542">
      <c r="A2542" s="286"/>
      <c r="B2542" s="286"/>
      <c r="C2542" s="287"/>
      <c r="D2542" s="286"/>
      <c r="E2542" s="286"/>
    </row>
    <row r="2543">
      <c r="A2543" s="286"/>
      <c r="B2543" s="286"/>
      <c r="C2543" s="287"/>
      <c r="D2543" s="286"/>
      <c r="E2543" s="286"/>
    </row>
    <row r="2544">
      <c r="A2544" s="286"/>
      <c r="B2544" s="286"/>
      <c r="C2544" s="287"/>
      <c r="D2544" s="286"/>
      <c r="E2544" s="286"/>
    </row>
    <row r="2545">
      <c r="A2545" s="286"/>
      <c r="B2545" s="286"/>
      <c r="C2545" s="287"/>
      <c r="D2545" s="286"/>
      <c r="E2545" s="286"/>
    </row>
    <row r="2546">
      <c r="A2546" s="286"/>
      <c r="B2546" s="286"/>
      <c r="C2546" s="287"/>
      <c r="D2546" s="286"/>
      <c r="E2546" s="286"/>
    </row>
    <row r="2547">
      <c r="A2547" s="286"/>
      <c r="B2547" s="286"/>
      <c r="C2547" s="287"/>
      <c r="D2547" s="286"/>
      <c r="E2547" s="286"/>
    </row>
    <row r="2548">
      <c r="A2548" s="286"/>
      <c r="B2548" s="286"/>
      <c r="C2548" s="287"/>
      <c r="D2548" s="286"/>
      <c r="E2548" s="286"/>
    </row>
    <row r="2549">
      <c r="A2549" s="286"/>
      <c r="B2549" s="286"/>
      <c r="C2549" s="287"/>
      <c r="D2549" s="286"/>
      <c r="E2549" s="286"/>
    </row>
    <row r="2550">
      <c r="A2550" s="286"/>
      <c r="B2550" s="286"/>
      <c r="C2550" s="287"/>
      <c r="D2550" s="286"/>
      <c r="E2550" s="286"/>
    </row>
    <row r="2551">
      <c r="A2551" s="286"/>
      <c r="B2551" s="286"/>
      <c r="C2551" s="287"/>
      <c r="D2551" s="286"/>
      <c r="E2551" s="286"/>
    </row>
    <row r="2552">
      <c r="A2552" s="286"/>
      <c r="B2552" s="286"/>
      <c r="C2552" s="287"/>
      <c r="D2552" s="286"/>
      <c r="E2552" s="286"/>
    </row>
    <row r="2553">
      <c r="A2553" s="286"/>
      <c r="B2553" s="286"/>
      <c r="C2553" s="287"/>
      <c r="D2553" s="286"/>
      <c r="E2553" s="286"/>
    </row>
    <row r="2554">
      <c r="A2554" s="286"/>
      <c r="B2554" s="286"/>
      <c r="C2554" s="287"/>
      <c r="D2554" s="286"/>
      <c r="E2554" s="286"/>
    </row>
    <row r="2555">
      <c r="A2555" s="286"/>
      <c r="B2555" s="286"/>
      <c r="C2555" s="287"/>
      <c r="D2555" s="286"/>
      <c r="E2555" s="286"/>
    </row>
    <row r="2556">
      <c r="A2556" s="286"/>
      <c r="B2556" s="286"/>
      <c r="C2556" s="287"/>
      <c r="D2556" s="286"/>
      <c r="E2556" s="286"/>
    </row>
    <row r="2557">
      <c r="A2557" s="286"/>
      <c r="B2557" s="286"/>
      <c r="C2557" s="287"/>
      <c r="D2557" s="286"/>
      <c r="E2557" s="286"/>
    </row>
    <row r="2558">
      <c r="A2558" s="286"/>
      <c r="B2558" s="286"/>
      <c r="C2558" s="287"/>
      <c r="D2558" s="286"/>
      <c r="E2558" s="286"/>
    </row>
    <row r="2559">
      <c r="A2559" s="286"/>
      <c r="B2559" s="286"/>
      <c r="C2559" s="287"/>
      <c r="D2559" s="286"/>
      <c r="E2559" s="286"/>
    </row>
    <row r="2560">
      <c r="A2560" s="286"/>
      <c r="B2560" s="286"/>
      <c r="C2560" s="287"/>
      <c r="D2560" s="286"/>
      <c r="E2560" s="286"/>
    </row>
    <row r="2561">
      <c r="A2561" s="286"/>
      <c r="B2561" s="286"/>
      <c r="C2561" s="287"/>
      <c r="D2561" s="286"/>
      <c r="E2561" s="286"/>
    </row>
    <row r="2562">
      <c r="A2562" s="286"/>
      <c r="B2562" s="286"/>
      <c r="C2562" s="287"/>
      <c r="D2562" s="286"/>
      <c r="E2562" s="286"/>
    </row>
    <row r="2563">
      <c r="A2563" s="286"/>
      <c r="B2563" s="286"/>
      <c r="C2563" s="287"/>
      <c r="D2563" s="286"/>
      <c r="E2563" s="286"/>
    </row>
    <row r="2564">
      <c r="A2564" s="286"/>
      <c r="B2564" s="286"/>
      <c r="C2564" s="287"/>
      <c r="D2564" s="286"/>
      <c r="E2564" s="286"/>
    </row>
    <row r="2565">
      <c r="A2565" s="286"/>
      <c r="B2565" s="286"/>
      <c r="C2565" s="287"/>
      <c r="D2565" s="286"/>
      <c r="E2565" s="286"/>
    </row>
    <row r="2566">
      <c r="A2566" s="286"/>
      <c r="B2566" s="286"/>
      <c r="C2566" s="287"/>
      <c r="D2566" s="286"/>
      <c r="E2566" s="286"/>
    </row>
    <row r="2567">
      <c r="A2567" s="286"/>
      <c r="B2567" s="286"/>
      <c r="C2567" s="287"/>
      <c r="D2567" s="286"/>
      <c r="E2567" s="286"/>
    </row>
    <row r="2568">
      <c r="A2568" s="286"/>
      <c r="B2568" s="286"/>
      <c r="C2568" s="287"/>
      <c r="D2568" s="286"/>
      <c r="E2568" s="286"/>
    </row>
    <row r="2569">
      <c r="A2569" s="286"/>
      <c r="B2569" s="286"/>
      <c r="C2569" s="287"/>
      <c r="D2569" s="286"/>
      <c r="E2569" s="286"/>
    </row>
    <row r="2570">
      <c r="A2570" s="286"/>
      <c r="B2570" s="286"/>
      <c r="C2570" s="287"/>
      <c r="D2570" s="286"/>
      <c r="E2570" s="286"/>
    </row>
    <row r="2571">
      <c r="A2571" s="286"/>
      <c r="B2571" s="286"/>
      <c r="C2571" s="287"/>
      <c r="D2571" s="286"/>
      <c r="E2571" s="286"/>
    </row>
    <row r="2572">
      <c r="A2572" s="286"/>
      <c r="B2572" s="286"/>
      <c r="C2572" s="287"/>
      <c r="D2572" s="286"/>
      <c r="E2572" s="286"/>
    </row>
    <row r="2573">
      <c r="A2573" s="286"/>
      <c r="B2573" s="286"/>
      <c r="C2573" s="287"/>
      <c r="D2573" s="286"/>
      <c r="E2573" s="286"/>
    </row>
    <row r="2574">
      <c r="A2574" s="286"/>
      <c r="B2574" s="286"/>
      <c r="C2574" s="287"/>
      <c r="D2574" s="286"/>
      <c r="E2574" s="286"/>
    </row>
    <row r="2575">
      <c r="A2575" s="286"/>
      <c r="B2575" s="286"/>
      <c r="C2575" s="287"/>
      <c r="D2575" s="286"/>
      <c r="E2575" s="286"/>
    </row>
    <row r="2576">
      <c r="A2576" s="286"/>
      <c r="B2576" s="286"/>
      <c r="C2576" s="287"/>
      <c r="D2576" s="286"/>
      <c r="E2576" s="286"/>
    </row>
    <row r="2577">
      <c r="A2577" s="286"/>
      <c r="B2577" s="286"/>
      <c r="C2577" s="287"/>
      <c r="D2577" s="286"/>
      <c r="E2577" s="286"/>
    </row>
    <row r="2578">
      <c r="A2578" s="286"/>
      <c r="B2578" s="286"/>
      <c r="C2578" s="287"/>
      <c r="D2578" s="286"/>
      <c r="E2578" s="286"/>
    </row>
    <row r="2579">
      <c r="A2579" s="286"/>
      <c r="B2579" s="286"/>
      <c r="C2579" s="287"/>
      <c r="D2579" s="286"/>
      <c r="E2579" s="286"/>
    </row>
    <row r="2580">
      <c r="A2580" s="286"/>
      <c r="B2580" s="286"/>
      <c r="C2580" s="287"/>
      <c r="D2580" s="286"/>
      <c r="E2580" s="286"/>
    </row>
    <row r="2581">
      <c r="A2581" s="286"/>
      <c r="B2581" s="286"/>
      <c r="C2581" s="287"/>
      <c r="D2581" s="286"/>
      <c r="E2581" s="286"/>
    </row>
    <row r="2582">
      <c r="A2582" s="286"/>
      <c r="B2582" s="286"/>
      <c r="C2582" s="287"/>
      <c r="D2582" s="286"/>
      <c r="E2582" s="286"/>
    </row>
    <row r="2583">
      <c r="A2583" s="286"/>
      <c r="B2583" s="286"/>
      <c r="C2583" s="287"/>
      <c r="D2583" s="286"/>
      <c r="E2583" s="286"/>
    </row>
    <row r="2584">
      <c r="A2584" s="286"/>
      <c r="B2584" s="286"/>
      <c r="C2584" s="287"/>
      <c r="D2584" s="286"/>
      <c r="E2584" s="286"/>
    </row>
    <row r="2585">
      <c r="A2585" s="286"/>
      <c r="B2585" s="286"/>
      <c r="C2585" s="287"/>
      <c r="D2585" s="286"/>
      <c r="E2585" s="286"/>
    </row>
    <row r="2586">
      <c r="A2586" s="286"/>
      <c r="B2586" s="286"/>
      <c r="C2586" s="287"/>
      <c r="D2586" s="286"/>
      <c r="E2586" s="286"/>
    </row>
    <row r="2587">
      <c r="A2587" s="286"/>
      <c r="B2587" s="286"/>
      <c r="C2587" s="287"/>
      <c r="D2587" s="286"/>
      <c r="E2587" s="286"/>
    </row>
    <row r="2588">
      <c r="A2588" s="286"/>
      <c r="B2588" s="286"/>
      <c r="C2588" s="287"/>
      <c r="D2588" s="286"/>
      <c r="E2588" s="286"/>
    </row>
    <row r="2589">
      <c r="A2589" s="286"/>
      <c r="B2589" s="286"/>
      <c r="C2589" s="287"/>
      <c r="D2589" s="286"/>
      <c r="E2589" s="286"/>
    </row>
    <row r="2590">
      <c r="A2590" s="286"/>
      <c r="B2590" s="286"/>
      <c r="C2590" s="287"/>
      <c r="D2590" s="286"/>
      <c r="E2590" s="286"/>
    </row>
    <row r="2591">
      <c r="A2591" s="286"/>
      <c r="B2591" s="286"/>
      <c r="C2591" s="287"/>
      <c r="D2591" s="286"/>
      <c r="E2591" s="286"/>
    </row>
    <row r="2592">
      <c r="A2592" s="286"/>
      <c r="B2592" s="286"/>
      <c r="C2592" s="287"/>
      <c r="D2592" s="286"/>
      <c r="E2592" s="286"/>
    </row>
    <row r="2593">
      <c r="A2593" s="286"/>
      <c r="B2593" s="286"/>
      <c r="C2593" s="287"/>
      <c r="D2593" s="286"/>
      <c r="E2593" s="286"/>
    </row>
    <row r="2594">
      <c r="A2594" s="286"/>
      <c r="B2594" s="286"/>
      <c r="C2594" s="287"/>
      <c r="D2594" s="286"/>
      <c r="E2594" s="286"/>
    </row>
    <row r="2595">
      <c r="A2595" s="286"/>
      <c r="B2595" s="286"/>
      <c r="C2595" s="287"/>
      <c r="D2595" s="286"/>
      <c r="E2595" s="286"/>
    </row>
    <row r="2596">
      <c r="A2596" s="286"/>
      <c r="B2596" s="286"/>
      <c r="C2596" s="287"/>
      <c r="D2596" s="286"/>
      <c r="E2596" s="286"/>
    </row>
    <row r="2597">
      <c r="A2597" s="286"/>
      <c r="B2597" s="286"/>
      <c r="C2597" s="287"/>
      <c r="D2597" s="286"/>
      <c r="E2597" s="286"/>
    </row>
    <row r="2598">
      <c r="A2598" s="286"/>
      <c r="B2598" s="286"/>
      <c r="C2598" s="287"/>
      <c r="D2598" s="286"/>
      <c r="E2598" s="286"/>
    </row>
    <row r="2599">
      <c r="A2599" s="286"/>
      <c r="B2599" s="286"/>
      <c r="C2599" s="287"/>
      <c r="D2599" s="286"/>
      <c r="E2599" s="286"/>
    </row>
    <row r="2600">
      <c r="A2600" s="286"/>
      <c r="B2600" s="286"/>
      <c r="C2600" s="287"/>
      <c r="D2600" s="286"/>
      <c r="E2600" s="286"/>
    </row>
    <row r="2601">
      <c r="A2601" s="286"/>
      <c r="B2601" s="286"/>
      <c r="C2601" s="287"/>
      <c r="D2601" s="286"/>
      <c r="E2601" s="286"/>
    </row>
    <row r="2602">
      <c r="A2602" s="286"/>
      <c r="B2602" s="286"/>
      <c r="C2602" s="287"/>
      <c r="D2602" s="286"/>
      <c r="E2602" s="286"/>
    </row>
    <row r="2603">
      <c r="A2603" s="286"/>
      <c r="B2603" s="286"/>
      <c r="C2603" s="287"/>
      <c r="D2603" s="286"/>
      <c r="E2603" s="286"/>
    </row>
    <row r="2604">
      <c r="A2604" s="286"/>
      <c r="B2604" s="286"/>
      <c r="C2604" s="287"/>
      <c r="D2604" s="286"/>
      <c r="E2604" s="286"/>
    </row>
    <row r="2605">
      <c r="A2605" s="286"/>
      <c r="B2605" s="286"/>
      <c r="C2605" s="287"/>
      <c r="D2605" s="286"/>
      <c r="E2605" s="286"/>
    </row>
    <row r="2606">
      <c r="A2606" s="286"/>
      <c r="B2606" s="286"/>
      <c r="C2606" s="287"/>
      <c r="D2606" s="286"/>
      <c r="E2606" s="286"/>
    </row>
    <row r="2607">
      <c r="A2607" s="286"/>
      <c r="B2607" s="286"/>
      <c r="C2607" s="287"/>
      <c r="D2607" s="286"/>
      <c r="E2607" s="286"/>
    </row>
    <row r="2608">
      <c r="A2608" s="286"/>
      <c r="B2608" s="286"/>
      <c r="C2608" s="287"/>
      <c r="D2608" s="286"/>
      <c r="E2608" s="286"/>
    </row>
    <row r="2609">
      <c r="A2609" s="286"/>
      <c r="B2609" s="286"/>
      <c r="C2609" s="287"/>
      <c r="D2609" s="286"/>
      <c r="E2609" s="286"/>
    </row>
    <row r="2610">
      <c r="A2610" s="286"/>
      <c r="B2610" s="286"/>
      <c r="C2610" s="287"/>
      <c r="D2610" s="286"/>
      <c r="E2610" s="286"/>
    </row>
    <row r="2611">
      <c r="A2611" s="286"/>
      <c r="B2611" s="286"/>
      <c r="C2611" s="287"/>
      <c r="D2611" s="286"/>
      <c r="E2611" s="286"/>
    </row>
    <row r="2612">
      <c r="A2612" s="286"/>
      <c r="B2612" s="286"/>
      <c r="C2612" s="287"/>
      <c r="D2612" s="286"/>
      <c r="E2612" s="286"/>
    </row>
    <row r="2613">
      <c r="A2613" s="286"/>
      <c r="B2613" s="286"/>
      <c r="C2613" s="287"/>
      <c r="D2613" s="286"/>
      <c r="E2613" s="286"/>
    </row>
    <row r="2614">
      <c r="A2614" s="286"/>
      <c r="B2614" s="286"/>
      <c r="C2614" s="287"/>
      <c r="D2614" s="286"/>
      <c r="E2614" s="286"/>
    </row>
    <row r="2615">
      <c r="A2615" s="286"/>
      <c r="B2615" s="286"/>
      <c r="C2615" s="287"/>
      <c r="D2615" s="286"/>
      <c r="E2615" s="286"/>
    </row>
    <row r="2616">
      <c r="A2616" s="286"/>
      <c r="B2616" s="286"/>
      <c r="C2616" s="287"/>
      <c r="D2616" s="286"/>
      <c r="E2616" s="286"/>
    </row>
    <row r="2617">
      <c r="A2617" s="286"/>
      <c r="B2617" s="286"/>
      <c r="C2617" s="287"/>
      <c r="D2617" s="286"/>
      <c r="E2617" s="286"/>
    </row>
    <row r="2618">
      <c r="A2618" s="286"/>
      <c r="B2618" s="286"/>
      <c r="C2618" s="287"/>
      <c r="D2618" s="286"/>
      <c r="E2618" s="286"/>
    </row>
    <row r="2619">
      <c r="A2619" s="286"/>
      <c r="B2619" s="286"/>
      <c r="C2619" s="287"/>
      <c r="D2619" s="286"/>
      <c r="E2619" s="286"/>
    </row>
    <row r="2620">
      <c r="A2620" s="286"/>
      <c r="B2620" s="286"/>
      <c r="C2620" s="287"/>
      <c r="D2620" s="286"/>
      <c r="E2620" s="286"/>
    </row>
    <row r="2621">
      <c r="A2621" s="286"/>
      <c r="B2621" s="286"/>
      <c r="C2621" s="287"/>
      <c r="D2621" s="286"/>
      <c r="E2621" s="286"/>
    </row>
    <row r="2622">
      <c r="A2622" s="286"/>
      <c r="B2622" s="286"/>
      <c r="C2622" s="287"/>
      <c r="D2622" s="286"/>
      <c r="E2622" s="286"/>
    </row>
    <row r="2623">
      <c r="A2623" s="286"/>
      <c r="B2623" s="286"/>
      <c r="C2623" s="287"/>
      <c r="D2623" s="286"/>
      <c r="E2623" s="286"/>
    </row>
    <row r="2624">
      <c r="A2624" s="286"/>
      <c r="B2624" s="286"/>
      <c r="C2624" s="287"/>
      <c r="D2624" s="286"/>
      <c r="E2624" s="286"/>
    </row>
    <row r="2625">
      <c r="A2625" s="286"/>
      <c r="B2625" s="286"/>
      <c r="C2625" s="287"/>
      <c r="D2625" s="286"/>
      <c r="E2625" s="286"/>
    </row>
    <row r="2626">
      <c r="A2626" s="286"/>
      <c r="B2626" s="286"/>
      <c r="C2626" s="287"/>
      <c r="D2626" s="286"/>
      <c r="E2626" s="286"/>
    </row>
    <row r="2627">
      <c r="A2627" s="286"/>
      <c r="B2627" s="286"/>
      <c r="C2627" s="287"/>
      <c r="D2627" s="286"/>
      <c r="E2627" s="286"/>
    </row>
    <row r="2628">
      <c r="A2628" s="286"/>
      <c r="B2628" s="286"/>
      <c r="C2628" s="287"/>
      <c r="D2628" s="286"/>
      <c r="E2628" s="286"/>
    </row>
    <row r="2629">
      <c r="A2629" s="286"/>
      <c r="B2629" s="286"/>
      <c r="C2629" s="287"/>
      <c r="D2629" s="286"/>
      <c r="E2629" s="286"/>
    </row>
    <row r="2630">
      <c r="A2630" s="286"/>
      <c r="B2630" s="286"/>
      <c r="C2630" s="287"/>
      <c r="D2630" s="286"/>
      <c r="E2630" s="286"/>
    </row>
    <row r="2631">
      <c r="A2631" s="286"/>
      <c r="B2631" s="286"/>
      <c r="C2631" s="287"/>
      <c r="D2631" s="286"/>
      <c r="E2631" s="286"/>
    </row>
    <row r="2632">
      <c r="A2632" s="286"/>
      <c r="B2632" s="286"/>
      <c r="C2632" s="287"/>
      <c r="D2632" s="286"/>
      <c r="E2632" s="286"/>
    </row>
    <row r="2633">
      <c r="A2633" s="286"/>
      <c r="B2633" s="286"/>
      <c r="C2633" s="287"/>
      <c r="D2633" s="286"/>
      <c r="E2633" s="286"/>
    </row>
    <row r="2634">
      <c r="A2634" s="286"/>
      <c r="B2634" s="286"/>
      <c r="C2634" s="287"/>
      <c r="D2634" s="286"/>
      <c r="E2634" s="286"/>
    </row>
    <row r="2635">
      <c r="A2635" s="286"/>
      <c r="B2635" s="286"/>
      <c r="C2635" s="287"/>
      <c r="D2635" s="286"/>
      <c r="E2635" s="286"/>
    </row>
    <row r="2636">
      <c r="A2636" s="286"/>
      <c r="B2636" s="286"/>
      <c r="C2636" s="287"/>
      <c r="D2636" s="286"/>
      <c r="E2636" s="286"/>
    </row>
    <row r="2637">
      <c r="A2637" s="286"/>
      <c r="B2637" s="286"/>
      <c r="C2637" s="287"/>
      <c r="D2637" s="286"/>
      <c r="E2637" s="286"/>
    </row>
    <row r="2638">
      <c r="A2638" s="286"/>
      <c r="B2638" s="286"/>
      <c r="C2638" s="287"/>
      <c r="D2638" s="286"/>
      <c r="E2638" s="286"/>
    </row>
    <row r="2639">
      <c r="A2639" s="286"/>
      <c r="B2639" s="286"/>
      <c r="C2639" s="287"/>
      <c r="D2639" s="286"/>
      <c r="E2639" s="286"/>
    </row>
    <row r="2640">
      <c r="A2640" s="286"/>
      <c r="B2640" s="286"/>
      <c r="C2640" s="287"/>
      <c r="D2640" s="286"/>
      <c r="E2640" s="286"/>
    </row>
    <row r="2641">
      <c r="A2641" s="286"/>
      <c r="B2641" s="286"/>
      <c r="C2641" s="287"/>
      <c r="D2641" s="286"/>
      <c r="E2641" s="286"/>
    </row>
    <row r="2642">
      <c r="A2642" s="286"/>
      <c r="B2642" s="286"/>
      <c r="C2642" s="287"/>
      <c r="D2642" s="286"/>
      <c r="E2642" s="286"/>
    </row>
    <row r="2643">
      <c r="A2643" s="286"/>
      <c r="B2643" s="286"/>
      <c r="C2643" s="287"/>
      <c r="D2643" s="286"/>
      <c r="E2643" s="286"/>
    </row>
    <row r="2644">
      <c r="A2644" s="286"/>
      <c r="B2644" s="286"/>
      <c r="C2644" s="287"/>
      <c r="D2644" s="286"/>
      <c r="E2644" s="286"/>
    </row>
    <row r="2645">
      <c r="A2645" s="286"/>
      <c r="B2645" s="286"/>
      <c r="C2645" s="287"/>
      <c r="D2645" s="286"/>
      <c r="E2645" s="286"/>
    </row>
    <row r="2646">
      <c r="A2646" s="286"/>
      <c r="B2646" s="286"/>
      <c r="C2646" s="287"/>
      <c r="D2646" s="286"/>
      <c r="E2646" s="286"/>
    </row>
    <row r="2647">
      <c r="A2647" s="286"/>
      <c r="B2647" s="286"/>
      <c r="C2647" s="287"/>
      <c r="D2647" s="286"/>
      <c r="E2647" s="286"/>
    </row>
    <row r="2648">
      <c r="A2648" s="286"/>
      <c r="B2648" s="286"/>
      <c r="C2648" s="287"/>
      <c r="D2648" s="286"/>
      <c r="E2648" s="286"/>
    </row>
    <row r="2649">
      <c r="A2649" s="286"/>
      <c r="B2649" s="286"/>
      <c r="C2649" s="287"/>
      <c r="D2649" s="286"/>
      <c r="E2649" s="286"/>
    </row>
    <row r="2650">
      <c r="A2650" s="286"/>
      <c r="B2650" s="286"/>
      <c r="C2650" s="287"/>
      <c r="D2650" s="286"/>
      <c r="E2650" s="286"/>
    </row>
    <row r="2651">
      <c r="A2651" s="286"/>
      <c r="B2651" s="286"/>
      <c r="C2651" s="287"/>
      <c r="D2651" s="286"/>
      <c r="E2651" s="286"/>
    </row>
    <row r="2652">
      <c r="A2652" s="286"/>
      <c r="B2652" s="286"/>
      <c r="C2652" s="287"/>
      <c r="D2652" s="286"/>
      <c r="E2652" s="286"/>
    </row>
    <row r="2653">
      <c r="A2653" s="286"/>
      <c r="B2653" s="286"/>
      <c r="C2653" s="287"/>
      <c r="D2653" s="286"/>
      <c r="E2653" s="286"/>
    </row>
    <row r="2654">
      <c r="A2654" s="286"/>
      <c r="B2654" s="286"/>
      <c r="C2654" s="287"/>
      <c r="D2654" s="286"/>
      <c r="E2654" s="286"/>
    </row>
    <row r="2655">
      <c r="A2655" s="286"/>
      <c r="B2655" s="286"/>
      <c r="C2655" s="287"/>
      <c r="D2655" s="286"/>
      <c r="E2655" s="286"/>
    </row>
    <row r="2656">
      <c r="A2656" s="286"/>
      <c r="B2656" s="286"/>
      <c r="C2656" s="287"/>
      <c r="D2656" s="286"/>
      <c r="E2656" s="286"/>
    </row>
    <row r="2657">
      <c r="A2657" s="286"/>
      <c r="B2657" s="286"/>
      <c r="C2657" s="287"/>
      <c r="D2657" s="286"/>
      <c r="E2657" s="286"/>
    </row>
    <row r="2658">
      <c r="A2658" s="286"/>
      <c r="B2658" s="286"/>
      <c r="C2658" s="287"/>
      <c r="D2658" s="286"/>
      <c r="E2658" s="286"/>
    </row>
    <row r="2659">
      <c r="A2659" s="286"/>
      <c r="B2659" s="286"/>
      <c r="C2659" s="287"/>
      <c r="D2659" s="286"/>
      <c r="E2659" s="286"/>
    </row>
    <row r="2660">
      <c r="A2660" s="286"/>
      <c r="B2660" s="286"/>
      <c r="C2660" s="287"/>
      <c r="D2660" s="286"/>
      <c r="E2660" s="286"/>
    </row>
    <row r="2661">
      <c r="A2661" s="286"/>
      <c r="B2661" s="286"/>
      <c r="C2661" s="287"/>
      <c r="D2661" s="286"/>
      <c r="E2661" s="286"/>
    </row>
    <row r="2662">
      <c r="A2662" s="286"/>
      <c r="B2662" s="286"/>
      <c r="C2662" s="287"/>
      <c r="D2662" s="286"/>
      <c r="E2662" s="286"/>
    </row>
    <row r="2663">
      <c r="A2663" s="286"/>
      <c r="B2663" s="286"/>
      <c r="C2663" s="287"/>
      <c r="D2663" s="286"/>
      <c r="E2663" s="286"/>
    </row>
    <row r="2664">
      <c r="A2664" s="286"/>
      <c r="B2664" s="286"/>
      <c r="C2664" s="287"/>
      <c r="D2664" s="286"/>
      <c r="E2664" s="286"/>
    </row>
    <row r="2665">
      <c r="A2665" s="286"/>
      <c r="B2665" s="286"/>
      <c r="C2665" s="287"/>
      <c r="D2665" s="286"/>
      <c r="E2665" s="286"/>
    </row>
    <row r="2666">
      <c r="A2666" s="286"/>
      <c r="B2666" s="286"/>
      <c r="C2666" s="287"/>
      <c r="D2666" s="286"/>
      <c r="E2666" s="286"/>
    </row>
    <row r="2667">
      <c r="A2667" s="286"/>
      <c r="B2667" s="286"/>
      <c r="C2667" s="287"/>
      <c r="D2667" s="286"/>
      <c r="E2667" s="286"/>
    </row>
    <row r="2668">
      <c r="A2668" s="286"/>
      <c r="B2668" s="286"/>
      <c r="C2668" s="287"/>
      <c r="D2668" s="286"/>
      <c r="E2668" s="286"/>
    </row>
    <row r="2669">
      <c r="A2669" s="286"/>
      <c r="B2669" s="286"/>
      <c r="C2669" s="287"/>
      <c r="D2669" s="286"/>
      <c r="E2669" s="286"/>
    </row>
    <row r="2670">
      <c r="A2670" s="286"/>
      <c r="B2670" s="286"/>
      <c r="C2670" s="287"/>
      <c r="D2670" s="286"/>
      <c r="E2670" s="286"/>
    </row>
    <row r="2671">
      <c r="A2671" s="286"/>
      <c r="B2671" s="286"/>
      <c r="C2671" s="287"/>
      <c r="D2671" s="286"/>
      <c r="E2671" s="286"/>
    </row>
    <row r="2672">
      <c r="A2672" s="286"/>
      <c r="B2672" s="286"/>
      <c r="C2672" s="287"/>
      <c r="D2672" s="286"/>
      <c r="E2672" s="286"/>
    </row>
    <row r="2673">
      <c r="A2673" s="286"/>
      <c r="B2673" s="286"/>
      <c r="C2673" s="287"/>
      <c r="D2673" s="286"/>
      <c r="E2673" s="286"/>
    </row>
    <row r="2674">
      <c r="A2674" s="286"/>
      <c r="B2674" s="286"/>
      <c r="C2674" s="287"/>
      <c r="D2674" s="286"/>
      <c r="E2674" s="286"/>
    </row>
    <row r="2675">
      <c r="A2675" s="286"/>
      <c r="B2675" s="286"/>
      <c r="C2675" s="287"/>
      <c r="D2675" s="286"/>
      <c r="E2675" s="286"/>
    </row>
    <row r="2676">
      <c r="A2676" s="286"/>
      <c r="B2676" s="286"/>
      <c r="C2676" s="287"/>
      <c r="D2676" s="286"/>
      <c r="E2676" s="286"/>
    </row>
    <row r="2677">
      <c r="A2677" s="286"/>
      <c r="B2677" s="286"/>
      <c r="C2677" s="287"/>
      <c r="D2677" s="286"/>
      <c r="E2677" s="286"/>
    </row>
    <row r="2678">
      <c r="A2678" s="286"/>
      <c r="B2678" s="286"/>
      <c r="C2678" s="287"/>
      <c r="D2678" s="286"/>
      <c r="E2678" s="286"/>
    </row>
    <row r="2679">
      <c r="A2679" s="286"/>
      <c r="B2679" s="286"/>
      <c r="C2679" s="287"/>
      <c r="D2679" s="286"/>
      <c r="E2679" s="286"/>
    </row>
    <row r="2680">
      <c r="A2680" s="286"/>
      <c r="B2680" s="286"/>
      <c r="C2680" s="287"/>
      <c r="D2680" s="286"/>
      <c r="E2680" s="286"/>
    </row>
    <row r="2681">
      <c r="A2681" s="286"/>
      <c r="B2681" s="286"/>
      <c r="C2681" s="287"/>
      <c r="D2681" s="286"/>
      <c r="E2681" s="286"/>
    </row>
    <row r="2682">
      <c r="A2682" s="286"/>
      <c r="B2682" s="286"/>
      <c r="C2682" s="287"/>
      <c r="D2682" s="286"/>
      <c r="E2682" s="286"/>
    </row>
    <row r="2683">
      <c r="A2683" s="286"/>
      <c r="B2683" s="286"/>
      <c r="C2683" s="287"/>
      <c r="D2683" s="286"/>
      <c r="E2683" s="286"/>
    </row>
    <row r="2684">
      <c r="A2684" s="286"/>
      <c r="B2684" s="286"/>
      <c r="C2684" s="287"/>
      <c r="D2684" s="286"/>
      <c r="E2684" s="286"/>
    </row>
    <row r="2685">
      <c r="A2685" s="286"/>
      <c r="B2685" s="286"/>
      <c r="C2685" s="287"/>
      <c r="D2685" s="286"/>
      <c r="E2685" s="286"/>
    </row>
    <row r="2686">
      <c r="A2686" s="286"/>
      <c r="B2686" s="286"/>
      <c r="C2686" s="287"/>
      <c r="D2686" s="286"/>
      <c r="E2686" s="286"/>
    </row>
    <row r="2687">
      <c r="A2687" s="286"/>
      <c r="B2687" s="286"/>
      <c r="C2687" s="287"/>
      <c r="D2687" s="286"/>
      <c r="E2687" s="286"/>
    </row>
    <row r="2688">
      <c r="A2688" s="286"/>
      <c r="B2688" s="286"/>
      <c r="C2688" s="287"/>
      <c r="D2688" s="286"/>
      <c r="E2688" s="286"/>
    </row>
    <row r="2689">
      <c r="A2689" s="286"/>
      <c r="B2689" s="286"/>
      <c r="C2689" s="287"/>
      <c r="D2689" s="286"/>
      <c r="E2689" s="286"/>
    </row>
    <row r="2690">
      <c r="A2690" s="286"/>
      <c r="B2690" s="286"/>
      <c r="C2690" s="287"/>
      <c r="D2690" s="286"/>
      <c r="E2690" s="286"/>
    </row>
    <row r="2691">
      <c r="A2691" s="286"/>
      <c r="B2691" s="286"/>
      <c r="C2691" s="287"/>
      <c r="D2691" s="286"/>
      <c r="E2691" s="286"/>
    </row>
    <row r="2692">
      <c r="A2692" s="286"/>
      <c r="B2692" s="286"/>
      <c r="C2692" s="287"/>
      <c r="D2692" s="286"/>
      <c r="E2692" s="286"/>
    </row>
    <row r="2693">
      <c r="A2693" s="286"/>
      <c r="B2693" s="286"/>
      <c r="C2693" s="287"/>
      <c r="D2693" s="286"/>
      <c r="E2693" s="286"/>
    </row>
    <row r="2694">
      <c r="A2694" s="286"/>
      <c r="B2694" s="286"/>
      <c r="C2694" s="287"/>
      <c r="D2694" s="286"/>
      <c r="E2694" s="286"/>
    </row>
    <row r="2695">
      <c r="A2695" s="286"/>
      <c r="B2695" s="286"/>
      <c r="C2695" s="287"/>
      <c r="D2695" s="286"/>
      <c r="E2695" s="286"/>
    </row>
    <row r="2696">
      <c r="A2696" s="286"/>
      <c r="B2696" s="286"/>
      <c r="C2696" s="287"/>
      <c r="D2696" s="286"/>
      <c r="E2696" s="286"/>
    </row>
    <row r="2697">
      <c r="A2697" s="286"/>
      <c r="B2697" s="286"/>
      <c r="C2697" s="287"/>
      <c r="D2697" s="286"/>
      <c r="E2697" s="286"/>
    </row>
    <row r="2698">
      <c r="A2698" s="286"/>
      <c r="B2698" s="286"/>
      <c r="C2698" s="287"/>
      <c r="D2698" s="286"/>
      <c r="E2698" s="286"/>
    </row>
    <row r="2699">
      <c r="A2699" s="286"/>
      <c r="B2699" s="286"/>
      <c r="C2699" s="287"/>
      <c r="D2699" s="286"/>
      <c r="E2699" s="286"/>
    </row>
    <row r="2700">
      <c r="A2700" s="286"/>
      <c r="B2700" s="286"/>
      <c r="C2700" s="287"/>
      <c r="D2700" s="286"/>
      <c r="E2700" s="286"/>
    </row>
    <row r="2701">
      <c r="A2701" s="286"/>
      <c r="B2701" s="286"/>
      <c r="C2701" s="287"/>
      <c r="D2701" s="286"/>
      <c r="E2701" s="286"/>
    </row>
    <row r="2702">
      <c r="A2702" s="286"/>
      <c r="B2702" s="286"/>
      <c r="C2702" s="287"/>
      <c r="D2702" s="286"/>
      <c r="E2702" s="286"/>
    </row>
    <row r="2703">
      <c r="A2703" s="286"/>
      <c r="B2703" s="286"/>
      <c r="C2703" s="287"/>
      <c r="D2703" s="286"/>
      <c r="E2703" s="286"/>
    </row>
    <row r="2704">
      <c r="A2704" s="286"/>
      <c r="B2704" s="286"/>
      <c r="C2704" s="287"/>
      <c r="D2704" s="286"/>
      <c r="E2704" s="286"/>
    </row>
    <row r="2705">
      <c r="A2705" s="286"/>
      <c r="B2705" s="286"/>
      <c r="C2705" s="287"/>
      <c r="D2705" s="286"/>
      <c r="E2705" s="286"/>
    </row>
    <row r="2706">
      <c r="A2706" s="286"/>
      <c r="B2706" s="286"/>
      <c r="C2706" s="287"/>
      <c r="D2706" s="286"/>
      <c r="E2706" s="286"/>
    </row>
    <row r="2707">
      <c r="A2707" s="286"/>
      <c r="B2707" s="286"/>
      <c r="C2707" s="287"/>
      <c r="D2707" s="286"/>
      <c r="E2707" s="286"/>
    </row>
    <row r="2708">
      <c r="A2708" s="286"/>
      <c r="B2708" s="286"/>
      <c r="C2708" s="287"/>
      <c r="D2708" s="286"/>
      <c r="E2708" s="286"/>
    </row>
    <row r="2709">
      <c r="A2709" s="286"/>
      <c r="B2709" s="286"/>
      <c r="C2709" s="287"/>
      <c r="D2709" s="286"/>
      <c r="E2709" s="286"/>
    </row>
    <row r="2710">
      <c r="A2710" s="286"/>
      <c r="B2710" s="286"/>
      <c r="C2710" s="287"/>
      <c r="D2710" s="286"/>
      <c r="E2710" s="286"/>
    </row>
    <row r="2711">
      <c r="A2711" s="286"/>
      <c r="B2711" s="286"/>
      <c r="C2711" s="287"/>
      <c r="D2711" s="286"/>
      <c r="E2711" s="286"/>
    </row>
    <row r="2712">
      <c r="A2712" s="286"/>
      <c r="B2712" s="286"/>
      <c r="C2712" s="287"/>
      <c r="D2712" s="286"/>
      <c r="E2712" s="286"/>
    </row>
    <row r="2713">
      <c r="A2713" s="286"/>
      <c r="B2713" s="286"/>
      <c r="C2713" s="287"/>
      <c r="D2713" s="286"/>
      <c r="E2713" s="286"/>
    </row>
    <row r="2714">
      <c r="A2714" s="286"/>
      <c r="B2714" s="286"/>
      <c r="C2714" s="287"/>
      <c r="D2714" s="286"/>
      <c r="E2714" s="286"/>
    </row>
    <row r="2715">
      <c r="A2715" s="286"/>
      <c r="B2715" s="286"/>
      <c r="C2715" s="287"/>
      <c r="D2715" s="286"/>
      <c r="E2715" s="286"/>
    </row>
    <row r="2716">
      <c r="A2716" s="286"/>
      <c r="B2716" s="286"/>
      <c r="C2716" s="287"/>
      <c r="D2716" s="286"/>
      <c r="E2716" s="286"/>
    </row>
    <row r="2717">
      <c r="A2717" s="286"/>
      <c r="B2717" s="286"/>
      <c r="C2717" s="287"/>
      <c r="D2717" s="286"/>
      <c r="E2717" s="286"/>
    </row>
    <row r="2718">
      <c r="A2718" s="286"/>
      <c r="B2718" s="286"/>
      <c r="C2718" s="287"/>
      <c r="D2718" s="286"/>
      <c r="E2718" s="286"/>
    </row>
    <row r="2719">
      <c r="A2719" s="286"/>
      <c r="B2719" s="286"/>
      <c r="C2719" s="287"/>
      <c r="D2719" s="286"/>
      <c r="E2719" s="286"/>
    </row>
    <row r="2720">
      <c r="A2720" s="286"/>
      <c r="B2720" s="286"/>
      <c r="C2720" s="287"/>
      <c r="D2720" s="286"/>
      <c r="E2720" s="286"/>
    </row>
    <row r="2721">
      <c r="A2721" s="286"/>
      <c r="B2721" s="286"/>
      <c r="C2721" s="287"/>
      <c r="D2721" s="286"/>
      <c r="E2721" s="286"/>
    </row>
    <row r="2722">
      <c r="A2722" s="286"/>
      <c r="B2722" s="286"/>
      <c r="C2722" s="287"/>
      <c r="D2722" s="286"/>
      <c r="E2722" s="286"/>
    </row>
    <row r="2723">
      <c r="A2723" s="286"/>
      <c r="B2723" s="286"/>
      <c r="C2723" s="287"/>
      <c r="D2723" s="286"/>
      <c r="E2723" s="286"/>
    </row>
    <row r="2724">
      <c r="A2724" s="286"/>
      <c r="B2724" s="286"/>
      <c r="C2724" s="287"/>
      <c r="D2724" s="286"/>
      <c r="E2724" s="286"/>
    </row>
    <row r="2725">
      <c r="A2725" s="286"/>
      <c r="B2725" s="286"/>
      <c r="C2725" s="287"/>
      <c r="D2725" s="286"/>
      <c r="E2725" s="286"/>
    </row>
    <row r="2726">
      <c r="A2726" s="286"/>
      <c r="B2726" s="286"/>
      <c r="C2726" s="287"/>
      <c r="D2726" s="286"/>
      <c r="E2726" s="286"/>
    </row>
    <row r="2727">
      <c r="A2727" s="286"/>
      <c r="B2727" s="286"/>
      <c r="C2727" s="287"/>
      <c r="D2727" s="286"/>
      <c r="E2727" s="286"/>
    </row>
    <row r="2728">
      <c r="A2728" s="286"/>
      <c r="B2728" s="286"/>
      <c r="C2728" s="287"/>
      <c r="D2728" s="286"/>
      <c r="E2728" s="286"/>
    </row>
    <row r="2729">
      <c r="A2729" s="286"/>
      <c r="B2729" s="286"/>
      <c r="C2729" s="287"/>
      <c r="D2729" s="286"/>
      <c r="E2729" s="286"/>
    </row>
    <row r="2730">
      <c r="A2730" s="286"/>
      <c r="B2730" s="286"/>
      <c r="C2730" s="287"/>
      <c r="D2730" s="286"/>
      <c r="E2730" s="286"/>
    </row>
    <row r="2731">
      <c r="A2731" s="286"/>
      <c r="B2731" s="286"/>
      <c r="C2731" s="287"/>
      <c r="D2731" s="286"/>
      <c r="E2731" s="286"/>
    </row>
    <row r="2732">
      <c r="A2732" s="286"/>
      <c r="B2732" s="286"/>
      <c r="C2732" s="287"/>
      <c r="D2732" s="286"/>
      <c r="E2732" s="286"/>
    </row>
    <row r="2733">
      <c r="A2733" s="286"/>
      <c r="B2733" s="286"/>
      <c r="C2733" s="287"/>
      <c r="D2733" s="286"/>
      <c r="E2733" s="286"/>
    </row>
    <row r="2734">
      <c r="A2734" s="286"/>
      <c r="B2734" s="286"/>
      <c r="C2734" s="287"/>
      <c r="D2734" s="286"/>
      <c r="E2734" s="286"/>
    </row>
    <row r="2735">
      <c r="A2735" s="286"/>
      <c r="B2735" s="286"/>
      <c r="C2735" s="287"/>
      <c r="D2735" s="286"/>
      <c r="E2735" s="286"/>
    </row>
    <row r="2736">
      <c r="A2736" s="286"/>
      <c r="B2736" s="286"/>
      <c r="C2736" s="287"/>
      <c r="D2736" s="286"/>
      <c r="E2736" s="286"/>
    </row>
    <row r="2737">
      <c r="A2737" s="286"/>
      <c r="B2737" s="286"/>
      <c r="C2737" s="287"/>
      <c r="D2737" s="286"/>
      <c r="E2737" s="286"/>
    </row>
    <row r="2738">
      <c r="A2738" s="286"/>
      <c r="B2738" s="286"/>
      <c r="C2738" s="287"/>
      <c r="D2738" s="286"/>
      <c r="E2738" s="286"/>
    </row>
    <row r="2739">
      <c r="A2739" s="286"/>
      <c r="B2739" s="286"/>
      <c r="C2739" s="287"/>
      <c r="D2739" s="286"/>
      <c r="E2739" s="286"/>
    </row>
    <row r="2740">
      <c r="A2740" s="286"/>
      <c r="B2740" s="286"/>
      <c r="C2740" s="287"/>
      <c r="D2740" s="286"/>
      <c r="E2740" s="286"/>
    </row>
    <row r="2741">
      <c r="A2741" s="286"/>
      <c r="B2741" s="286"/>
      <c r="C2741" s="287"/>
      <c r="D2741" s="286"/>
      <c r="E2741" s="286"/>
    </row>
    <row r="2742">
      <c r="A2742" s="286"/>
      <c r="B2742" s="286"/>
      <c r="C2742" s="287"/>
      <c r="D2742" s="286"/>
      <c r="E2742" s="286"/>
    </row>
    <row r="2743">
      <c r="A2743" s="286"/>
      <c r="B2743" s="286"/>
      <c r="C2743" s="287"/>
      <c r="D2743" s="286"/>
      <c r="E2743" s="286"/>
    </row>
    <row r="2744">
      <c r="A2744" s="286"/>
      <c r="B2744" s="286"/>
      <c r="C2744" s="287"/>
      <c r="D2744" s="286"/>
      <c r="E2744" s="286"/>
    </row>
    <row r="2745">
      <c r="A2745" s="286"/>
      <c r="B2745" s="286"/>
      <c r="C2745" s="287"/>
      <c r="D2745" s="286"/>
      <c r="E2745" s="286"/>
    </row>
    <row r="2746">
      <c r="A2746" s="286"/>
      <c r="B2746" s="286"/>
      <c r="C2746" s="287"/>
      <c r="D2746" s="286"/>
      <c r="E2746" s="286"/>
    </row>
    <row r="2747">
      <c r="A2747" s="286"/>
      <c r="B2747" s="286"/>
      <c r="C2747" s="287"/>
      <c r="D2747" s="286"/>
      <c r="E2747" s="286"/>
    </row>
    <row r="2748">
      <c r="A2748" s="286"/>
      <c r="B2748" s="286"/>
      <c r="C2748" s="287"/>
      <c r="D2748" s="286"/>
      <c r="E2748" s="286"/>
    </row>
    <row r="2749">
      <c r="A2749" s="286"/>
      <c r="B2749" s="286"/>
      <c r="C2749" s="287"/>
      <c r="D2749" s="286"/>
      <c r="E2749" s="286"/>
    </row>
    <row r="2750">
      <c r="A2750" s="286"/>
      <c r="B2750" s="286"/>
      <c r="C2750" s="287"/>
      <c r="D2750" s="286"/>
      <c r="E2750" s="286"/>
    </row>
    <row r="2751">
      <c r="A2751" s="286"/>
      <c r="B2751" s="286"/>
      <c r="C2751" s="287"/>
      <c r="D2751" s="286"/>
      <c r="E2751" s="286"/>
    </row>
    <row r="2752">
      <c r="A2752" s="286"/>
      <c r="B2752" s="286"/>
      <c r="C2752" s="287"/>
      <c r="D2752" s="286"/>
      <c r="E2752" s="286"/>
    </row>
    <row r="2753">
      <c r="A2753" s="286"/>
      <c r="B2753" s="286"/>
      <c r="C2753" s="287"/>
      <c r="D2753" s="286"/>
      <c r="E2753" s="286"/>
    </row>
    <row r="2754">
      <c r="A2754" s="286"/>
      <c r="B2754" s="286"/>
      <c r="C2754" s="287"/>
      <c r="D2754" s="286"/>
      <c r="E2754" s="286"/>
    </row>
    <row r="2755">
      <c r="A2755" s="286"/>
      <c r="B2755" s="286"/>
      <c r="C2755" s="287"/>
      <c r="D2755" s="286"/>
      <c r="E2755" s="286"/>
    </row>
    <row r="2756">
      <c r="A2756" s="286"/>
      <c r="B2756" s="286"/>
      <c r="C2756" s="287"/>
      <c r="D2756" s="286"/>
      <c r="E2756" s="286"/>
    </row>
    <row r="2757">
      <c r="A2757" s="286"/>
      <c r="B2757" s="286"/>
      <c r="C2757" s="287"/>
      <c r="D2757" s="286"/>
      <c r="E2757" s="286"/>
    </row>
    <row r="2758">
      <c r="A2758" s="286"/>
      <c r="B2758" s="286"/>
      <c r="C2758" s="287"/>
      <c r="D2758" s="286"/>
      <c r="E2758" s="286"/>
    </row>
    <row r="2759">
      <c r="A2759" s="286"/>
      <c r="B2759" s="286"/>
      <c r="C2759" s="287"/>
      <c r="D2759" s="286"/>
      <c r="E2759" s="286"/>
    </row>
    <row r="2760">
      <c r="A2760" s="286"/>
      <c r="B2760" s="286"/>
      <c r="C2760" s="287"/>
      <c r="D2760" s="286"/>
      <c r="E2760" s="286"/>
    </row>
    <row r="2761">
      <c r="A2761" s="286"/>
      <c r="B2761" s="286"/>
      <c r="C2761" s="287"/>
      <c r="D2761" s="286"/>
      <c r="E2761" s="286"/>
    </row>
    <row r="2762">
      <c r="A2762" s="286"/>
      <c r="B2762" s="286"/>
      <c r="C2762" s="287"/>
      <c r="D2762" s="286"/>
      <c r="E2762" s="286"/>
    </row>
    <row r="2763">
      <c r="A2763" s="286"/>
      <c r="B2763" s="286"/>
      <c r="C2763" s="287"/>
      <c r="D2763" s="286"/>
      <c r="E2763" s="286"/>
    </row>
    <row r="2764">
      <c r="A2764" s="286"/>
      <c r="B2764" s="286"/>
      <c r="C2764" s="287"/>
      <c r="D2764" s="286"/>
      <c r="E2764" s="286"/>
    </row>
    <row r="2765">
      <c r="A2765" s="286"/>
      <c r="B2765" s="286"/>
      <c r="C2765" s="287"/>
      <c r="D2765" s="286"/>
      <c r="E2765" s="286"/>
    </row>
    <row r="2766">
      <c r="A2766" s="286"/>
      <c r="B2766" s="286"/>
      <c r="C2766" s="287"/>
      <c r="D2766" s="286"/>
      <c r="E2766" s="286"/>
    </row>
    <row r="2767">
      <c r="A2767" s="286"/>
      <c r="B2767" s="286"/>
      <c r="C2767" s="287"/>
      <c r="D2767" s="286"/>
      <c r="E2767" s="286"/>
    </row>
    <row r="2768">
      <c r="A2768" s="286"/>
      <c r="B2768" s="286"/>
      <c r="C2768" s="287"/>
      <c r="D2768" s="286"/>
      <c r="E2768" s="286"/>
    </row>
    <row r="2769">
      <c r="A2769" s="286"/>
      <c r="B2769" s="286"/>
      <c r="C2769" s="287"/>
      <c r="D2769" s="286"/>
      <c r="E2769" s="286"/>
    </row>
    <row r="2770">
      <c r="A2770" s="286"/>
      <c r="B2770" s="286"/>
      <c r="C2770" s="287"/>
      <c r="D2770" s="286"/>
      <c r="E2770" s="286"/>
    </row>
    <row r="2771">
      <c r="A2771" s="286"/>
      <c r="B2771" s="286"/>
      <c r="C2771" s="287"/>
      <c r="D2771" s="286"/>
      <c r="E2771" s="286"/>
    </row>
    <row r="2772">
      <c r="A2772" s="286"/>
      <c r="B2772" s="286"/>
      <c r="C2772" s="287"/>
      <c r="D2772" s="286"/>
      <c r="E2772" s="286"/>
    </row>
    <row r="2773">
      <c r="A2773" s="286"/>
      <c r="B2773" s="286"/>
      <c r="C2773" s="287"/>
      <c r="D2773" s="286"/>
      <c r="E2773" s="286"/>
    </row>
    <row r="2774">
      <c r="A2774" s="286"/>
      <c r="B2774" s="286"/>
      <c r="C2774" s="287"/>
      <c r="D2774" s="286"/>
      <c r="E2774" s="286"/>
    </row>
    <row r="2775">
      <c r="A2775" s="286"/>
      <c r="B2775" s="286"/>
      <c r="C2775" s="287"/>
      <c r="D2775" s="286"/>
      <c r="E2775" s="286"/>
    </row>
    <row r="2776">
      <c r="A2776" s="286"/>
      <c r="B2776" s="286"/>
      <c r="C2776" s="287"/>
      <c r="D2776" s="286"/>
      <c r="E2776" s="286"/>
    </row>
    <row r="2777">
      <c r="A2777" s="286"/>
      <c r="B2777" s="286"/>
      <c r="C2777" s="287"/>
      <c r="D2777" s="286"/>
      <c r="E2777" s="286"/>
    </row>
    <row r="2778">
      <c r="A2778" s="286"/>
      <c r="B2778" s="286"/>
      <c r="C2778" s="287"/>
      <c r="D2778" s="286"/>
      <c r="E2778" s="286"/>
    </row>
    <row r="2779">
      <c r="A2779" s="286"/>
      <c r="B2779" s="286"/>
      <c r="C2779" s="287"/>
      <c r="D2779" s="286"/>
      <c r="E2779" s="286"/>
    </row>
    <row r="2780">
      <c r="A2780" s="286"/>
      <c r="B2780" s="286"/>
      <c r="C2780" s="287"/>
      <c r="D2780" s="286"/>
      <c r="E2780" s="286"/>
    </row>
    <row r="2781">
      <c r="A2781" s="286"/>
      <c r="B2781" s="286"/>
      <c r="C2781" s="287"/>
      <c r="D2781" s="286"/>
      <c r="E2781" s="286"/>
    </row>
    <row r="2782">
      <c r="A2782" s="286"/>
      <c r="B2782" s="286"/>
      <c r="C2782" s="287"/>
      <c r="D2782" s="286"/>
      <c r="E2782" s="286"/>
    </row>
    <row r="2783">
      <c r="A2783" s="286"/>
      <c r="B2783" s="286"/>
      <c r="C2783" s="287"/>
      <c r="D2783" s="286"/>
      <c r="E2783" s="286"/>
    </row>
    <row r="2784">
      <c r="A2784" s="286"/>
      <c r="B2784" s="286"/>
      <c r="C2784" s="287"/>
      <c r="D2784" s="286"/>
      <c r="E2784" s="286"/>
    </row>
    <row r="2785">
      <c r="A2785" s="286"/>
      <c r="B2785" s="286"/>
      <c r="C2785" s="287"/>
      <c r="D2785" s="286"/>
      <c r="E2785" s="286"/>
    </row>
    <row r="2786">
      <c r="A2786" s="286"/>
      <c r="B2786" s="286"/>
      <c r="C2786" s="287"/>
      <c r="D2786" s="286"/>
      <c r="E2786" s="286"/>
    </row>
    <row r="2787">
      <c r="A2787" s="286"/>
      <c r="B2787" s="286"/>
      <c r="C2787" s="287"/>
      <c r="D2787" s="286"/>
      <c r="E2787" s="286"/>
    </row>
    <row r="2788">
      <c r="A2788" s="286"/>
      <c r="B2788" s="286"/>
      <c r="C2788" s="287"/>
      <c r="D2788" s="286"/>
      <c r="E2788" s="286"/>
    </row>
    <row r="2789">
      <c r="A2789" s="286"/>
      <c r="B2789" s="286"/>
      <c r="C2789" s="287"/>
      <c r="D2789" s="286"/>
      <c r="E2789" s="286"/>
    </row>
    <row r="2790">
      <c r="A2790" s="286"/>
      <c r="B2790" s="286"/>
      <c r="C2790" s="287"/>
      <c r="D2790" s="286"/>
      <c r="E2790" s="286"/>
    </row>
    <row r="2791">
      <c r="A2791" s="286"/>
      <c r="B2791" s="286"/>
      <c r="C2791" s="287"/>
      <c r="D2791" s="286"/>
      <c r="E2791" s="286"/>
    </row>
    <row r="2792">
      <c r="A2792" s="286"/>
      <c r="B2792" s="286"/>
      <c r="C2792" s="287"/>
      <c r="D2792" s="286"/>
      <c r="E2792" s="286"/>
    </row>
    <row r="2793">
      <c r="A2793" s="286"/>
      <c r="B2793" s="286"/>
      <c r="C2793" s="287"/>
      <c r="D2793" s="286"/>
      <c r="E2793" s="286"/>
    </row>
    <row r="2794">
      <c r="A2794" s="286"/>
      <c r="B2794" s="286"/>
      <c r="C2794" s="287"/>
      <c r="D2794" s="286"/>
      <c r="E2794" s="286"/>
    </row>
    <row r="2795">
      <c r="A2795" s="286"/>
      <c r="B2795" s="286"/>
      <c r="C2795" s="287"/>
      <c r="D2795" s="286"/>
      <c r="E2795" s="286"/>
    </row>
    <row r="2796">
      <c r="A2796" s="286"/>
      <c r="B2796" s="286"/>
      <c r="C2796" s="287"/>
      <c r="D2796" s="286"/>
      <c r="E2796" s="286"/>
    </row>
    <row r="2797">
      <c r="A2797" s="286"/>
      <c r="B2797" s="286"/>
      <c r="C2797" s="287"/>
      <c r="D2797" s="286"/>
      <c r="E2797" s="286"/>
    </row>
    <row r="2798">
      <c r="A2798" s="286"/>
      <c r="B2798" s="286"/>
      <c r="C2798" s="287"/>
      <c r="D2798" s="286"/>
      <c r="E2798" s="286"/>
    </row>
    <row r="2799">
      <c r="A2799" s="286"/>
      <c r="B2799" s="286"/>
      <c r="C2799" s="287"/>
      <c r="D2799" s="286"/>
      <c r="E2799" s="286"/>
    </row>
    <row r="2800">
      <c r="A2800" s="286"/>
      <c r="B2800" s="286"/>
      <c r="C2800" s="287"/>
      <c r="D2800" s="286"/>
      <c r="E2800" s="286"/>
    </row>
    <row r="2801">
      <c r="A2801" s="286"/>
      <c r="B2801" s="286"/>
      <c r="C2801" s="287"/>
      <c r="D2801" s="286"/>
      <c r="E2801" s="286"/>
    </row>
    <row r="2802">
      <c r="A2802" s="286"/>
      <c r="B2802" s="286"/>
      <c r="C2802" s="287"/>
      <c r="D2802" s="286"/>
      <c r="E2802" s="286"/>
    </row>
    <row r="2803">
      <c r="A2803" s="286"/>
      <c r="B2803" s="286"/>
      <c r="C2803" s="287"/>
      <c r="D2803" s="286"/>
      <c r="E2803" s="286"/>
    </row>
    <row r="2804">
      <c r="A2804" s="286"/>
      <c r="B2804" s="286"/>
      <c r="C2804" s="287"/>
      <c r="D2804" s="286"/>
      <c r="E2804" s="286"/>
    </row>
    <row r="2805">
      <c r="A2805" s="286"/>
      <c r="B2805" s="286"/>
      <c r="C2805" s="287"/>
      <c r="D2805" s="286"/>
      <c r="E2805" s="286"/>
    </row>
    <row r="2806">
      <c r="A2806" s="286"/>
      <c r="B2806" s="286"/>
      <c r="C2806" s="287"/>
      <c r="D2806" s="286"/>
      <c r="E2806" s="286"/>
    </row>
    <row r="2807">
      <c r="A2807" s="286"/>
      <c r="B2807" s="286"/>
      <c r="C2807" s="287"/>
      <c r="D2807" s="286"/>
      <c r="E2807" s="286"/>
    </row>
    <row r="2808">
      <c r="A2808" s="286"/>
      <c r="B2808" s="286"/>
      <c r="C2808" s="287"/>
      <c r="D2808" s="286"/>
      <c r="E2808" s="286"/>
    </row>
    <row r="2809">
      <c r="A2809" s="286"/>
      <c r="B2809" s="286"/>
      <c r="C2809" s="287"/>
      <c r="D2809" s="286"/>
      <c r="E2809" s="286"/>
    </row>
    <row r="2810">
      <c r="A2810" s="286"/>
      <c r="B2810" s="286"/>
      <c r="C2810" s="287"/>
      <c r="D2810" s="286"/>
      <c r="E2810" s="286"/>
    </row>
    <row r="2811">
      <c r="A2811" s="286"/>
      <c r="B2811" s="286"/>
      <c r="C2811" s="287"/>
      <c r="D2811" s="286"/>
      <c r="E2811" s="286"/>
    </row>
    <row r="2812">
      <c r="A2812" s="286"/>
      <c r="B2812" s="286"/>
      <c r="C2812" s="287"/>
      <c r="D2812" s="286"/>
      <c r="E2812" s="286"/>
    </row>
    <row r="2813">
      <c r="A2813" s="286"/>
      <c r="B2813" s="286"/>
      <c r="C2813" s="287"/>
      <c r="D2813" s="286"/>
      <c r="E2813" s="286"/>
    </row>
    <row r="2814">
      <c r="A2814" s="286"/>
      <c r="B2814" s="286"/>
      <c r="C2814" s="287"/>
      <c r="D2814" s="286"/>
      <c r="E2814" s="286"/>
    </row>
    <row r="2815">
      <c r="A2815" s="286"/>
      <c r="B2815" s="286"/>
      <c r="C2815" s="287"/>
      <c r="D2815" s="286"/>
      <c r="E2815" s="286"/>
    </row>
    <row r="2816">
      <c r="A2816" s="286"/>
      <c r="B2816" s="286"/>
      <c r="C2816" s="287"/>
      <c r="D2816" s="286"/>
      <c r="E2816" s="286"/>
    </row>
    <row r="2817">
      <c r="A2817" s="286"/>
      <c r="B2817" s="286"/>
      <c r="C2817" s="287"/>
      <c r="D2817" s="286"/>
      <c r="E2817" s="286"/>
    </row>
    <row r="2818">
      <c r="A2818" s="286"/>
      <c r="B2818" s="286"/>
      <c r="C2818" s="287"/>
      <c r="D2818" s="286"/>
      <c r="E2818" s="286"/>
    </row>
    <row r="2819">
      <c r="A2819" s="286"/>
      <c r="B2819" s="286"/>
      <c r="C2819" s="287"/>
      <c r="D2819" s="286"/>
      <c r="E2819" s="286"/>
    </row>
    <row r="2820">
      <c r="A2820" s="286"/>
      <c r="B2820" s="286"/>
      <c r="C2820" s="287"/>
      <c r="D2820" s="286"/>
      <c r="E2820" s="286"/>
    </row>
    <row r="2821">
      <c r="A2821" s="286"/>
      <c r="B2821" s="286"/>
      <c r="C2821" s="287"/>
      <c r="D2821" s="286"/>
      <c r="E2821" s="286"/>
    </row>
    <row r="2822">
      <c r="A2822" s="286"/>
      <c r="B2822" s="286"/>
      <c r="C2822" s="287"/>
      <c r="D2822" s="286"/>
      <c r="E2822" s="286"/>
    </row>
    <row r="2823">
      <c r="A2823" s="286"/>
      <c r="B2823" s="286"/>
      <c r="C2823" s="287"/>
      <c r="D2823" s="286"/>
      <c r="E2823" s="286"/>
    </row>
    <row r="2824">
      <c r="A2824" s="286"/>
      <c r="B2824" s="286"/>
      <c r="C2824" s="287"/>
      <c r="D2824" s="286"/>
      <c r="E2824" s="286"/>
    </row>
    <row r="2825">
      <c r="A2825" s="286"/>
      <c r="B2825" s="286"/>
      <c r="C2825" s="287"/>
      <c r="D2825" s="286"/>
      <c r="E2825" s="286"/>
    </row>
    <row r="2826">
      <c r="A2826" s="286"/>
      <c r="B2826" s="286"/>
      <c r="C2826" s="287"/>
      <c r="D2826" s="286"/>
      <c r="E2826" s="286"/>
    </row>
    <row r="2827">
      <c r="A2827" s="286"/>
      <c r="B2827" s="286"/>
      <c r="C2827" s="287"/>
      <c r="D2827" s="286"/>
      <c r="E2827" s="286"/>
    </row>
    <row r="2828">
      <c r="A2828" s="286"/>
      <c r="B2828" s="286"/>
      <c r="C2828" s="287"/>
      <c r="D2828" s="286"/>
      <c r="E2828" s="286"/>
    </row>
    <row r="2829">
      <c r="A2829" s="286"/>
      <c r="B2829" s="286"/>
      <c r="C2829" s="287"/>
      <c r="D2829" s="286"/>
      <c r="E2829" s="286"/>
    </row>
    <row r="2830">
      <c r="A2830" s="286"/>
      <c r="B2830" s="286"/>
      <c r="C2830" s="287"/>
      <c r="D2830" s="286"/>
      <c r="E2830" s="286"/>
    </row>
    <row r="2831">
      <c r="A2831" s="286"/>
      <c r="B2831" s="286"/>
      <c r="C2831" s="287"/>
      <c r="D2831" s="286"/>
      <c r="E2831" s="286"/>
    </row>
    <row r="2832">
      <c r="A2832" s="286"/>
      <c r="B2832" s="286"/>
      <c r="C2832" s="287"/>
      <c r="D2832" s="286"/>
      <c r="E2832" s="286"/>
    </row>
    <row r="2833">
      <c r="A2833" s="286"/>
      <c r="B2833" s="286"/>
      <c r="C2833" s="287"/>
      <c r="D2833" s="286"/>
      <c r="E2833" s="286"/>
    </row>
    <row r="2834">
      <c r="A2834" s="286"/>
      <c r="B2834" s="286"/>
      <c r="C2834" s="287"/>
      <c r="D2834" s="286"/>
      <c r="E2834" s="286"/>
    </row>
    <row r="2835">
      <c r="A2835" s="286"/>
      <c r="B2835" s="286"/>
      <c r="C2835" s="287"/>
      <c r="D2835" s="286"/>
      <c r="E2835" s="286"/>
    </row>
    <row r="2836">
      <c r="A2836" s="286"/>
      <c r="B2836" s="286"/>
      <c r="C2836" s="287"/>
      <c r="D2836" s="286"/>
      <c r="E2836" s="286"/>
    </row>
    <row r="2837">
      <c r="A2837" s="286"/>
      <c r="B2837" s="286"/>
      <c r="C2837" s="287"/>
      <c r="D2837" s="286"/>
      <c r="E2837" s="286"/>
    </row>
    <row r="2838">
      <c r="A2838" s="286"/>
      <c r="B2838" s="286"/>
      <c r="C2838" s="287"/>
      <c r="D2838" s="286"/>
      <c r="E2838" s="286"/>
    </row>
    <row r="2839">
      <c r="A2839" s="286"/>
      <c r="B2839" s="286"/>
      <c r="C2839" s="287"/>
      <c r="D2839" s="286"/>
      <c r="E2839" s="286"/>
    </row>
    <row r="2840">
      <c r="A2840" s="286"/>
      <c r="B2840" s="286"/>
      <c r="C2840" s="287"/>
      <c r="D2840" s="286"/>
      <c r="E2840" s="286"/>
    </row>
    <row r="2841">
      <c r="A2841" s="286"/>
      <c r="B2841" s="286"/>
      <c r="C2841" s="287"/>
      <c r="D2841" s="286"/>
      <c r="E2841" s="286"/>
    </row>
    <row r="2842">
      <c r="A2842" s="286"/>
      <c r="B2842" s="286"/>
      <c r="C2842" s="287"/>
      <c r="D2842" s="286"/>
      <c r="E2842" s="286"/>
    </row>
    <row r="2843">
      <c r="A2843" s="286"/>
      <c r="B2843" s="286"/>
      <c r="C2843" s="287"/>
      <c r="D2843" s="286"/>
      <c r="E2843" s="286"/>
    </row>
    <row r="2844">
      <c r="A2844" s="286"/>
      <c r="B2844" s="286"/>
      <c r="C2844" s="287"/>
      <c r="D2844" s="286"/>
      <c r="E2844" s="286"/>
    </row>
    <row r="2845">
      <c r="A2845" s="286"/>
      <c r="B2845" s="286"/>
      <c r="C2845" s="287"/>
      <c r="D2845" s="286"/>
      <c r="E2845" s="286"/>
    </row>
    <row r="2846">
      <c r="A2846" s="286"/>
      <c r="B2846" s="286"/>
      <c r="C2846" s="287"/>
      <c r="D2846" s="286"/>
      <c r="E2846" s="286"/>
    </row>
    <row r="2847">
      <c r="A2847" s="286"/>
      <c r="B2847" s="286"/>
      <c r="C2847" s="287"/>
      <c r="D2847" s="286"/>
      <c r="E2847" s="286"/>
    </row>
    <row r="2848">
      <c r="A2848" s="286"/>
      <c r="B2848" s="286"/>
      <c r="C2848" s="287"/>
      <c r="D2848" s="286"/>
      <c r="E2848" s="286"/>
    </row>
    <row r="2849">
      <c r="A2849" s="286"/>
      <c r="B2849" s="286"/>
      <c r="C2849" s="287"/>
      <c r="D2849" s="286"/>
      <c r="E2849" s="286"/>
    </row>
    <row r="2850">
      <c r="A2850" s="286"/>
      <c r="B2850" s="286"/>
      <c r="C2850" s="287"/>
      <c r="D2850" s="286"/>
      <c r="E2850" s="286"/>
    </row>
    <row r="2851">
      <c r="A2851" s="286"/>
      <c r="B2851" s="286"/>
      <c r="C2851" s="287"/>
      <c r="D2851" s="286"/>
      <c r="E2851" s="286"/>
    </row>
    <row r="2852">
      <c r="A2852" s="286"/>
      <c r="B2852" s="286"/>
      <c r="C2852" s="287"/>
      <c r="D2852" s="286"/>
      <c r="E2852" s="286"/>
    </row>
    <row r="2853">
      <c r="A2853" s="286"/>
      <c r="B2853" s="286"/>
      <c r="C2853" s="287"/>
      <c r="D2853" s="286"/>
      <c r="E2853" s="286"/>
    </row>
    <row r="2854">
      <c r="A2854" s="286"/>
      <c r="B2854" s="286"/>
      <c r="C2854" s="287"/>
      <c r="D2854" s="286"/>
      <c r="E2854" s="286"/>
    </row>
    <row r="2855">
      <c r="A2855" s="286"/>
      <c r="B2855" s="286"/>
      <c r="C2855" s="287"/>
      <c r="D2855" s="286"/>
      <c r="E2855" s="286"/>
    </row>
    <row r="2856">
      <c r="A2856" s="286"/>
      <c r="B2856" s="286"/>
      <c r="C2856" s="287"/>
      <c r="D2856" s="286"/>
      <c r="E2856" s="286"/>
    </row>
    <row r="2857">
      <c r="A2857" s="286"/>
      <c r="B2857" s="286"/>
      <c r="C2857" s="287"/>
      <c r="D2857" s="286"/>
      <c r="E2857" s="286"/>
    </row>
    <row r="2858">
      <c r="A2858" s="286"/>
      <c r="B2858" s="286"/>
      <c r="C2858" s="287"/>
      <c r="D2858" s="286"/>
      <c r="E2858" s="286"/>
    </row>
    <row r="2859">
      <c r="A2859" s="286"/>
      <c r="B2859" s="286"/>
      <c r="C2859" s="287"/>
      <c r="D2859" s="286"/>
      <c r="E2859" s="286"/>
    </row>
    <row r="2860">
      <c r="A2860" s="286"/>
      <c r="B2860" s="286"/>
      <c r="C2860" s="287"/>
      <c r="D2860" s="286"/>
      <c r="E2860" s="286"/>
    </row>
    <row r="2861">
      <c r="A2861" s="286"/>
      <c r="B2861" s="286"/>
      <c r="C2861" s="287"/>
      <c r="D2861" s="286"/>
      <c r="E2861" s="286"/>
    </row>
    <row r="2862">
      <c r="A2862" s="286"/>
      <c r="B2862" s="286"/>
      <c r="C2862" s="287"/>
      <c r="D2862" s="286"/>
      <c r="E2862" s="286"/>
    </row>
    <row r="2863">
      <c r="A2863" s="286"/>
      <c r="B2863" s="286"/>
      <c r="C2863" s="287"/>
      <c r="D2863" s="286"/>
      <c r="E2863" s="286"/>
    </row>
    <row r="2864">
      <c r="A2864" s="286"/>
      <c r="B2864" s="286"/>
      <c r="C2864" s="287"/>
      <c r="D2864" s="286"/>
      <c r="E2864" s="286"/>
    </row>
    <row r="2865">
      <c r="A2865" s="286"/>
      <c r="B2865" s="286"/>
      <c r="C2865" s="287"/>
      <c r="D2865" s="286"/>
      <c r="E2865" s="286"/>
    </row>
    <row r="2866">
      <c r="A2866" s="286"/>
      <c r="B2866" s="286"/>
      <c r="C2866" s="287"/>
      <c r="D2866" s="286"/>
      <c r="E2866" s="286"/>
    </row>
    <row r="2867">
      <c r="A2867" s="286"/>
      <c r="B2867" s="286"/>
      <c r="C2867" s="287"/>
      <c r="D2867" s="286"/>
      <c r="E2867" s="286"/>
    </row>
    <row r="2868">
      <c r="A2868" s="286"/>
      <c r="B2868" s="286"/>
      <c r="C2868" s="287"/>
      <c r="D2868" s="286"/>
      <c r="E2868" s="286"/>
    </row>
    <row r="2869">
      <c r="A2869" s="286"/>
      <c r="B2869" s="286"/>
      <c r="C2869" s="287"/>
      <c r="D2869" s="286"/>
      <c r="E2869" s="286"/>
    </row>
    <row r="2870">
      <c r="A2870" s="286"/>
      <c r="B2870" s="286"/>
      <c r="C2870" s="287"/>
      <c r="D2870" s="286"/>
      <c r="E2870" s="286"/>
    </row>
    <row r="2871">
      <c r="A2871" s="286"/>
      <c r="B2871" s="286"/>
      <c r="C2871" s="287"/>
      <c r="D2871" s="286"/>
      <c r="E2871" s="286"/>
    </row>
    <row r="2872">
      <c r="A2872" s="286"/>
      <c r="B2872" s="286"/>
      <c r="C2872" s="287"/>
      <c r="D2872" s="286"/>
      <c r="E2872" s="286"/>
    </row>
    <row r="2873">
      <c r="A2873" s="286"/>
      <c r="B2873" s="286"/>
      <c r="C2873" s="287"/>
      <c r="D2873" s="286"/>
      <c r="E2873" s="286"/>
    </row>
    <row r="2874">
      <c r="A2874" s="286"/>
      <c r="B2874" s="286"/>
      <c r="C2874" s="287"/>
      <c r="D2874" s="286"/>
      <c r="E2874" s="286"/>
    </row>
    <row r="2875">
      <c r="A2875" s="286"/>
      <c r="B2875" s="286"/>
      <c r="C2875" s="287"/>
      <c r="D2875" s="286"/>
      <c r="E2875" s="286"/>
    </row>
    <row r="2876">
      <c r="A2876" s="286"/>
      <c r="B2876" s="286"/>
      <c r="C2876" s="287"/>
      <c r="D2876" s="286"/>
      <c r="E2876" s="286"/>
    </row>
    <row r="2877">
      <c r="A2877" s="286"/>
      <c r="B2877" s="286"/>
      <c r="C2877" s="287"/>
      <c r="D2877" s="286"/>
      <c r="E2877" s="286"/>
    </row>
    <row r="2878">
      <c r="A2878" s="286"/>
      <c r="B2878" s="286"/>
      <c r="C2878" s="287"/>
      <c r="D2878" s="286"/>
      <c r="E2878" s="286"/>
    </row>
    <row r="2879">
      <c r="A2879" s="286"/>
      <c r="B2879" s="286"/>
      <c r="C2879" s="287"/>
      <c r="D2879" s="286"/>
      <c r="E2879" s="286"/>
    </row>
    <row r="2880">
      <c r="A2880" s="286"/>
      <c r="B2880" s="286"/>
      <c r="C2880" s="287"/>
      <c r="D2880" s="286"/>
      <c r="E2880" s="286"/>
    </row>
    <row r="2881">
      <c r="A2881" s="286"/>
      <c r="B2881" s="286"/>
      <c r="C2881" s="287"/>
      <c r="D2881" s="286"/>
      <c r="E2881" s="286"/>
    </row>
    <row r="2882">
      <c r="A2882" s="286"/>
      <c r="B2882" s="286"/>
      <c r="C2882" s="287"/>
      <c r="D2882" s="286"/>
      <c r="E2882" s="286"/>
    </row>
    <row r="2883">
      <c r="A2883" s="286"/>
      <c r="B2883" s="286"/>
      <c r="C2883" s="287"/>
      <c r="D2883" s="286"/>
      <c r="E2883" s="286"/>
    </row>
    <row r="2884">
      <c r="A2884" s="286"/>
      <c r="B2884" s="286"/>
      <c r="C2884" s="287"/>
      <c r="D2884" s="286"/>
      <c r="E2884" s="286"/>
    </row>
    <row r="2885">
      <c r="A2885" s="286"/>
      <c r="B2885" s="286"/>
      <c r="C2885" s="287"/>
      <c r="D2885" s="286"/>
      <c r="E2885" s="286"/>
    </row>
    <row r="2886">
      <c r="A2886" s="286"/>
      <c r="B2886" s="286"/>
      <c r="C2886" s="287"/>
      <c r="D2886" s="286"/>
      <c r="E2886" s="286"/>
    </row>
    <row r="2887">
      <c r="A2887" s="286"/>
      <c r="B2887" s="286"/>
      <c r="C2887" s="287"/>
      <c r="D2887" s="286"/>
      <c r="E2887" s="286"/>
    </row>
    <row r="2888">
      <c r="A2888" s="286"/>
      <c r="B2888" s="286"/>
      <c r="C2888" s="287"/>
      <c r="D2888" s="286"/>
      <c r="E2888" s="286"/>
    </row>
    <row r="2889">
      <c r="A2889" s="286"/>
      <c r="B2889" s="286"/>
      <c r="C2889" s="287"/>
      <c r="D2889" s="286"/>
      <c r="E2889" s="286"/>
    </row>
    <row r="2890">
      <c r="A2890" s="286"/>
      <c r="B2890" s="286"/>
      <c r="C2890" s="287"/>
      <c r="D2890" s="286"/>
      <c r="E2890" s="286"/>
    </row>
    <row r="2891">
      <c r="A2891" s="286"/>
      <c r="B2891" s="286"/>
      <c r="C2891" s="287"/>
      <c r="D2891" s="286"/>
      <c r="E2891" s="286"/>
    </row>
    <row r="2892">
      <c r="A2892" s="286"/>
      <c r="B2892" s="286"/>
      <c r="C2892" s="287"/>
      <c r="D2892" s="286"/>
      <c r="E2892" s="286"/>
    </row>
    <row r="2893">
      <c r="A2893" s="286"/>
      <c r="B2893" s="286"/>
      <c r="C2893" s="287"/>
      <c r="D2893" s="286"/>
      <c r="E2893" s="286"/>
    </row>
    <row r="2894">
      <c r="A2894" s="286"/>
      <c r="B2894" s="286"/>
      <c r="C2894" s="287"/>
      <c r="D2894" s="286"/>
      <c r="E2894" s="286"/>
    </row>
    <row r="2895">
      <c r="A2895" s="286"/>
      <c r="B2895" s="286"/>
      <c r="C2895" s="287"/>
      <c r="D2895" s="286"/>
      <c r="E2895" s="286"/>
    </row>
    <row r="2896">
      <c r="A2896" s="286"/>
      <c r="B2896" s="286"/>
      <c r="C2896" s="287"/>
      <c r="D2896" s="286"/>
      <c r="E2896" s="286"/>
    </row>
    <row r="2897">
      <c r="A2897" s="286"/>
      <c r="B2897" s="286"/>
      <c r="C2897" s="287"/>
      <c r="D2897" s="286"/>
      <c r="E2897" s="286"/>
    </row>
    <row r="2898">
      <c r="A2898" s="286"/>
      <c r="B2898" s="286"/>
      <c r="C2898" s="287"/>
      <c r="D2898" s="286"/>
      <c r="E2898" s="286"/>
    </row>
    <row r="2899">
      <c r="A2899" s="286"/>
      <c r="B2899" s="286"/>
      <c r="C2899" s="287"/>
      <c r="D2899" s="286"/>
      <c r="E2899" s="286"/>
    </row>
    <row r="2900">
      <c r="A2900" s="286"/>
      <c r="B2900" s="286"/>
      <c r="C2900" s="287"/>
      <c r="D2900" s="286"/>
      <c r="E2900" s="286"/>
    </row>
    <row r="2901">
      <c r="A2901" s="286"/>
      <c r="B2901" s="286"/>
      <c r="C2901" s="287"/>
      <c r="D2901" s="286"/>
      <c r="E2901" s="286"/>
    </row>
    <row r="2902">
      <c r="A2902" s="286"/>
      <c r="B2902" s="286"/>
      <c r="C2902" s="287"/>
      <c r="D2902" s="286"/>
      <c r="E2902" s="286"/>
    </row>
    <row r="2903">
      <c r="A2903" s="286"/>
      <c r="B2903" s="286"/>
      <c r="C2903" s="287"/>
      <c r="D2903" s="286"/>
      <c r="E2903" s="286"/>
    </row>
    <row r="2904">
      <c r="A2904" s="286"/>
      <c r="B2904" s="286"/>
      <c r="C2904" s="287"/>
      <c r="D2904" s="286"/>
      <c r="E2904" s="286"/>
    </row>
    <row r="2905">
      <c r="A2905" s="286"/>
      <c r="B2905" s="286"/>
      <c r="C2905" s="287"/>
      <c r="D2905" s="286"/>
      <c r="E2905" s="286"/>
    </row>
    <row r="2906">
      <c r="A2906" s="286"/>
      <c r="B2906" s="286"/>
      <c r="C2906" s="287"/>
      <c r="D2906" s="286"/>
      <c r="E2906" s="286"/>
    </row>
    <row r="2907">
      <c r="A2907" s="286"/>
      <c r="B2907" s="286"/>
      <c r="C2907" s="287"/>
      <c r="D2907" s="286"/>
      <c r="E2907" s="286"/>
    </row>
    <row r="2908">
      <c r="A2908" s="286"/>
      <c r="B2908" s="286"/>
      <c r="C2908" s="287"/>
      <c r="D2908" s="286"/>
      <c r="E2908" s="286"/>
    </row>
    <row r="2909">
      <c r="A2909" s="286"/>
      <c r="B2909" s="286"/>
      <c r="C2909" s="287"/>
      <c r="D2909" s="286"/>
      <c r="E2909" s="286"/>
    </row>
    <row r="2910">
      <c r="A2910" s="286"/>
      <c r="B2910" s="286"/>
      <c r="C2910" s="287"/>
      <c r="D2910" s="286"/>
      <c r="E2910" s="286"/>
    </row>
    <row r="2911">
      <c r="A2911" s="286"/>
      <c r="B2911" s="286"/>
      <c r="C2911" s="287"/>
      <c r="D2911" s="286"/>
      <c r="E2911" s="286"/>
    </row>
    <row r="2912">
      <c r="A2912" s="286"/>
      <c r="B2912" s="286"/>
      <c r="C2912" s="287"/>
      <c r="D2912" s="286"/>
      <c r="E2912" s="286"/>
    </row>
    <row r="2913">
      <c r="A2913" s="286"/>
      <c r="B2913" s="286"/>
      <c r="C2913" s="287"/>
      <c r="D2913" s="286"/>
      <c r="E2913" s="286"/>
    </row>
    <row r="2914">
      <c r="A2914" s="286"/>
      <c r="B2914" s="286"/>
      <c r="C2914" s="287"/>
      <c r="D2914" s="286"/>
      <c r="E2914" s="286"/>
    </row>
    <row r="2915">
      <c r="A2915" s="286"/>
      <c r="B2915" s="286"/>
      <c r="C2915" s="287"/>
      <c r="D2915" s="286"/>
      <c r="E2915" s="286"/>
    </row>
    <row r="2916">
      <c r="A2916" s="286"/>
      <c r="B2916" s="286"/>
      <c r="C2916" s="287"/>
      <c r="D2916" s="286"/>
      <c r="E2916" s="286"/>
    </row>
    <row r="2917">
      <c r="A2917" s="286"/>
      <c r="B2917" s="286"/>
      <c r="C2917" s="287"/>
      <c r="D2917" s="286"/>
      <c r="E2917" s="286"/>
    </row>
    <row r="2918">
      <c r="A2918" s="286"/>
      <c r="B2918" s="286"/>
      <c r="C2918" s="287"/>
      <c r="D2918" s="286"/>
      <c r="E2918" s="286"/>
    </row>
    <row r="2919">
      <c r="A2919" s="286"/>
      <c r="B2919" s="286"/>
      <c r="C2919" s="287"/>
      <c r="D2919" s="286"/>
      <c r="E2919" s="286"/>
    </row>
    <row r="2920">
      <c r="A2920" s="286"/>
      <c r="B2920" s="286"/>
      <c r="C2920" s="287"/>
      <c r="D2920" s="286"/>
      <c r="E2920" s="286"/>
    </row>
    <row r="2921">
      <c r="A2921" s="286"/>
      <c r="B2921" s="286"/>
      <c r="C2921" s="287"/>
      <c r="D2921" s="286"/>
      <c r="E2921" s="286"/>
    </row>
    <row r="2922">
      <c r="A2922" s="286"/>
      <c r="B2922" s="286"/>
      <c r="C2922" s="287"/>
      <c r="D2922" s="286"/>
      <c r="E2922" s="286"/>
    </row>
    <row r="2923">
      <c r="A2923" s="286"/>
      <c r="B2923" s="286"/>
      <c r="C2923" s="287"/>
      <c r="D2923" s="286"/>
      <c r="E2923" s="286"/>
    </row>
    <row r="2924">
      <c r="A2924" s="286"/>
      <c r="B2924" s="286"/>
      <c r="C2924" s="287"/>
      <c r="D2924" s="286"/>
      <c r="E2924" s="286"/>
    </row>
    <row r="2925">
      <c r="A2925" s="286"/>
      <c r="B2925" s="286"/>
      <c r="C2925" s="287"/>
      <c r="D2925" s="286"/>
      <c r="E2925" s="286"/>
    </row>
    <row r="2926">
      <c r="A2926" s="286"/>
      <c r="B2926" s="286"/>
      <c r="C2926" s="287"/>
      <c r="D2926" s="286"/>
      <c r="E2926" s="286"/>
    </row>
    <row r="2927">
      <c r="A2927" s="286"/>
      <c r="B2927" s="286"/>
      <c r="C2927" s="287"/>
      <c r="D2927" s="286"/>
      <c r="E2927" s="286"/>
    </row>
    <row r="2928">
      <c r="A2928" s="286"/>
      <c r="B2928" s="286"/>
      <c r="C2928" s="287"/>
      <c r="D2928" s="286"/>
      <c r="E2928" s="286"/>
    </row>
    <row r="2929">
      <c r="A2929" s="286"/>
      <c r="B2929" s="286"/>
      <c r="C2929" s="287"/>
      <c r="D2929" s="286"/>
      <c r="E2929" s="286"/>
    </row>
    <row r="2930">
      <c r="A2930" s="286"/>
      <c r="B2930" s="286"/>
      <c r="C2930" s="287"/>
      <c r="D2930" s="286"/>
      <c r="E2930" s="286"/>
    </row>
    <row r="2931">
      <c r="A2931" s="286"/>
      <c r="B2931" s="286"/>
      <c r="C2931" s="287"/>
      <c r="D2931" s="286"/>
      <c r="E2931" s="286"/>
    </row>
    <row r="2932">
      <c r="A2932" s="286"/>
      <c r="B2932" s="286"/>
      <c r="C2932" s="287"/>
      <c r="D2932" s="286"/>
      <c r="E2932" s="286"/>
    </row>
    <row r="2933">
      <c r="A2933" s="286"/>
      <c r="B2933" s="286"/>
      <c r="C2933" s="287"/>
      <c r="D2933" s="286"/>
      <c r="E2933" s="286"/>
    </row>
    <row r="2934">
      <c r="A2934" s="286"/>
      <c r="B2934" s="286"/>
      <c r="C2934" s="287"/>
      <c r="D2934" s="286"/>
      <c r="E2934" s="286"/>
    </row>
    <row r="2935">
      <c r="A2935" s="286"/>
      <c r="B2935" s="286"/>
      <c r="C2935" s="287"/>
      <c r="D2935" s="286"/>
      <c r="E2935" s="286"/>
    </row>
    <row r="2936">
      <c r="A2936" s="286"/>
      <c r="B2936" s="286"/>
      <c r="C2936" s="287"/>
      <c r="D2936" s="286"/>
      <c r="E2936" s="286"/>
    </row>
    <row r="2937">
      <c r="A2937" s="286"/>
      <c r="B2937" s="286"/>
      <c r="C2937" s="287"/>
      <c r="D2937" s="286"/>
      <c r="E2937" s="286"/>
    </row>
    <row r="2938">
      <c r="A2938" s="286"/>
      <c r="B2938" s="286"/>
      <c r="C2938" s="287"/>
      <c r="D2938" s="286"/>
      <c r="E2938" s="286"/>
    </row>
    <row r="2939">
      <c r="A2939" s="286"/>
      <c r="B2939" s="286"/>
      <c r="C2939" s="287"/>
      <c r="D2939" s="286"/>
      <c r="E2939" s="286"/>
    </row>
    <row r="2940">
      <c r="A2940" s="286"/>
      <c r="B2940" s="286"/>
      <c r="C2940" s="287"/>
      <c r="D2940" s="286"/>
      <c r="E2940" s="286"/>
    </row>
    <row r="2941">
      <c r="A2941" s="286"/>
      <c r="B2941" s="286"/>
      <c r="C2941" s="287"/>
      <c r="D2941" s="286"/>
      <c r="E2941" s="286"/>
    </row>
    <row r="2942">
      <c r="A2942" s="286"/>
      <c r="B2942" s="286"/>
      <c r="C2942" s="287"/>
      <c r="D2942" s="286"/>
      <c r="E2942" s="286"/>
    </row>
    <row r="2943">
      <c r="A2943" s="286"/>
      <c r="B2943" s="286"/>
      <c r="C2943" s="287"/>
      <c r="D2943" s="286"/>
      <c r="E2943" s="286"/>
    </row>
    <row r="2944">
      <c r="A2944" s="286"/>
      <c r="B2944" s="286"/>
      <c r="C2944" s="287"/>
      <c r="D2944" s="286"/>
      <c r="E2944" s="286"/>
    </row>
    <row r="2945">
      <c r="A2945" s="286"/>
      <c r="B2945" s="286"/>
      <c r="C2945" s="287"/>
      <c r="D2945" s="286"/>
      <c r="E2945" s="286"/>
    </row>
    <row r="2946">
      <c r="A2946" s="286"/>
      <c r="B2946" s="286"/>
      <c r="C2946" s="287"/>
      <c r="D2946" s="286"/>
      <c r="E2946" s="286"/>
    </row>
    <row r="2947">
      <c r="A2947" s="286"/>
      <c r="B2947" s="286"/>
      <c r="C2947" s="287"/>
      <c r="D2947" s="286"/>
      <c r="E2947" s="286"/>
    </row>
    <row r="2948">
      <c r="A2948" s="286"/>
      <c r="B2948" s="286"/>
      <c r="C2948" s="287"/>
      <c r="D2948" s="286"/>
      <c r="E2948" s="286"/>
    </row>
    <row r="2949">
      <c r="A2949" s="286"/>
      <c r="B2949" s="286"/>
      <c r="C2949" s="287"/>
      <c r="D2949" s="286"/>
      <c r="E2949" s="286"/>
    </row>
    <row r="2950">
      <c r="A2950" s="286"/>
      <c r="B2950" s="286"/>
      <c r="C2950" s="287"/>
      <c r="D2950" s="286"/>
      <c r="E2950" s="286"/>
    </row>
    <row r="2951">
      <c r="A2951" s="286"/>
      <c r="B2951" s="286"/>
      <c r="C2951" s="287"/>
      <c r="D2951" s="286"/>
      <c r="E2951" s="286"/>
    </row>
    <row r="2952">
      <c r="A2952" s="286"/>
      <c r="B2952" s="286"/>
      <c r="C2952" s="287"/>
      <c r="D2952" s="286"/>
      <c r="E2952" s="286"/>
    </row>
    <row r="2953">
      <c r="A2953" s="286"/>
      <c r="B2953" s="286"/>
      <c r="C2953" s="287"/>
      <c r="D2953" s="286"/>
      <c r="E2953" s="286"/>
    </row>
    <row r="2954">
      <c r="A2954" s="286"/>
      <c r="B2954" s="286"/>
      <c r="C2954" s="287"/>
      <c r="D2954" s="286"/>
      <c r="E2954" s="286"/>
    </row>
    <row r="2955">
      <c r="A2955" s="286"/>
      <c r="B2955" s="286"/>
      <c r="C2955" s="287"/>
      <c r="D2955" s="286"/>
      <c r="E2955" s="286"/>
    </row>
    <row r="2956">
      <c r="A2956" s="286"/>
      <c r="B2956" s="286"/>
      <c r="C2956" s="287"/>
      <c r="D2956" s="286"/>
      <c r="E2956" s="286"/>
    </row>
    <row r="2957">
      <c r="A2957" s="286"/>
      <c r="B2957" s="286"/>
      <c r="C2957" s="287"/>
      <c r="D2957" s="286"/>
      <c r="E2957" s="286"/>
    </row>
    <row r="2958">
      <c r="A2958" s="286"/>
      <c r="B2958" s="286"/>
      <c r="C2958" s="287"/>
      <c r="D2958" s="286"/>
      <c r="E2958" s="286"/>
    </row>
    <row r="2959">
      <c r="A2959" s="286"/>
      <c r="B2959" s="286"/>
      <c r="C2959" s="287"/>
      <c r="D2959" s="286"/>
      <c r="E2959" s="286"/>
    </row>
    <row r="2960">
      <c r="A2960" s="286"/>
      <c r="B2960" s="286"/>
      <c r="C2960" s="287"/>
      <c r="D2960" s="286"/>
      <c r="E2960" s="286"/>
    </row>
    <row r="2961">
      <c r="A2961" s="286"/>
      <c r="B2961" s="286"/>
      <c r="C2961" s="287"/>
      <c r="D2961" s="286"/>
      <c r="E2961" s="286"/>
    </row>
    <row r="2962">
      <c r="A2962" s="286"/>
      <c r="B2962" s="286"/>
      <c r="C2962" s="287"/>
      <c r="D2962" s="286"/>
      <c r="E2962" s="286"/>
    </row>
    <row r="2963">
      <c r="A2963" s="286"/>
      <c r="B2963" s="286"/>
      <c r="C2963" s="287"/>
      <c r="D2963" s="286"/>
      <c r="E2963" s="286"/>
    </row>
    <row r="2964">
      <c r="A2964" s="286"/>
      <c r="B2964" s="286"/>
      <c r="C2964" s="287"/>
      <c r="D2964" s="286"/>
      <c r="E2964" s="286"/>
    </row>
    <row r="2965">
      <c r="A2965" s="286"/>
      <c r="B2965" s="286"/>
      <c r="C2965" s="287"/>
      <c r="D2965" s="286"/>
      <c r="E2965" s="286"/>
    </row>
    <row r="2966">
      <c r="A2966" s="286"/>
      <c r="B2966" s="286"/>
      <c r="C2966" s="287"/>
      <c r="D2966" s="286"/>
      <c r="E2966" s="286"/>
    </row>
    <row r="2967">
      <c r="A2967" s="286"/>
      <c r="B2967" s="286"/>
      <c r="C2967" s="287"/>
      <c r="D2967" s="286"/>
      <c r="E2967" s="286"/>
    </row>
    <row r="2968">
      <c r="A2968" s="286"/>
      <c r="B2968" s="286"/>
      <c r="C2968" s="287"/>
      <c r="D2968" s="286"/>
      <c r="E2968" s="286"/>
    </row>
    <row r="2969">
      <c r="A2969" s="286"/>
      <c r="B2969" s="286"/>
      <c r="C2969" s="287"/>
      <c r="D2969" s="286"/>
      <c r="E2969" s="286"/>
    </row>
    <row r="2970">
      <c r="A2970" s="286"/>
      <c r="B2970" s="286"/>
      <c r="C2970" s="287"/>
      <c r="D2970" s="286"/>
      <c r="E2970" s="286"/>
    </row>
    <row r="2971">
      <c r="A2971" s="286"/>
      <c r="B2971" s="286"/>
      <c r="C2971" s="287"/>
      <c r="D2971" s="286"/>
      <c r="E2971" s="286"/>
    </row>
    <row r="2972">
      <c r="A2972" s="286"/>
      <c r="B2972" s="286"/>
      <c r="C2972" s="287"/>
      <c r="D2972" s="286"/>
      <c r="E2972" s="286"/>
    </row>
    <row r="2973">
      <c r="A2973" s="286"/>
      <c r="B2973" s="286"/>
      <c r="C2973" s="287"/>
      <c r="D2973" s="286"/>
      <c r="E2973" s="286"/>
    </row>
    <row r="2974">
      <c r="A2974" s="286"/>
      <c r="B2974" s="286"/>
      <c r="C2974" s="287"/>
      <c r="D2974" s="286"/>
      <c r="E2974" s="286"/>
    </row>
    <row r="2975">
      <c r="A2975" s="286"/>
      <c r="B2975" s="286"/>
      <c r="C2975" s="287"/>
      <c r="D2975" s="286"/>
      <c r="E2975" s="286"/>
    </row>
    <row r="2976">
      <c r="A2976" s="286"/>
      <c r="B2976" s="286"/>
      <c r="C2976" s="287"/>
      <c r="D2976" s="286"/>
      <c r="E2976" s="286"/>
    </row>
    <row r="2977">
      <c r="A2977" s="286"/>
      <c r="B2977" s="286"/>
      <c r="C2977" s="287"/>
      <c r="D2977" s="286"/>
      <c r="E2977" s="286"/>
    </row>
    <row r="2978">
      <c r="A2978" s="286"/>
      <c r="B2978" s="286"/>
      <c r="C2978" s="287"/>
      <c r="D2978" s="286"/>
      <c r="E2978" s="286"/>
    </row>
    <row r="2979">
      <c r="A2979" s="286"/>
      <c r="B2979" s="286"/>
      <c r="C2979" s="287"/>
      <c r="D2979" s="286"/>
      <c r="E2979" s="286"/>
    </row>
    <row r="2980">
      <c r="A2980" s="286"/>
      <c r="B2980" s="286"/>
      <c r="C2980" s="287"/>
      <c r="D2980" s="286"/>
      <c r="E2980" s="286"/>
    </row>
    <row r="2981">
      <c r="A2981" s="286"/>
      <c r="B2981" s="286"/>
      <c r="C2981" s="287"/>
      <c r="D2981" s="286"/>
      <c r="E2981" s="286"/>
    </row>
    <row r="2982">
      <c r="A2982" s="286"/>
      <c r="B2982" s="286"/>
      <c r="C2982" s="287"/>
      <c r="D2982" s="286"/>
      <c r="E2982" s="286"/>
    </row>
    <row r="2983">
      <c r="A2983" s="286"/>
      <c r="B2983" s="286"/>
      <c r="C2983" s="287"/>
      <c r="D2983" s="286"/>
      <c r="E2983" s="286"/>
    </row>
    <row r="2984">
      <c r="A2984" s="286"/>
      <c r="B2984" s="286"/>
      <c r="C2984" s="287"/>
      <c r="D2984" s="286"/>
      <c r="E2984" s="286"/>
    </row>
    <row r="2985">
      <c r="A2985" s="286"/>
      <c r="B2985" s="286"/>
      <c r="C2985" s="287"/>
      <c r="D2985" s="286"/>
      <c r="E2985" s="286"/>
    </row>
    <row r="2986">
      <c r="A2986" s="286"/>
      <c r="B2986" s="286"/>
      <c r="C2986" s="287"/>
      <c r="D2986" s="286"/>
      <c r="E2986" s="286"/>
    </row>
    <row r="2987">
      <c r="A2987" s="286"/>
      <c r="B2987" s="286"/>
      <c r="C2987" s="287"/>
      <c r="D2987" s="286"/>
      <c r="E2987" s="286"/>
    </row>
    <row r="2988">
      <c r="A2988" s="286"/>
      <c r="B2988" s="286"/>
      <c r="C2988" s="287"/>
      <c r="D2988" s="286"/>
      <c r="E2988" s="286"/>
    </row>
    <row r="2989">
      <c r="A2989" s="286"/>
      <c r="B2989" s="286"/>
      <c r="C2989" s="287"/>
      <c r="D2989" s="286"/>
      <c r="E2989" s="286"/>
    </row>
    <row r="2990">
      <c r="A2990" s="286"/>
      <c r="B2990" s="286"/>
      <c r="C2990" s="287"/>
      <c r="D2990" s="286"/>
      <c r="E2990" s="286"/>
    </row>
    <row r="2991">
      <c r="A2991" s="286"/>
      <c r="B2991" s="286"/>
      <c r="C2991" s="287"/>
      <c r="D2991" s="286"/>
      <c r="E2991" s="286"/>
    </row>
    <row r="2992">
      <c r="A2992" s="286"/>
      <c r="B2992" s="286"/>
      <c r="C2992" s="287"/>
      <c r="D2992" s="286"/>
      <c r="E2992" s="286"/>
    </row>
    <row r="2993">
      <c r="A2993" s="286"/>
      <c r="B2993" s="286"/>
      <c r="C2993" s="287"/>
      <c r="D2993" s="286"/>
      <c r="E2993" s="286"/>
    </row>
    <row r="2994">
      <c r="A2994" s="286"/>
      <c r="B2994" s="286"/>
      <c r="C2994" s="287"/>
      <c r="D2994" s="286"/>
      <c r="E2994" s="286"/>
    </row>
    <row r="2995">
      <c r="A2995" s="286"/>
      <c r="B2995" s="286"/>
      <c r="C2995" s="287"/>
      <c r="D2995" s="286"/>
      <c r="E2995" s="286"/>
    </row>
    <row r="2996">
      <c r="A2996" s="286"/>
      <c r="B2996" s="286"/>
      <c r="C2996" s="287"/>
      <c r="D2996" s="286"/>
      <c r="E2996" s="286"/>
    </row>
    <row r="2997">
      <c r="A2997" s="286"/>
      <c r="B2997" s="286"/>
      <c r="C2997" s="287"/>
      <c r="D2997" s="286"/>
      <c r="E2997" s="286"/>
    </row>
    <row r="2998">
      <c r="A2998" s="286"/>
      <c r="B2998" s="286"/>
      <c r="C2998" s="287"/>
      <c r="D2998" s="286"/>
      <c r="E2998" s="286"/>
    </row>
    <row r="2999">
      <c r="A2999" s="286"/>
      <c r="B2999" s="286"/>
      <c r="C2999" s="287"/>
      <c r="D2999" s="286"/>
      <c r="E2999" s="286"/>
    </row>
    <row r="3000">
      <c r="A3000" s="286"/>
      <c r="B3000" s="286"/>
      <c r="C3000" s="287"/>
      <c r="D3000" s="286"/>
      <c r="E3000" s="286"/>
    </row>
    <row r="3001">
      <c r="A3001" s="286"/>
      <c r="B3001" s="286"/>
      <c r="C3001" s="287"/>
      <c r="D3001" s="286"/>
      <c r="E3001" s="286"/>
    </row>
    <row r="3002">
      <c r="A3002" s="286"/>
      <c r="B3002" s="286"/>
      <c r="C3002" s="287"/>
      <c r="D3002" s="286"/>
      <c r="E3002" s="286"/>
    </row>
    <row r="3003">
      <c r="A3003" s="286"/>
      <c r="B3003" s="286"/>
      <c r="C3003" s="287"/>
      <c r="D3003" s="286"/>
      <c r="E3003" s="286"/>
    </row>
    <row r="3004">
      <c r="A3004" s="286"/>
      <c r="B3004" s="286"/>
      <c r="C3004" s="287"/>
      <c r="D3004" s="286"/>
      <c r="E3004" s="286"/>
    </row>
    <row r="3005">
      <c r="A3005" s="286"/>
      <c r="B3005" s="286"/>
      <c r="C3005" s="287"/>
      <c r="D3005" s="286"/>
      <c r="E3005" s="286"/>
    </row>
    <row r="3006">
      <c r="A3006" s="286"/>
      <c r="B3006" s="286"/>
      <c r="C3006" s="287"/>
      <c r="D3006" s="286"/>
      <c r="E3006" s="286"/>
    </row>
    <row r="3007">
      <c r="A3007" s="286"/>
      <c r="B3007" s="286"/>
      <c r="C3007" s="287"/>
      <c r="D3007" s="286"/>
      <c r="E3007" s="286"/>
    </row>
    <row r="3008">
      <c r="A3008" s="286"/>
      <c r="B3008" s="286"/>
      <c r="C3008" s="287"/>
      <c r="D3008" s="286"/>
      <c r="E3008" s="286"/>
    </row>
    <row r="3009">
      <c r="A3009" s="286"/>
      <c r="B3009" s="286"/>
      <c r="C3009" s="287"/>
      <c r="D3009" s="286"/>
      <c r="E3009" s="286"/>
    </row>
    <row r="3010">
      <c r="A3010" s="286"/>
      <c r="B3010" s="286"/>
      <c r="C3010" s="287"/>
      <c r="D3010" s="286"/>
      <c r="E3010" s="286"/>
    </row>
    <row r="3011">
      <c r="A3011" s="286"/>
      <c r="B3011" s="286"/>
      <c r="C3011" s="287"/>
      <c r="D3011" s="286"/>
      <c r="E3011" s="286"/>
    </row>
    <row r="3012">
      <c r="A3012" s="286"/>
      <c r="B3012" s="286"/>
      <c r="C3012" s="287"/>
      <c r="D3012" s="286"/>
      <c r="E3012" s="286"/>
    </row>
    <row r="3013">
      <c r="A3013" s="286"/>
      <c r="B3013" s="286"/>
      <c r="C3013" s="287"/>
      <c r="D3013" s="286"/>
      <c r="E3013" s="286"/>
    </row>
    <row r="3014">
      <c r="A3014" s="286"/>
      <c r="B3014" s="286"/>
      <c r="C3014" s="287"/>
      <c r="D3014" s="286"/>
      <c r="E3014" s="286"/>
    </row>
    <row r="3015">
      <c r="A3015" s="286"/>
      <c r="B3015" s="286"/>
      <c r="C3015" s="287"/>
      <c r="D3015" s="286"/>
      <c r="E3015" s="286"/>
    </row>
    <row r="3016">
      <c r="A3016" s="286"/>
      <c r="B3016" s="286"/>
      <c r="C3016" s="287"/>
      <c r="D3016" s="286"/>
      <c r="E3016" s="286"/>
    </row>
    <row r="3017">
      <c r="A3017" s="286"/>
      <c r="B3017" s="286"/>
      <c r="C3017" s="287"/>
      <c r="D3017" s="286"/>
      <c r="E3017" s="286"/>
    </row>
    <row r="3018">
      <c r="A3018" s="286"/>
      <c r="B3018" s="286"/>
      <c r="C3018" s="287"/>
      <c r="D3018" s="286"/>
      <c r="E3018" s="286"/>
    </row>
    <row r="3019">
      <c r="A3019" s="286"/>
      <c r="B3019" s="286"/>
      <c r="C3019" s="287"/>
      <c r="D3019" s="286"/>
      <c r="E3019" s="286"/>
    </row>
    <row r="3020">
      <c r="A3020" s="286"/>
      <c r="B3020" s="286"/>
      <c r="C3020" s="287"/>
      <c r="D3020" s="286"/>
      <c r="E3020" s="286"/>
    </row>
    <row r="3021">
      <c r="A3021" s="286"/>
      <c r="B3021" s="286"/>
      <c r="C3021" s="287"/>
      <c r="D3021" s="286"/>
      <c r="E3021" s="286"/>
    </row>
    <row r="3022">
      <c r="A3022" s="286"/>
      <c r="B3022" s="286"/>
      <c r="C3022" s="287"/>
      <c r="D3022" s="286"/>
      <c r="E3022" s="286"/>
    </row>
    <row r="3023">
      <c r="A3023" s="286"/>
      <c r="B3023" s="286"/>
      <c r="C3023" s="287"/>
      <c r="D3023" s="286"/>
      <c r="E3023" s="286"/>
    </row>
    <row r="3024">
      <c r="A3024" s="286"/>
      <c r="B3024" s="286"/>
      <c r="C3024" s="287"/>
      <c r="D3024" s="286"/>
      <c r="E3024" s="286"/>
    </row>
    <row r="3025">
      <c r="A3025" s="286"/>
      <c r="B3025" s="286"/>
      <c r="C3025" s="287"/>
      <c r="D3025" s="286"/>
      <c r="E3025" s="286"/>
    </row>
    <row r="3026">
      <c r="A3026" s="286"/>
      <c r="B3026" s="286"/>
      <c r="C3026" s="287"/>
      <c r="D3026" s="286"/>
      <c r="E3026" s="286"/>
    </row>
    <row r="3027">
      <c r="A3027" s="286"/>
      <c r="B3027" s="286"/>
      <c r="C3027" s="287"/>
      <c r="D3027" s="286"/>
      <c r="E3027" s="286"/>
    </row>
    <row r="3028">
      <c r="A3028" s="286"/>
      <c r="B3028" s="286"/>
      <c r="C3028" s="287"/>
      <c r="D3028" s="286"/>
      <c r="E3028" s="286"/>
    </row>
    <row r="3029">
      <c r="A3029" s="286"/>
      <c r="B3029" s="286"/>
      <c r="C3029" s="287"/>
      <c r="D3029" s="286"/>
      <c r="E3029" s="286"/>
    </row>
    <row r="3030">
      <c r="A3030" s="286"/>
      <c r="B3030" s="286"/>
      <c r="C3030" s="287"/>
      <c r="D3030" s="286"/>
      <c r="E3030" s="286"/>
    </row>
    <row r="3031">
      <c r="A3031" s="286"/>
      <c r="B3031" s="286"/>
      <c r="C3031" s="287"/>
      <c r="D3031" s="286"/>
      <c r="E3031" s="286"/>
    </row>
    <row r="3032">
      <c r="A3032" s="286"/>
      <c r="B3032" s="286"/>
      <c r="C3032" s="287"/>
      <c r="D3032" s="286"/>
      <c r="E3032" s="286"/>
    </row>
    <row r="3033">
      <c r="A3033" s="286"/>
      <c r="B3033" s="286"/>
      <c r="C3033" s="287"/>
      <c r="D3033" s="286"/>
      <c r="E3033" s="286"/>
    </row>
    <row r="3034">
      <c r="A3034" s="286"/>
      <c r="B3034" s="286"/>
      <c r="C3034" s="287"/>
      <c r="D3034" s="286"/>
      <c r="E3034" s="286"/>
    </row>
    <row r="3035">
      <c r="A3035" s="286"/>
      <c r="B3035" s="286"/>
      <c r="C3035" s="287"/>
      <c r="D3035" s="286"/>
      <c r="E3035" s="286"/>
    </row>
    <row r="3036">
      <c r="A3036" s="286"/>
      <c r="B3036" s="286"/>
      <c r="C3036" s="287"/>
      <c r="D3036" s="286"/>
      <c r="E3036" s="286"/>
    </row>
    <row r="3037">
      <c r="A3037" s="286"/>
      <c r="B3037" s="286"/>
      <c r="C3037" s="287"/>
      <c r="D3037" s="286"/>
      <c r="E3037" s="286"/>
    </row>
    <row r="3038">
      <c r="A3038" s="286"/>
      <c r="B3038" s="286"/>
      <c r="C3038" s="287"/>
      <c r="D3038" s="286"/>
      <c r="E3038" s="286"/>
    </row>
    <row r="3039">
      <c r="A3039" s="286"/>
      <c r="B3039" s="286"/>
      <c r="C3039" s="287"/>
      <c r="D3039" s="286"/>
      <c r="E3039" s="286"/>
    </row>
    <row r="3040">
      <c r="A3040" s="286"/>
      <c r="B3040" s="286"/>
      <c r="C3040" s="287"/>
      <c r="D3040" s="286"/>
      <c r="E3040" s="286"/>
    </row>
    <row r="3041">
      <c r="A3041" s="286"/>
      <c r="B3041" s="286"/>
      <c r="C3041" s="287"/>
      <c r="D3041" s="286"/>
      <c r="E3041" s="286"/>
    </row>
    <row r="3042">
      <c r="A3042" s="286"/>
      <c r="B3042" s="286"/>
      <c r="C3042" s="287"/>
      <c r="D3042" s="286"/>
      <c r="E3042" s="286"/>
    </row>
    <row r="3043">
      <c r="A3043" s="286"/>
      <c r="B3043" s="286"/>
      <c r="C3043" s="287"/>
      <c r="D3043" s="286"/>
      <c r="E3043" s="286"/>
    </row>
    <row r="3044">
      <c r="A3044" s="286"/>
      <c r="B3044" s="286"/>
      <c r="C3044" s="287"/>
      <c r="D3044" s="286"/>
      <c r="E3044" s="286"/>
    </row>
    <row r="3045">
      <c r="A3045" s="286"/>
      <c r="B3045" s="286"/>
      <c r="C3045" s="287"/>
      <c r="D3045" s="286"/>
      <c r="E3045" s="286"/>
    </row>
    <row r="3046">
      <c r="A3046" s="286"/>
      <c r="B3046" s="286"/>
      <c r="C3046" s="287"/>
      <c r="D3046" s="286"/>
      <c r="E3046" s="286"/>
    </row>
    <row r="3047">
      <c r="A3047" s="286"/>
      <c r="B3047" s="286"/>
      <c r="C3047" s="287"/>
      <c r="D3047" s="286"/>
      <c r="E3047" s="286"/>
    </row>
    <row r="3048">
      <c r="A3048" s="286"/>
      <c r="B3048" s="286"/>
      <c r="C3048" s="287"/>
      <c r="D3048" s="286"/>
      <c r="E3048" s="286"/>
    </row>
    <row r="3049">
      <c r="A3049" s="286"/>
      <c r="B3049" s="286"/>
      <c r="C3049" s="287"/>
      <c r="D3049" s="286"/>
      <c r="E3049" s="286"/>
    </row>
    <row r="3050">
      <c r="A3050" s="286"/>
      <c r="B3050" s="286"/>
      <c r="C3050" s="287"/>
      <c r="D3050" s="286"/>
      <c r="E3050" s="286"/>
    </row>
    <row r="3051">
      <c r="A3051" s="286"/>
      <c r="B3051" s="286"/>
      <c r="C3051" s="287"/>
      <c r="D3051" s="286"/>
      <c r="E3051" s="286"/>
    </row>
    <row r="3052">
      <c r="A3052" s="286"/>
      <c r="B3052" s="286"/>
      <c r="C3052" s="287"/>
      <c r="D3052" s="286"/>
      <c r="E3052" s="286"/>
    </row>
    <row r="3053">
      <c r="A3053" s="286"/>
      <c r="B3053" s="286"/>
      <c r="C3053" s="287"/>
      <c r="D3053" s="286"/>
      <c r="E3053" s="286"/>
    </row>
    <row r="3054">
      <c r="A3054" s="286"/>
      <c r="B3054" s="286"/>
      <c r="C3054" s="287"/>
      <c r="D3054" s="286"/>
      <c r="E3054" s="286"/>
    </row>
    <row r="3055">
      <c r="A3055" s="286"/>
      <c r="B3055" s="286"/>
      <c r="C3055" s="287"/>
      <c r="D3055" s="286"/>
      <c r="E3055" s="286"/>
    </row>
    <row r="3056">
      <c r="A3056" s="286"/>
      <c r="B3056" s="286"/>
      <c r="C3056" s="287"/>
      <c r="D3056" s="286"/>
      <c r="E3056" s="286"/>
    </row>
    <row r="3057">
      <c r="A3057" s="286"/>
      <c r="B3057" s="286"/>
      <c r="C3057" s="287"/>
      <c r="D3057" s="286"/>
      <c r="E3057" s="286"/>
    </row>
    <row r="3058">
      <c r="A3058" s="286"/>
      <c r="B3058" s="286"/>
      <c r="C3058" s="287"/>
      <c r="D3058" s="286"/>
      <c r="E3058" s="286"/>
    </row>
    <row r="3059">
      <c r="A3059" s="286"/>
      <c r="B3059" s="286"/>
      <c r="C3059" s="287"/>
      <c r="D3059" s="286"/>
      <c r="E3059" s="286"/>
    </row>
    <row r="3060">
      <c r="A3060" s="286"/>
      <c r="B3060" s="286"/>
      <c r="C3060" s="287"/>
      <c r="D3060" s="286"/>
      <c r="E3060" s="286"/>
    </row>
    <row r="3061">
      <c r="A3061" s="286"/>
      <c r="B3061" s="286"/>
      <c r="C3061" s="287"/>
      <c r="D3061" s="286"/>
      <c r="E3061" s="286"/>
    </row>
    <row r="3062">
      <c r="A3062" s="286"/>
      <c r="B3062" s="286"/>
      <c r="C3062" s="287"/>
      <c r="D3062" s="286"/>
      <c r="E3062" s="286"/>
    </row>
    <row r="3063">
      <c r="A3063" s="286"/>
      <c r="B3063" s="286"/>
      <c r="C3063" s="287"/>
      <c r="D3063" s="286"/>
      <c r="E3063" s="286"/>
    </row>
    <row r="3064">
      <c r="A3064" s="286"/>
      <c r="B3064" s="286"/>
      <c r="C3064" s="287"/>
      <c r="D3064" s="286"/>
      <c r="E3064" s="286"/>
    </row>
    <row r="3065">
      <c r="A3065" s="286"/>
      <c r="B3065" s="286"/>
      <c r="C3065" s="287"/>
      <c r="D3065" s="286"/>
      <c r="E3065" s="286"/>
    </row>
    <row r="3066">
      <c r="A3066" s="286"/>
      <c r="B3066" s="286"/>
      <c r="C3066" s="287"/>
      <c r="D3066" s="286"/>
      <c r="E3066" s="286"/>
    </row>
    <row r="3067">
      <c r="A3067" s="286"/>
      <c r="B3067" s="286"/>
      <c r="C3067" s="287"/>
      <c r="D3067" s="286"/>
      <c r="E3067" s="286"/>
    </row>
    <row r="3068">
      <c r="A3068" s="286"/>
      <c r="B3068" s="286"/>
      <c r="C3068" s="287"/>
      <c r="D3068" s="286"/>
      <c r="E3068" s="286"/>
    </row>
    <row r="3069">
      <c r="A3069" s="286"/>
      <c r="B3069" s="286"/>
      <c r="C3069" s="287"/>
      <c r="D3069" s="286"/>
      <c r="E3069" s="286"/>
    </row>
    <row r="3070">
      <c r="A3070" s="286"/>
      <c r="B3070" s="286"/>
      <c r="C3070" s="287"/>
      <c r="D3070" s="286"/>
      <c r="E3070" s="286"/>
    </row>
    <row r="3071">
      <c r="A3071" s="286"/>
      <c r="B3071" s="286"/>
      <c r="C3071" s="287"/>
      <c r="D3071" s="286"/>
      <c r="E3071" s="286"/>
    </row>
    <row r="3072">
      <c r="A3072" s="286"/>
      <c r="B3072" s="286"/>
      <c r="C3072" s="287"/>
      <c r="D3072" s="286"/>
      <c r="E3072" s="286"/>
    </row>
    <row r="3073">
      <c r="A3073" s="286"/>
      <c r="B3073" s="286"/>
      <c r="C3073" s="287"/>
      <c r="D3073" s="286"/>
      <c r="E3073" s="286"/>
    </row>
    <row r="3074">
      <c r="A3074" s="286"/>
      <c r="B3074" s="286"/>
      <c r="C3074" s="287"/>
      <c r="D3074" s="286"/>
      <c r="E3074" s="286"/>
    </row>
    <row r="3075">
      <c r="A3075" s="286"/>
      <c r="B3075" s="286"/>
      <c r="C3075" s="287"/>
      <c r="D3075" s="286"/>
      <c r="E3075" s="286"/>
    </row>
    <row r="3076">
      <c r="A3076" s="286"/>
      <c r="B3076" s="286"/>
      <c r="C3076" s="287"/>
      <c r="D3076" s="286"/>
      <c r="E3076" s="286"/>
    </row>
    <row r="3077">
      <c r="A3077" s="286"/>
      <c r="B3077" s="286"/>
      <c r="C3077" s="287"/>
      <c r="D3077" s="286"/>
      <c r="E3077" s="286"/>
    </row>
    <row r="3078">
      <c r="A3078" s="286"/>
      <c r="B3078" s="286"/>
      <c r="C3078" s="287"/>
      <c r="D3078" s="286"/>
      <c r="E3078" s="286"/>
    </row>
    <row r="3079">
      <c r="A3079" s="286"/>
      <c r="B3079" s="286"/>
      <c r="C3079" s="287"/>
      <c r="D3079" s="286"/>
      <c r="E3079" s="286"/>
    </row>
    <row r="3080">
      <c r="A3080" s="286"/>
      <c r="B3080" s="286"/>
      <c r="C3080" s="287"/>
      <c r="D3080" s="286"/>
      <c r="E3080" s="286"/>
    </row>
    <row r="3081">
      <c r="A3081" s="286"/>
      <c r="B3081" s="286"/>
      <c r="C3081" s="287"/>
      <c r="D3081" s="286"/>
      <c r="E3081" s="286"/>
    </row>
    <row r="3082">
      <c r="A3082" s="286"/>
      <c r="B3082" s="286"/>
      <c r="C3082" s="287"/>
      <c r="D3082" s="286"/>
      <c r="E3082" s="286"/>
    </row>
    <row r="3083">
      <c r="A3083" s="286"/>
      <c r="B3083" s="286"/>
      <c r="C3083" s="287"/>
      <c r="D3083" s="286"/>
      <c r="E3083" s="286"/>
    </row>
    <row r="3084">
      <c r="A3084" s="286"/>
      <c r="B3084" s="286"/>
      <c r="C3084" s="287"/>
      <c r="D3084" s="286"/>
      <c r="E3084" s="286"/>
    </row>
    <row r="3085">
      <c r="A3085" s="286"/>
      <c r="B3085" s="286"/>
      <c r="C3085" s="287"/>
      <c r="D3085" s="286"/>
      <c r="E3085" s="286"/>
    </row>
    <row r="3086">
      <c r="A3086" s="286"/>
      <c r="B3086" s="286"/>
      <c r="C3086" s="287"/>
      <c r="D3086" s="286"/>
      <c r="E3086" s="286"/>
    </row>
    <row r="3087">
      <c r="A3087" s="286"/>
      <c r="B3087" s="286"/>
      <c r="C3087" s="287"/>
      <c r="D3087" s="286"/>
      <c r="E3087" s="286"/>
    </row>
    <row r="3088">
      <c r="A3088" s="286"/>
      <c r="B3088" s="286"/>
      <c r="C3088" s="287"/>
      <c r="D3088" s="286"/>
      <c r="E3088" s="286"/>
    </row>
    <row r="3089">
      <c r="A3089" s="286"/>
      <c r="B3089" s="286"/>
      <c r="C3089" s="287"/>
      <c r="D3089" s="286"/>
      <c r="E3089" s="286"/>
    </row>
    <row r="3090">
      <c r="A3090" s="286"/>
      <c r="B3090" s="286"/>
      <c r="C3090" s="287"/>
      <c r="D3090" s="286"/>
      <c r="E3090" s="286"/>
    </row>
    <row r="3091">
      <c r="A3091" s="286"/>
      <c r="B3091" s="286"/>
      <c r="C3091" s="287"/>
      <c r="D3091" s="286"/>
      <c r="E3091" s="286"/>
    </row>
    <row r="3092">
      <c r="A3092" s="286"/>
      <c r="B3092" s="286"/>
      <c r="C3092" s="287"/>
      <c r="D3092" s="286"/>
      <c r="E3092" s="286"/>
    </row>
    <row r="3093">
      <c r="A3093" s="286"/>
      <c r="B3093" s="286"/>
      <c r="C3093" s="287"/>
      <c r="D3093" s="286"/>
      <c r="E3093" s="286"/>
    </row>
    <row r="3094">
      <c r="A3094" s="286"/>
      <c r="B3094" s="286"/>
      <c r="C3094" s="287"/>
      <c r="D3094" s="286"/>
      <c r="E3094" s="286"/>
    </row>
    <row r="3095">
      <c r="A3095" s="286"/>
      <c r="B3095" s="286"/>
      <c r="C3095" s="287"/>
      <c r="D3095" s="286"/>
      <c r="E3095" s="286"/>
    </row>
    <row r="3096">
      <c r="A3096" s="286"/>
      <c r="B3096" s="286"/>
      <c r="C3096" s="287"/>
      <c r="D3096" s="286"/>
      <c r="E3096" s="286"/>
    </row>
    <row r="3097">
      <c r="A3097" s="286"/>
      <c r="B3097" s="286"/>
      <c r="C3097" s="287"/>
      <c r="D3097" s="286"/>
      <c r="E3097" s="286"/>
    </row>
    <row r="3098">
      <c r="A3098" s="286"/>
      <c r="B3098" s="286"/>
      <c r="C3098" s="287"/>
      <c r="D3098" s="286"/>
      <c r="E3098" s="286"/>
    </row>
    <row r="3099">
      <c r="A3099" s="286"/>
      <c r="B3099" s="286"/>
      <c r="C3099" s="287"/>
      <c r="D3099" s="286"/>
      <c r="E3099" s="286"/>
    </row>
    <row r="3100">
      <c r="A3100" s="286"/>
      <c r="B3100" s="286"/>
      <c r="C3100" s="287"/>
      <c r="D3100" s="286"/>
      <c r="E3100" s="286"/>
    </row>
    <row r="3101">
      <c r="A3101" s="286"/>
      <c r="B3101" s="286"/>
      <c r="C3101" s="287"/>
      <c r="D3101" s="286"/>
      <c r="E3101" s="286"/>
    </row>
    <row r="3102">
      <c r="A3102" s="286"/>
      <c r="B3102" s="286"/>
      <c r="C3102" s="287"/>
      <c r="D3102" s="286"/>
      <c r="E3102" s="286"/>
    </row>
    <row r="3103">
      <c r="A3103" s="286"/>
      <c r="B3103" s="286"/>
      <c r="C3103" s="287"/>
      <c r="D3103" s="286"/>
      <c r="E3103" s="286"/>
    </row>
    <row r="3104">
      <c r="A3104" s="286"/>
      <c r="B3104" s="286"/>
      <c r="C3104" s="287"/>
      <c r="D3104" s="286"/>
      <c r="E3104" s="286"/>
    </row>
    <row r="3105">
      <c r="A3105" s="286"/>
      <c r="B3105" s="286"/>
      <c r="C3105" s="287"/>
      <c r="D3105" s="286"/>
      <c r="E3105" s="286"/>
    </row>
    <row r="3106">
      <c r="A3106" s="286"/>
      <c r="B3106" s="286"/>
      <c r="C3106" s="287"/>
      <c r="D3106" s="286"/>
      <c r="E3106" s="286"/>
    </row>
    <row r="3107">
      <c r="A3107" s="286"/>
      <c r="B3107" s="286"/>
      <c r="C3107" s="287"/>
      <c r="D3107" s="286"/>
      <c r="E3107" s="286"/>
    </row>
    <row r="3108">
      <c r="A3108" s="286"/>
      <c r="B3108" s="286"/>
      <c r="C3108" s="287"/>
      <c r="D3108" s="286"/>
      <c r="E3108" s="286"/>
    </row>
    <row r="3109">
      <c r="A3109" s="286"/>
      <c r="B3109" s="286"/>
      <c r="C3109" s="287"/>
      <c r="D3109" s="286"/>
      <c r="E3109" s="286"/>
    </row>
    <row r="3110">
      <c r="A3110" s="286"/>
      <c r="B3110" s="286"/>
      <c r="C3110" s="287"/>
      <c r="D3110" s="286"/>
      <c r="E3110" s="286"/>
    </row>
    <row r="3111">
      <c r="A3111" s="286"/>
      <c r="B3111" s="286"/>
      <c r="C3111" s="287"/>
      <c r="D3111" s="286"/>
      <c r="E3111" s="286"/>
    </row>
    <row r="3112">
      <c r="A3112" s="286"/>
      <c r="B3112" s="286"/>
      <c r="C3112" s="287"/>
      <c r="D3112" s="286"/>
      <c r="E3112" s="286"/>
    </row>
    <row r="3113">
      <c r="A3113" s="286"/>
      <c r="B3113" s="286"/>
      <c r="C3113" s="287"/>
      <c r="D3113" s="286"/>
      <c r="E3113" s="286"/>
    </row>
    <row r="3114">
      <c r="A3114" s="286"/>
      <c r="B3114" s="286"/>
      <c r="C3114" s="287"/>
      <c r="D3114" s="286"/>
      <c r="E3114" s="286"/>
    </row>
    <row r="3115">
      <c r="A3115" s="286"/>
      <c r="B3115" s="286"/>
      <c r="C3115" s="287"/>
      <c r="D3115" s="286"/>
      <c r="E3115" s="286"/>
    </row>
    <row r="3116">
      <c r="A3116" s="286"/>
      <c r="B3116" s="286"/>
      <c r="C3116" s="287"/>
      <c r="D3116" s="286"/>
      <c r="E3116" s="286"/>
    </row>
    <row r="3117">
      <c r="A3117" s="286"/>
      <c r="B3117" s="286"/>
      <c r="C3117" s="287"/>
      <c r="D3117" s="286"/>
      <c r="E3117" s="286"/>
    </row>
    <row r="3118">
      <c r="A3118" s="286"/>
      <c r="B3118" s="286"/>
      <c r="C3118" s="287"/>
      <c r="D3118" s="286"/>
      <c r="E3118" s="286"/>
    </row>
    <row r="3119">
      <c r="A3119" s="286"/>
      <c r="B3119" s="286"/>
      <c r="C3119" s="287"/>
      <c r="D3119" s="286"/>
      <c r="E3119" s="286"/>
    </row>
    <row r="3120">
      <c r="A3120" s="286"/>
      <c r="B3120" s="286"/>
      <c r="C3120" s="287"/>
      <c r="D3120" s="286"/>
      <c r="E3120" s="286"/>
    </row>
    <row r="3121">
      <c r="A3121" s="286"/>
      <c r="B3121" s="286"/>
      <c r="C3121" s="287"/>
      <c r="D3121" s="286"/>
      <c r="E3121" s="286"/>
    </row>
    <row r="3122">
      <c r="A3122" s="286"/>
      <c r="B3122" s="286"/>
      <c r="C3122" s="287"/>
      <c r="D3122" s="286"/>
      <c r="E3122" s="286"/>
    </row>
    <row r="3123">
      <c r="A3123" s="286"/>
      <c r="B3123" s="286"/>
      <c r="C3123" s="287"/>
      <c r="D3123" s="286"/>
      <c r="E3123" s="286"/>
    </row>
    <row r="3124">
      <c r="A3124" s="286"/>
      <c r="B3124" s="286"/>
      <c r="C3124" s="287"/>
      <c r="D3124" s="286"/>
      <c r="E3124" s="286"/>
    </row>
    <row r="3125">
      <c r="A3125" s="286"/>
      <c r="B3125" s="286"/>
      <c r="C3125" s="287"/>
      <c r="D3125" s="286"/>
      <c r="E3125" s="286"/>
    </row>
    <row r="3126">
      <c r="A3126" s="286"/>
      <c r="B3126" s="286"/>
      <c r="C3126" s="287"/>
      <c r="D3126" s="286"/>
      <c r="E3126" s="286"/>
    </row>
    <row r="3127">
      <c r="A3127" s="286"/>
      <c r="B3127" s="286"/>
      <c r="C3127" s="287"/>
      <c r="D3127" s="286"/>
      <c r="E3127" s="286"/>
    </row>
    <row r="3128">
      <c r="A3128" s="286"/>
      <c r="B3128" s="286"/>
      <c r="C3128" s="287"/>
      <c r="D3128" s="286"/>
      <c r="E3128" s="286"/>
    </row>
    <row r="3129">
      <c r="A3129" s="286"/>
      <c r="B3129" s="286"/>
      <c r="C3129" s="287"/>
      <c r="D3129" s="286"/>
      <c r="E3129" s="286"/>
    </row>
    <row r="3130">
      <c r="A3130" s="286"/>
      <c r="B3130" s="286"/>
      <c r="C3130" s="287"/>
      <c r="D3130" s="286"/>
      <c r="E3130" s="286"/>
    </row>
    <row r="3131">
      <c r="A3131" s="286"/>
      <c r="B3131" s="286"/>
      <c r="C3131" s="287"/>
      <c r="D3131" s="286"/>
      <c r="E3131" s="286"/>
    </row>
    <row r="3132">
      <c r="A3132" s="286"/>
      <c r="B3132" s="286"/>
      <c r="C3132" s="287"/>
      <c r="D3132" s="286"/>
      <c r="E3132" s="286"/>
    </row>
    <row r="3133">
      <c r="A3133" s="286"/>
      <c r="B3133" s="286"/>
      <c r="C3133" s="287"/>
      <c r="D3133" s="286"/>
      <c r="E3133" s="286"/>
    </row>
    <row r="3134">
      <c r="A3134" s="286"/>
      <c r="B3134" s="286"/>
      <c r="C3134" s="287"/>
      <c r="D3134" s="286"/>
      <c r="E3134" s="286"/>
    </row>
    <row r="3135">
      <c r="A3135" s="286"/>
      <c r="B3135" s="286"/>
      <c r="C3135" s="287"/>
      <c r="D3135" s="286"/>
      <c r="E3135" s="286"/>
    </row>
    <row r="3136">
      <c r="A3136" s="286"/>
      <c r="B3136" s="286"/>
      <c r="C3136" s="287"/>
      <c r="D3136" s="286"/>
      <c r="E3136" s="286"/>
    </row>
    <row r="3137">
      <c r="A3137" s="286"/>
      <c r="B3137" s="286"/>
      <c r="C3137" s="287"/>
      <c r="D3137" s="286"/>
      <c r="E3137" s="286"/>
    </row>
    <row r="3138">
      <c r="A3138" s="286"/>
      <c r="B3138" s="286"/>
      <c r="C3138" s="287"/>
      <c r="D3138" s="286"/>
      <c r="E3138" s="286"/>
    </row>
    <row r="3139">
      <c r="A3139" s="286"/>
      <c r="B3139" s="286"/>
      <c r="C3139" s="287"/>
      <c r="D3139" s="286"/>
      <c r="E3139" s="286"/>
    </row>
    <row r="3140">
      <c r="A3140" s="286"/>
      <c r="B3140" s="286"/>
      <c r="C3140" s="287"/>
      <c r="D3140" s="286"/>
      <c r="E3140" s="286"/>
    </row>
    <row r="3141">
      <c r="A3141" s="286"/>
      <c r="B3141" s="286"/>
      <c r="C3141" s="287"/>
      <c r="D3141" s="286"/>
      <c r="E3141" s="286"/>
    </row>
    <row r="3142">
      <c r="A3142" s="286"/>
      <c r="B3142" s="286"/>
      <c r="C3142" s="287"/>
      <c r="D3142" s="286"/>
      <c r="E3142" s="286"/>
    </row>
    <row r="3143">
      <c r="A3143" s="286"/>
      <c r="B3143" s="286"/>
      <c r="C3143" s="287"/>
      <c r="D3143" s="286"/>
      <c r="E3143" s="286"/>
    </row>
    <row r="3144">
      <c r="A3144" s="286"/>
      <c r="B3144" s="286"/>
      <c r="C3144" s="287"/>
      <c r="D3144" s="286"/>
      <c r="E3144" s="286"/>
    </row>
    <row r="3145">
      <c r="A3145" s="286"/>
      <c r="B3145" s="286"/>
      <c r="C3145" s="287"/>
      <c r="D3145" s="286"/>
      <c r="E3145" s="286"/>
    </row>
    <row r="3146">
      <c r="A3146" s="286"/>
      <c r="B3146" s="286"/>
      <c r="C3146" s="287"/>
      <c r="D3146" s="286"/>
      <c r="E3146" s="286"/>
    </row>
    <row r="3147">
      <c r="A3147" s="286"/>
      <c r="B3147" s="286"/>
      <c r="C3147" s="287"/>
      <c r="D3147" s="286"/>
      <c r="E3147" s="286"/>
    </row>
    <row r="3148">
      <c r="A3148" s="286"/>
      <c r="B3148" s="286"/>
      <c r="C3148" s="287"/>
      <c r="D3148" s="286"/>
      <c r="E3148" s="286"/>
    </row>
    <row r="3149">
      <c r="A3149" s="286"/>
      <c r="B3149" s="286"/>
      <c r="C3149" s="287"/>
      <c r="D3149" s="286"/>
      <c r="E3149" s="286"/>
    </row>
    <row r="3150">
      <c r="A3150" s="286"/>
      <c r="B3150" s="286"/>
      <c r="C3150" s="287"/>
      <c r="D3150" s="286"/>
      <c r="E3150" s="286"/>
    </row>
    <row r="3151">
      <c r="A3151" s="286"/>
      <c r="B3151" s="286"/>
      <c r="C3151" s="287"/>
      <c r="D3151" s="286"/>
      <c r="E3151" s="286"/>
    </row>
    <row r="3152">
      <c r="A3152" s="286"/>
      <c r="B3152" s="286"/>
      <c r="C3152" s="287"/>
      <c r="D3152" s="286"/>
      <c r="E3152" s="286"/>
    </row>
    <row r="3153">
      <c r="A3153" s="286"/>
      <c r="B3153" s="286"/>
      <c r="C3153" s="287"/>
      <c r="D3153" s="286"/>
      <c r="E3153" s="286"/>
    </row>
    <row r="3154">
      <c r="A3154" s="286"/>
      <c r="B3154" s="286"/>
      <c r="C3154" s="287"/>
      <c r="D3154" s="286"/>
      <c r="E3154" s="286"/>
    </row>
    <row r="3155">
      <c r="A3155" s="286"/>
      <c r="B3155" s="286"/>
      <c r="C3155" s="287"/>
      <c r="D3155" s="286"/>
      <c r="E3155" s="286"/>
    </row>
    <row r="3156">
      <c r="A3156" s="286"/>
      <c r="B3156" s="286"/>
      <c r="C3156" s="287"/>
      <c r="D3156" s="286"/>
      <c r="E3156" s="286"/>
    </row>
    <row r="3157">
      <c r="A3157" s="286"/>
      <c r="B3157" s="286"/>
      <c r="C3157" s="287"/>
      <c r="D3157" s="286"/>
      <c r="E3157" s="286"/>
    </row>
    <row r="3158">
      <c r="A3158" s="286"/>
      <c r="B3158" s="286"/>
      <c r="C3158" s="287"/>
      <c r="D3158" s="286"/>
      <c r="E3158" s="286"/>
    </row>
    <row r="3159">
      <c r="A3159" s="286"/>
      <c r="B3159" s="286"/>
      <c r="C3159" s="287"/>
      <c r="D3159" s="286"/>
      <c r="E3159" s="286"/>
    </row>
    <row r="3160">
      <c r="A3160" s="286"/>
      <c r="B3160" s="286"/>
      <c r="C3160" s="287"/>
      <c r="D3160" s="286"/>
      <c r="E3160" s="286"/>
    </row>
    <row r="3161">
      <c r="A3161" s="286"/>
      <c r="B3161" s="286"/>
      <c r="C3161" s="287"/>
      <c r="D3161" s="286"/>
      <c r="E3161" s="286"/>
    </row>
    <row r="3162">
      <c r="A3162" s="286"/>
      <c r="B3162" s="286"/>
      <c r="C3162" s="287"/>
      <c r="D3162" s="286"/>
      <c r="E3162" s="286"/>
    </row>
    <row r="3163">
      <c r="A3163" s="286"/>
      <c r="B3163" s="286"/>
      <c r="C3163" s="287"/>
      <c r="D3163" s="286"/>
      <c r="E3163" s="286"/>
    </row>
    <row r="3164">
      <c r="A3164" s="286"/>
      <c r="B3164" s="286"/>
      <c r="C3164" s="287"/>
      <c r="D3164" s="286"/>
      <c r="E3164" s="286"/>
    </row>
    <row r="3165">
      <c r="A3165" s="286"/>
      <c r="B3165" s="286"/>
      <c r="C3165" s="287"/>
      <c r="D3165" s="286"/>
      <c r="E3165" s="286"/>
    </row>
    <row r="3166">
      <c r="A3166" s="286"/>
      <c r="B3166" s="286"/>
      <c r="C3166" s="287"/>
      <c r="D3166" s="286"/>
      <c r="E3166" s="286"/>
    </row>
    <row r="3167">
      <c r="A3167" s="286"/>
      <c r="B3167" s="286"/>
      <c r="C3167" s="287"/>
      <c r="D3167" s="286"/>
      <c r="E3167" s="286"/>
    </row>
    <row r="3168">
      <c r="A3168" s="286"/>
      <c r="B3168" s="286"/>
      <c r="C3168" s="287"/>
      <c r="D3168" s="286"/>
      <c r="E3168" s="286"/>
    </row>
    <row r="3169">
      <c r="A3169" s="286"/>
      <c r="B3169" s="286"/>
      <c r="C3169" s="287"/>
      <c r="D3169" s="286"/>
      <c r="E3169" s="286"/>
    </row>
    <row r="3170">
      <c r="A3170" s="286"/>
      <c r="B3170" s="286"/>
      <c r="C3170" s="287"/>
      <c r="D3170" s="286"/>
      <c r="E3170" s="286"/>
    </row>
    <row r="3171">
      <c r="A3171" s="286"/>
      <c r="B3171" s="286"/>
      <c r="C3171" s="287"/>
      <c r="D3171" s="286"/>
      <c r="E3171" s="286"/>
    </row>
    <row r="3172">
      <c r="A3172" s="286"/>
      <c r="B3172" s="286"/>
      <c r="C3172" s="287"/>
      <c r="D3172" s="286"/>
      <c r="E3172" s="286"/>
    </row>
    <row r="3173">
      <c r="A3173" s="286"/>
      <c r="B3173" s="286"/>
      <c r="C3173" s="287"/>
      <c r="D3173" s="286"/>
      <c r="E3173" s="286"/>
    </row>
    <row r="3174">
      <c r="A3174" s="286"/>
      <c r="B3174" s="286"/>
      <c r="C3174" s="287"/>
      <c r="D3174" s="286"/>
      <c r="E3174" s="286"/>
    </row>
    <row r="3175">
      <c r="A3175" s="286"/>
      <c r="B3175" s="286"/>
      <c r="C3175" s="287"/>
      <c r="D3175" s="286"/>
      <c r="E3175" s="286"/>
    </row>
    <row r="3176">
      <c r="A3176" s="286"/>
      <c r="B3176" s="286"/>
      <c r="C3176" s="287"/>
      <c r="D3176" s="286"/>
      <c r="E3176" s="286"/>
    </row>
    <row r="3177">
      <c r="A3177" s="286"/>
      <c r="B3177" s="286"/>
      <c r="C3177" s="287"/>
      <c r="D3177" s="286"/>
      <c r="E3177" s="286"/>
    </row>
    <row r="3178">
      <c r="A3178" s="286"/>
      <c r="B3178" s="286"/>
      <c r="C3178" s="287"/>
      <c r="D3178" s="286"/>
      <c r="E3178" s="286"/>
    </row>
    <row r="3179">
      <c r="A3179" s="286"/>
      <c r="B3179" s="286"/>
      <c r="C3179" s="287"/>
      <c r="D3179" s="286"/>
      <c r="E3179" s="286"/>
    </row>
    <row r="3180">
      <c r="A3180" s="286"/>
      <c r="B3180" s="286"/>
      <c r="C3180" s="287"/>
      <c r="D3180" s="286"/>
      <c r="E3180" s="286"/>
    </row>
    <row r="3181">
      <c r="A3181" s="286"/>
      <c r="B3181" s="286"/>
      <c r="C3181" s="287"/>
      <c r="D3181" s="286"/>
      <c r="E3181" s="286"/>
    </row>
    <row r="3182">
      <c r="A3182" s="286"/>
      <c r="B3182" s="286"/>
      <c r="C3182" s="287"/>
      <c r="D3182" s="286"/>
      <c r="E3182" s="286"/>
    </row>
    <row r="3183">
      <c r="A3183" s="286"/>
      <c r="B3183" s="286"/>
      <c r="C3183" s="287"/>
      <c r="D3183" s="286"/>
      <c r="E3183" s="286"/>
    </row>
    <row r="3184">
      <c r="A3184" s="286"/>
      <c r="B3184" s="286"/>
      <c r="C3184" s="287"/>
      <c r="D3184" s="286"/>
      <c r="E3184" s="286"/>
    </row>
    <row r="3185">
      <c r="A3185" s="286"/>
      <c r="B3185" s="286"/>
      <c r="C3185" s="287"/>
      <c r="D3185" s="286"/>
      <c r="E3185" s="286"/>
    </row>
    <row r="3186">
      <c r="A3186" s="286"/>
      <c r="B3186" s="286"/>
      <c r="C3186" s="287"/>
      <c r="D3186" s="286"/>
      <c r="E3186" s="286"/>
    </row>
    <row r="3187">
      <c r="A3187" s="286"/>
      <c r="B3187" s="286"/>
      <c r="C3187" s="287"/>
      <c r="D3187" s="286"/>
      <c r="E3187" s="286"/>
    </row>
    <row r="3188">
      <c r="A3188" s="286"/>
      <c r="B3188" s="286"/>
      <c r="C3188" s="287"/>
      <c r="D3188" s="286"/>
      <c r="E3188" s="286"/>
    </row>
    <row r="3189">
      <c r="A3189" s="286"/>
      <c r="B3189" s="286"/>
      <c r="C3189" s="287"/>
      <c r="D3189" s="286"/>
      <c r="E3189" s="286"/>
    </row>
    <row r="3190">
      <c r="A3190" s="286"/>
      <c r="B3190" s="286"/>
      <c r="C3190" s="287"/>
      <c r="D3190" s="286"/>
      <c r="E3190" s="286"/>
    </row>
    <row r="3191">
      <c r="A3191" s="286"/>
      <c r="B3191" s="286"/>
      <c r="C3191" s="287"/>
      <c r="D3191" s="286"/>
      <c r="E3191" s="286"/>
    </row>
    <row r="3192">
      <c r="A3192" s="286"/>
      <c r="B3192" s="286"/>
      <c r="C3192" s="287"/>
      <c r="D3192" s="286"/>
      <c r="E3192" s="286"/>
    </row>
    <row r="3193">
      <c r="A3193" s="286"/>
      <c r="B3193" s="286"/>
      <c r="C3193" s="287"/>
      <c r="D3193" s="286"/>
      <c r="E3193" s="286"/>
    </row>
    <row r="3194">
      <c r="A3194" s="286"/>
      <c r="B3194" s="286"/>
      <c r="C3194" s="287"/>
      <c r="D3194" s="286"/>
      <c r="E3194" s="286"/>
    </row>
    <row r="3195">
      <c r="A3195" s="286"/>
      <c r="B3195" s="286"/>
      <c r="C3195" s="287"/>
      <c r="D3195" s="286"/>
      <c r="E3195" s="286"/>
    </row>
    <row r="3196">
      <c r="A3196" s="286"/>
      <c r="B3196" s="286"/>
      <c r="C3196" s="287"/>
      <c r="D3196" s="286"/>
      <c r="E3196" s="286"/>
    </row>
    <row r="3197">
      <c r="A3197" s="286"/>
      <c r="B3197" s="286"/>
      <c r="C3197" s="287"/>
      <c r="D3197" s="286"/>
      <c r="E3197" s="286"/>
    </row>
    <row r="3198">
      <c r="A3198" s="286"/>
      <c r="B3198" s="286"/>
      <c r="C3198" s="287"/>
      <c r="D3198" s="286"/>
      <c r="E3198" s="286"/>
    </row>
    <row r="3199">
      <c r="A3199" s="286"/>
      <c r="B3199" s="286"/>
      <c r="C3199" s="287"/>
      <c r="D3199" s="286"/>
      <c r="E3199" s="286"/>
    </row>
    <row r="3200">
      <c r="A3200" s="286"/>
      <c r="B3200" s="286"/>
      <c r="C3200" s="287"/>
      <c r="D3200" s="286"/>
      <c r="E3200" s="286"/>
    </row>
    <row r="3201">
      <c r="A3201" s="286"/>
      <c r="B3201" s="286"/>
      <c r="C3201" s="287"/>
      <c r="D3201" s="286"/>
      <c r="E3201" s="286"/>
    </row>
    <row r="3202">
      <c r="A3202" s="286"/>
      <c r="B3202" s="286"/>
      <c r="C3202" s="287"/>
      <c r="D3202" s="286"/>
      <c r="E3202" s="286"/>
    </row>
    <row r="3203">
      <c r="A3203" s="286"/>
      <c r="B3203" s="286"/>
      <c r="C3203" s="287"/>
      <c r="D3203" s="286"/>
      <c r="E3203" s="286"/>
    </row>
    <row r="3204">
      <c r="A3204" s="286"/>
      <c r="B3204" s="286"/>
      <c r="C3204" s="287"/>
      <c r="D3204" s="286"/>
      <c r="E3204" s="286"/>
    </row>
    <row r="3205">
      <c r="A3205" s="286"/>
      <c r="B3205" s="286"/>
      <c r="C3205" s="287"/>
      <c r="D3205" s="286"/>
      <c r="E3205" s="286"/>
    </row>
    <row r="3206">
      <c r="A3206" s="286"/>
      <c r="B3206" s="286"/>
      <c r="C3206" s="287"/>
      <c r="D3206" s="286"/>
      <c r="E3206" s="286"/>
    </row>
    <row r="3207">
      <c r="A3207" s="286"/>
      <c r="B3207" s="286"/>
      <c r="C3207" s="287"/>
      <c r="D3207" s="286"/>
      <c r="E3207" s="286"/>
    </row>
    <row r="3208">
      <c r="A3208" s="286"/>
      <c r="B3208" s="286"/>
      <c r="C3208" s="287"/>
      <c r="D3208" s="286"/>
      <c r="E3208" s="286"/>
    </row>
    <row r="3209">
      <c r="A3209" s="286"/>
      <c r="B3209" s="286"/>
      <c r="C3209" s="287"/>
      <c r="D3209" s="286"/>
      <c r="E3209" s="286"/>
    </row>
    <row r="3210">
      <c r="A3210" s="286"/>
      <c r="B3210" s="286"/>
      <c r="C3210" s="287"/>
      <c r="D3210" s="286"/>
      <c r="E3210" s="286"/>
    </row>
    <row r="3211">
      <c r="A3211" s="286"/>
      <c r="B3211" s="286"/>
      <c r="C3211" s="287"/>
      <c r="D3211" s="286"/>
      <c r="E3211" s="286"/>
    </row>
    <row r="3212">
      <c r="A3212" s="286"/>
      <c r="B3212" s="286"/>
      <c r="C3212" s="287"/>
      <c r="D3212" s="286"/>
      <c r="E3212" s="286"/>
    </row>
    <row r="3213">
      <c r="A3213" s="286"/>
      <c r="B3213" s="286"/>
      <c r="C3213" s="287"/>
      <c r="D3213" s="286"/>
      <c r="E3213" s="286"/>
    </row>
    <row r="3214">
      <c r="A3214" s="286"/>
      <c r="B3214" s="286"/>
      <c r="C3214" s="287"/>
      <c r="D3214" s="286"/>
      <c r="E3214" s="286"/>
    </row>
    <row r="3215">
      <c r="A3215" s="286"/>
      <c r="B3215" s="286"/>
      <c r="C3215" s="287"/>
      <c r="D3215" s="286"/>
      <c r="E3215" s="286"/>
    </row>
    <row r="3216">
      <c r="A3216" s="286"/>
      <c r="B3216" s="286"/>
      <c r="C3216" s="287"/>
      <c r="D3216" s="286"/>
      <c r="E3216" s="286"/>
    </row>
    <row r="3217">
      <c r="A3217" s="286"/>
      <c r="B3217" s="286"/>
      <c r="C3217" s="287"/>
      <c r="D3217" s="286"/>
      <c r="E3217" s="286"/>
    </row>
    <row r="3218">
      <c r="A3218" s="286"/>
      <c r="B3218" s="286"/>
      <c r="C3218" s="287"/>
      <c r="D3218" s="286"/>
      <c r="E3218" s="286"/>
    </row>
    <row r="3219">
      <c r="A3219" s="286"/>
      <c r="B3219" s="286"/>
      <c r="C3219" s="287"/>
      <c r="D3219" s="286"/>
      <c r="E3219" s="286"/>
    </row>
    <row r="3220">
      <c r="A3220" s="286"/>
      <c r="B3220" s="286"/>
      <c r="C3220" s="287"/>
      <c r="D3220" s="286"/>
      <c r="E3220" s="286"/>
    </row>
    <row r="3221">
      <c r="A3221" s="286"/>
      <c r="B3221" s="286"/>
      <c r="C3221" s="287"/>
      <c r="D3221" s="286"/>
      <c r="E3221" s="286"/>
    </row>
    <row r="3222">
      <c r="A3222" s="286"/>
      <c r="B3222" s="286"/>
      <c r="C3222" s="287"/>
      <c r="D3222" s="286"/>
      <c r="E3222" s="286"/>
    </row>
    <row r="3223">
      <c r="A3223" s="286"/>
      <c r="B3223" s="286"/>
      <c r="C3223" s="287"/>
      <c r="D3223" s="286"/>
      <c r="E3223" s="286"/>
    </row>
    <row r="3224">
      <c r="A3224" s="286"/>
      <c r="B3224" s="286"/>
      <c r="C3224" s="287"/>
      <c r="D3224" s="286"/>
      <c r="E3224" s="286"/>
    </row>
    <row r="3225">
      <c r="A3225" s="286"/>
      <c r="B3225" s="286"/>
      <c r="C3225" s="287"/>
      <c r="D3225" s="286"/>
      <c r="E3225" s="286"/>
    </row>
    <row r="3226">
      <c r="A3226" s="286"/>
      <c r="B3226" s="286"/>
      <c r="C3226" s="287"/>
      <c r="D3226" s="286"/>
      <c r="E3226" s="286"/>
    </row>
    <row r="3227">
      <c r="A3227" s="286"/>
      <c r="B3227" s="286"/>
      <c r="C3227" s="287"/>
      <c r="D3227" s="286"/>
      <c r="E3227" s="286"/>
    </row>
    <row r="3228">
      <c r="A3228" s="286"/>
      <c r="B3228" s="286"/>
      <c r="C3228" s="287"/>
      <c r="D3228" s="286"/>
      <c r="E3228" s="286"/>
    </row>
    <row r="3229">
      <c r="A3229" s="286"/>
      <c r="B3229" s="286"/>
      <c r="C3229" s="287"/>
      <c r="D3229" s="286"/>
      <c r="E3229" s="286"/>
    </row>
    <row r="3230">
      <c r="A3230" s="286"/>
      <c r="B3230" s="286"/>
      <c r="C3230" s="287"/>
      <c r="D3230" s="286"/>
      <c r="E3230" s="286"/>
    </row>
    <row r="3231">
      <c r="A3231" s="286"/>
      <c r="B3231" s="286"/>
      <c r="C3231" s="287"/>
      <c r="D3231" s="286"/>
      <c r="E3231" s="286"/>
    </row>
    <row r="3232">
      <c r="A3232" s="286"/>
      <c r="B3232" s="286"/>
      <c r="C3232" s="287"/>
      <c r="D3232" s="286"/>
      <c r="E3232" s="286"/>
    </row>
    <row r="3233">
      <c r="A3233" s="286"/>
      <c r="B3233" s="286"/>
      <c r="C3233" s="287"/>
      <c r="D3233" s="286"/>
      <c r="E3233" s="286"/>
    </row>
    <row r="3234">
      <c r="A3234" s="286"/>
      <c r="B3234" s="286"/>
      <c r="C3234" s="287"/>
      <c r="D3234" s="286"/>
      <c r="E3234" s="286"/>
    </row>
    <row r="3235">
      <c r="A3235" s="286"/>
      <c r="B3235" s="286"/>
      <c r="C3235" s="287"/>
      <c r="D3235" s="286"/>
      <c r="E3235" s="286"/>
    </row>
    <row r="3236">
      <c r="A3236" s="286"/>
      <c r="B3236" s="286"/>
      <c r="C3236" s="287"/>
      <c r="D3236" s="286"/>
      <c r="E3236" s="286"/>
    </row>
    <row r="3237">
      <c r="A3237" s="286"/>
      <c r="B3237" s="286"/>
      <c r="C3237" s="287"/>
      <c r="D3237" s="286"/>
      <c r="E3237" s="286"/>
    </row>
    <row r="3238">
      <c r="A3238" s="286"/>
      <c r="B3238" s="286"/>
      <c r="C3238" s="287"/>
      <c r="D3238" s="286"/>
      <c r="E3238" s="286"/>
    </row>
    <row r="3239">
      <c r="A3239" s="286"/>
      <c r="B3239" s="286"/>
      <c r="C3239" s="287"/>
      <c r="D3239" s="286"/>
      <c r="E3239" s="286"/>
    </row>
    <row r="3240">
      <c r="A3240" s="286"/>
      <c r="B3240" s="286"/>
      <c r="C3240" s="287"/>
      <c r="D3240" s="286"/>
      <c r="E3240" s="286"/>
    </row>
    <row r="3241">
      <c r="A3241" s="286"/>
      <c r="B3241" s="286"/>
      <c r="C3241" s="287"/>
      <c r="D3241" s="286"/>
      <c r="E3241" s="286"/>
    </row>
    <row r="3242">
      <c r="A3242" s="286"/>
      <c r="B3242" s="286"/>
      <c r="C3242" s="287"/>
      <c r="D3242" s="286"/>
      <c r="E3242" s="286"/>
    </row>
    <row r="3243">
      <c r="A3243" s="286"/>
      <c r="B3243" s="286"/>
      <c r="C3243" s="287"/>
      <c r="D3243" s="286"/>
      <c r="E3243" s="286"/>
    </row>
    <row r="3244">
      <c r="A3244" s="286"/>
      <c r="B3244" s="286"/>
      <c r="C3244" s="287"/>
      <c r="D3244" s="286"/>
      <c r="E3244" s="286"/>
    </row>
    <row r="3245">
      <c r="A3245" s="286"/>
      <c r="B3245" s="286"/>
      <c r="C3245" s="287"/>
      <c r="D3245" s="286"/>
      <c r="E3245" s="286"/>
    </row>
    <row r="3246">
      <c r="A3246" s="286"/>
      <c r="B3246" s="286"/>
      <c r="C3246" s="287"/>
      <c r="D3246" s="286"/>
      <c r="E3246" s="286"/>
    </row>
    <row r="3247">
      <c r="A3247" s="286"/>
      <c r="B3247" s="286"/>
      <c r="C3247" s="287"/>
      <c r="D3247" s="286"/>
      <c r="E3247" s="286"/>
    </row>
    <row r="3248">
      <c r="A3248" s="286"/>
      <c r="B3248" s="286"/>
      <c r="C3248" s="287"/>
      <c r="D3248" s="286"/>
      <c r="E3248" s="286"/>
    </row>
    <row r="3249">
      <c r="A3249" s="286"/>
      <c r="B3249" s="286"/>
      <c r="C3249" s="287"/>
      <c r="D3249" s="286"/>
      <c r="E3249" s="286"/>
    </row>
    <row r="3250">
      <c r="A3250" s="286"/>
      <c r="B3250" s="286"/>
      <c r="C3250" s="287"/>
      <c r="D3250" s="286"/>
      <c r="E3250" s="286"/>
    </row>
    <row r="3251">
      <c r="A3251" s="286"/>
      <c r="B3251" s="286"/>
      <c r="C3251" s="287"/>
      <c r="D3251" s="286"/>
      <c r="E3251" s="286"/>
    </row>
    <row r="3252">
      <c r="A3252" s="286"/>
      <c r="B3252" s="286"/>
      <c r="C3252" s="287"/>
      <c r="D3252" s="286"/>
      <c r="E3252" s="286"/>
    </row>
    <row r="3253">
      <c r="A3253" s="286"/>
      <c r="B3253" s="286"/>
      <c r="C3253" s="287"/>
      <c r="D3253" s="286"/>
      <c r="E3253" s="286"/>
    </row>
    <row r="3254">
      <c r="A3254" s="286"/>
      <c r="B3254" s="286"/>
      <c r="C3254" s="287"/>
      <c r="D3254" s="286"/>
      <c r="E3254" s="286"/>
    </row>
    <row r="3255">
      <c r="A3255" s="286"/>
      <c r="B3255" s="286"/>
      <c r="C3255" s="287"/>
      <c r="D3255" s="286"/>
      <c r="E3255" s="286"/>
    </row>
    <row r="3256">
      <c r="A3256" s="286"/>
      <c r="B3256" s="286"/>
      <c r="C3256" s="287"/>
      <c r="D3256" s="286"/>
      <c r="E3256" s="286"/>
    </row>
    <row r="3257">
      <c r="A3257" s="286"/>
      <c r="B3257" s="286"/>
      <c r="C3257" s="287"/>
      <c r="D3257" s="286"/>
      <c r="E3257" s="286"/>
    </row>
    <row r="3258">
      <c r="A3258" s="286"/>
      <c r="B3258" s="286"/>
      <c r="C3258" s="287"/>
      <c r="D3258" s="286"/>
      <c r="E3258" s="286"/>
    </row>
    <row r="3259">
      <c r="A3259" s="286"/>
      <c r="B3259" s="286"/>
      <c r="C3259" s="287"/>
      <c r="D3259" s="286"/>
      <c r="E3259" s="286"/>
    </row>
    <row r="3260">
      <c r="A3260" s="286"/>
      <c r="B3260" s="286"/>
      <c r="C3260" s="287"/>
      <c r="D3260" s="286"/>
      <c r="E3260" s="286"/>
    </row>
    <row r="3261">
      <c r="A3261" s="286"/>
      <c r="B3261" s="286"/>
      <c r="C3261" s="287"/>
      <c r="D3261" s="286"/>
      <c r="E3261" s="286"/>
    </row>
    <row r="3262">
      <c r="A3262" s="286"/>
      <c r="B3262" s="286"/>
      <c r="C3262" s="287"/>
      <c r="D3262" s="286"/>
      <c r="E3262" s="286"/>
    </row>
    <row r="3263">
      <c r="A3263" s="286"/>
      <c r="B3263" s="286"/>
      <c r="C3263" s="287"/>
      <c r="D3263" s="286"/>
      <c r="E3263" s="286"/>
    </row>
    <row r="3264">
      <c r="A3264" s="286"/>
      <c r="B3264" s="286"/>
      <c r="C3264" s="287"/>
      <c r="D3264" s="286"/>
      <c r="E3264" s="286"/>
    </row>
    <row r="3265">
      <c r="A3265" s="286"/>
      <c r="B3265" s="286"/>
      <c r="C3265" s="287"/>
      <c r="D3265" s="286"/>
      <c r="E3265" s="286"/>
    </row>
    <row r="3266">
      <c r="A3266" s="286"/>
      <c r="B3266" s="286"/>
      <c r="C3266" s="287"/>
      <c r="D3266" s="286"/>
      <c r="E3266" s="286"/>
    </row>
    <row r="3267">
      <c r="A3267" s="286"/>
      <c r="B3267" s="286"/>
      <c r="C3267" s="287"/>
      <c r="D3267" s="286"/>
      <c r="E3267" s="286"/>
    </row>
    <row r="3268">
      <c r="A3268" s="286"/>
      <c r="B3268" s="286"/>
      <c r="C3268" s="287"/>
      <c r="D3268" s="286"/>
      <c r="E3268" s="286"/>
    </row>
    <row r="3269">
      <c r="A3269" s="286"/>
      <c r="B3269" s="286"/>
      <c r="C3269" s="287"/>
      <c r="D3269" s="286"/>
      <c r="E3269" s="286"/>
    </row>
    <row r="3270">
      <c r="A3270" s="286"/>
      <c r="B3270" s="286"/>
      <c r="C3270" s="287"/>
      <c r="D3270" s="286"/>
      <c r="E3270" s="286"/>
    </row>
    <row r="3271">
      <c r="A3271" s="286"/>
      <c r="B3271" s="286"/>
      <c r="C3271" s="287"/>
      <c r="D3271" s="286"/>
      <c r="E3271" s="286"/>
    </row>
    <row r="3272">
      <c r="A3272" s="286"/>
      <c r="B3272" s="286"/>
      <c r="C3272" s="287"/>
      <c r="D3272" s="286"/>
      <c r="E3272" s="286"/>
    </row>
    <row r="3273">
      <c r="A3273" s="286"/>
      <c r="B3273" s="286"/>
      <c r="C3273" s="287"/>
      <c r="D3273" s="286"/>
      <c r="E3273" s="286"/>
    </row>
    <row r="3274">
      <c r="A3274" s="286"/>
      <c r="B3274" s="286"/>
      <c r="C3274" s="287"/>
      <c r="D3274" s="286"/>
      <c r="E3274" s="286"/>
    </row>
    <row r="3275">
      <c r="A3275" s="286"/>
      <c r="B3275" s="286"/>
      <c r="C3275" s="287"/>
      <c r="D3275" s="286"/>
      <c r="E3275" s="286"/>
    </row>
    <row r="3276">
      <c r="A3276" s="286"/>
      <c r="B3276" s="286"/>
      <c r="C3276" s="287"/>
      <c r="D3276" s="286"/>
      <c r="E3276" s="286"/>
    </row>
    <row r="3277">
      <c r="A3277" s="286"/>
      <c r="B3277" s="286"/>
      <c r="C3277" s="287"/>
      <c r="D3277" s="286"/>
      <c r="E3277" s="286"/>
    </row>
    <row r="3278">
      <c r="A3278" s="286"/>
      <c r="B3278" s="286"/>
      <c r="C3278" s="287"/>
      <c r="D3278" s="286"/>
      <c r="E3278" s="286"/>
    </row>
    <row r="3279">
      <c r="A3279" s="286"/>
      <c r="B3279" s="286"/>
      <c r="C3279" s="287"/>
      <c r="D3279" s="286"/>
      <c r="E3279" s="286"/>
    </row>
    <row r="3280">
      <c r="A3280" s="286"/>
      <c r="B3280" s="286"/>
      <c r="C3280" s="287"/>
      <c r="D3280" s="286"/>
      <c r="E3280" s="286"/>
    </row>
    <row r="3281">
      <c r="A3281" s="286"/>
      <c r="B3281" s="286"/>
      <c r="C3281" s="287"/>
      <c r="D3281" s="286"/>
      <c r="E3281" s="286"/>
    </row>
    <row r="3282">
      <c r="A3282" s="286"/>
      <c r="B3282" s="286"/>
      <c r="C3282" s="287"/>
      <c r="D3282" s="286"/>
      <c r="E3282" s="286"/>
    </row>
    <row r="3283">
      <c r="A3283" s="286"/>
      <c r="B3283" s="286"/>
      <c r="C3283" s="287"/>
      <c r="D3283" s="286"/>
      <c r="E3283" s="286"/>
    </row>
    <row r="3284">
      <c r="A3284" s="286"/>
      <c r="B3284" s="286"/>
      <c r="C3284" s="287"/>
      <c r="D3284" s="286"/>
      <c r="E3284" s="286"/>
    </row>
    <row r="3285">
      <c r="A3285" s="286"/>
      <c r="B3285" s="286"/>
      <c r="C3285" s="287"/>
      <c r="D3285" s="286"/>
      <c r="E3285" s="286"/>
    </row>
    <row r="3286">
      <c r="A3286" s="286"/>
      <c r="B3286" s="286"/>
      <c r="C3286" s="287"/>
      <c r="D3286" s="286"/>
      <c r="E3286" s="286"/>
    </row>
    <row r="3287">
      <c r="A3287" s="286"/>
      <c r="B3287" s="286"/>
      <c r="C3287" s="287"/>
      <c r="D3287" s="286"/>
      <c r="E3287" s="286"/>
    </row>
    <row r="3288">
      <c r="A3288" s="286"/>
      <c r="B3288" s="286"/>
      <c r="C3288" s="287"/>
      <c r="D3288" s="286"/>
      <c r="E3288" s="286"/>
    </row>
    <row r="3289">
      <c r="A3289" s="286"/>
      <c r="B3289" s="286"/>
      <c r="C3289" s="287"/>
      <c r="D3289" s="286"/>
      <c r="E3289" s="286"/>
    </row>
    <row r="3290">
      <c r="A3290" s="286"/>
      <c r="B3290" s="286"/>
      <c r="C3290" s="287"/>
      <c r="D3290" s="286"/>
      <c r="E3290" s="286"/>
    </row>
    <row r="3291">
      <c r="A3291" s="286"/>
      <c r="B3291" s="286"/>
      <c r="C3291" s="287"/>
      <c r="D3291" s="286"/>
      <c r="E3291" s="286"/>
    </row>
    <row r="3292">
      <c r="A3292" s="286"/>
      <c r="B3292" s="286"/>
      <c r="C3292" s="287"/>
      <c r="D3292" s="286"/>
      <c r="E3292" s="286"/>
    </row>
    <row r="3293">
      <c r="A3293" s="286"/>
      <c r="B3293" s="286"/>
      <c r="C3293" s="287"/>
      <c r="D3293" s="286"/>
      <c r="E3293" s="286"/>
    </row>
    <row r="3294">
      <c r="A3294" s="286"/>
      <c r="B3294" s="286"/>
      <c r="C3294" s="287"/>
      <c r="D3294" s="286"/>
      <c r="E3294" s="286"/>
    </row>
    <row r="3295">
      <c r="A3295" s="286"/>
      <c r="B3295" s="286"/>
      <c r="C3295" s="287"/>
      <c r="D3295" s="286"/>
      <c r="E3295" s="286"/>
    </row>
    <row r="3296">
      <c r="A3296" s="286"/>
      <c r="B3296" s="286"/>
      <c r="C3296" s="287"/>
      <c r="D3296" s="286"/>
      <c r="E3296" s="286"/>
    </row>
    <row r="3297">
      <c r="A3297" s="286"/>
      <c r="B3297" s="286"/>
      <c r="C3297" s="287"/>
      <c r="D3297" s="286"/>
      <c r="E3297" s="286"/>
    </row>
    <row r="3298">
      <c r="A3298" s="286"/>
      <c r="B3298" s="286"/>
      <c r="C3298" s="287"/>
      <c r="D3298" s="286"/>
      <c r="E3298" s="286"/>
    </row>
    <row r="3299">
      <c r="A3299" s="286"/>
      <c r="B3299" s="286"/>
      <c r="C3299" s="287"/>
      <c r="D3299" s="286"/>
      <c r="E3299" s="286"/>
    </row>
    <row r="3300">
      <c r="A3300" s="286"/>
      <c r="B3300" s="286"/>
      <c r="C3300" s="287"/>
      <c r="D3300" s="286"/>
      <c r="E3300" s="286"/>
    </row>
    <row r="3301">
      <c r="A3301" s="286"/>
      <c r="B3301" s="286"/>
      <c r="C3301" s="287"/>
      <c r="D3301" s="286"/>
      <c r="E3301" s="286"/>
    </row>
    <row r="3302">
      <c r="A3302" s="286"/>
      <c r="B3302" s="286"/>
      <c r="C3302" s="287"/>
      <c r="D3302" s="286"/>
      <c r="E3302" s="286"/>
    </row>
    <row r="3303">
      <c r="A3303" s="286"/>
      <c r="B3303" s="286"/>
      <c r="C3303" s="287"/>
      <c r="D3303" s="286"/>
      <c r="E3303" s="286"/>
    </row>
    <row r="3304">
      <c r="A3304" s="286"/>
      <c r="B3304" s="286"/>
      <c r="C3304" s="287"/>
      <c r="D3304" s="286"/>
      <c r="E3304" s="286"/>
    </row>
    <row r="3305">
      <c r="A3305" s="286"/>
      <c r="B3305" s="286"/>
      <c r="C3305" s="287"/>
      <c r="D3305" s="286"/>
      <c r="E3305" s="286"/>
    </row>
    <row r="3306">
      <c r="A3306" s="286"/>
      <c r="B3306" s="286"/>
      <c r="C3306" s="287"/>
      <c r="D3306" s="286"/>
      <c r="E3306" s="286"/>
    </row>
    <row r="3307">
      <c r="A3307" s="286"/>
      <c r="B3307" s="286"/>
      <c r="C3307" s="287"/>
      <c r="D3307" s="286"/>
      <c r="E3307" s="286"/>
    </row>
    <row r="3308">
      <c r="A3308" s="286"/>
      <c r="B3308" s="286"/>
      <c r="C3308" s="287"/>
      <c r="D3308" s="286"/>
      <c r="E3308" s="286"/>
    </row>
    <row r="3309">
      <c r="A3309" s="286"/>
      <c r="B3309" s="286"/>
      <c r="C3309" s="287"/>
      <c r="D3309" s="286"/>
      <c r="E3309" s="286"/>
    </row>
    <row r="3310">
      <c r="A3310" s="286"/>
      <c r="B3310" s="286"/>
      <c r="C3310" s="287"/>
      <c r="D3310" s="286"/>
      <c r="E3310" s="286"/>
    </row>
    <row r="3311">
      <c r="A3311" s="286"/>
      <c r="B3311" s="286"/>
      <c r="C3311" s="287"/>
      <c r="D3311" s="286"/>
      <c r="E3311" s="286"/>
    </row>
    <row r="3312">
      <c r="A3312" s="286"/>
      <c r="B3312" s="286"/>
      <c r="C3312" s="287"/>
      <c r="D3312" s="286"/>
      <c r="E3312" s="286"/>
    </row>
    <row r="3313">
      <c r="A3313" s="286"/>
      <c r="B3313" s="286"/>
      <c r="C3313" s="287"/>
      <c r="D3313" s="286"/>
      <c r="E3313" s="286"/>
    </row>
    <row r="3314">
      <c r="A3314" s="286"/>
      <c r="B3314" s="286"/>
      <c r="C3314" s="287"/>
      <c r="D3314" s="286"/>
      <c r="E3314" s="286"/>
    </row>
    <row r="3315">
      <c r="A3315" s="286"/>
      <c r="B3315" s="286"/>
      <c r="C3315" s="287"/>
      <c r="D3315" s="286"/>
      <c r="E3315" s="286"/>
    </row>
    <row r="3316">
      <c r="A3316" s="286"/>
      <c r="B3316" s="286"/>
      <c r="C3316" s="287"/>
      <c r="D3316" s="286"/>
      <c r="E3316" s="286"/>
    </row>
    <row r="3317">
      <c r="A3317" s="286"/>
      <c r="B3317" s="286"/>
      <c r="C3317" s="287"/>
      <c r="D3317" s="286"/>
      <c r="E3317" s="286"/>
    </row>
    <row r="3318">
      <c r="A3318" s="286"/>
      <c r="B3318" s="286"/>
      <c r="C3318" s="287"/>
      <c r="D3318" s="286"/>
      <c r="E3318" s="286"/>
    </row>
    <row r="3319">
      <c r="A3319" s="286"/>
      <c r="B3319" s="286"/>
      <c r="C3319" s="287"/>
      <c r="D3319" s="286"/>
      <c r="E3319" s="286"/>
    </row>
    <row r="3320">
      <c r="A3320" s="286"/>
      <c r="B3320" s="286"/>
      <c r="C3320" s="287"/>
      <c r="D3320" s="286"/>
      <c r="E3320" s="286"/>
    </row>
    <row r="3321">
      <c r="A3321" s="286"/>
      <c r="B3321" s="286"/>
      <c r="C3321" s="287"/>
      <c r="D3321" s="286"/>
      <c r="E3321" s="286"/>
    </row>
    <row r="3322">
      <c r="A3322" s="286"/>
      <c r="B3322" s="286"/>
      <c r="C3322" s="287"/>
      <c r="D3322" s="286"/>
      <c r="E3322" s="286"/>
    </row>
    <row r="3323">
      <c r="A3323" s="286"/>
      <c r="B3323" s="286"/>
      <c r="C3323" s="287"/>
      <c r="D3323" s="286"/>
      <c r="E3323" s="286"/>
    </row>
    <row r="3324">
      <c r="A3324" s="286"/>
      <c r="B3324" s="286"/>
      <c r="C3324" s="287"/>
      <c r="D3324" s="286"/>
      <c r="E3324" s="286"/>
    </row>
    <row r="3325">
      <c r="A3325" s="286"/>
      <c r="B3325" s="286"/>
      <c r="C3325" s="287"/>
      <c r="D3325" s="286"/>
      <c r="E3325" s="286"/>
    </row>
    <row r="3326">
      <c r="A3326" s="286"/>
      <c r="B3326" s="286"/>
      <c r="C3326" s="287"/>
      <c r="D3326" s="286"/>
      <c r="E3326" s="286"/>
    </row>
    <row r="3327">
      <c r="A3327" s="286"/>
      <c r="B3327" s="286"/>
      <c r="C3327" s="287"/>
      <c r="D3327" s="286"/>
      <c r="E3327" s="286"/>
    </row>
    <row r="3328">
      <c r="A3328" s="286"/>
      <c r="B3328" s="286"/>
      <c r="C3328" s="287"/>
      <c r="D3328" s="286"/>
      <c r="E3328" s="286"/>
    </row>
    <row r="3329">
      <c r="A3329" s="286"/>
      <c r="B3329" s="286"/>
      <c r="C3329" s="287"/>
      <c r="D3329" s="286"/>
      <c r="E3329" s="286"/>
    </row>
    <row r="3330">
      <c r="A3330" s="286"/>
      <c r="B3330" s="286"/>
      <c r="C3330" s="287"/>
      <c r="D3330" s="286"/>
      <c r="E3330" s="286"/>
    </row>
    <row r="3331">
      <c r="A3331" s="286"/>
      <c r="B3331" s="286"/>
      <c r="C3331" s="287"/>
      <c r="D3331" s="286"/>
      <c r="E3331" s="286"/>
    </row>
    <row r="3332">
      <c r="A3332" s="286"/>
      <c r="B3332" s="286"/>
      <c r="C3332" s="287"/>
      <c r="D3332" s="286"/>
      <c r="E3332" s="286"/>
    </row>
    <row r="3333">
      <c r="A3333" s="286"/>
      <c r="B3333" s="286"/>
      <c r="C3333" s="287"/>
      <c r="D3333" s="286"/>
      <c r="E3333" s="286"/>
    </row>
    <row r="3334">
      <c r="A3334" s="286"/>
      <c r="B3334" s="286"/>
      <c r="C3334" s="287"/>
      <c r="D3334" s="286"/>
      <c r="E3334" s="286"/>
    </row>
    <row r="3335">
      <c r="A3335" s="286"/>
      <c r="B3335" s="286"/>
      <c r="C3335" s="287"/>
      <c r="D3335" s="286"/>
      <c r="E3335" s="286"/>
    </row>
    <row r="3336">
      <c r="A3336" s="286"/>
      <c r="B3336" s="286"/>
      <c r="C3336" s="287"/>
      <c r="D3336" s="286"/>
      <c r="E3336" s="286"/>
    </row>
    <row r="3337">
      <c r="A3337" s="286"/>
      <c r="B3337" s="286"/>
      <c r="C3337" s="287"/>
      <c r="D3337" s="286"/>
      <c r="E3337" s="286"/>
    </row>
    <row r="3338">
      <c r="A3338" s="286"/>
      <c r="B3338" s="286"/>
      <c r="C3338" s="287"/>
      <c r="D3338" s="286"/>
      <c r="E3338" s="286"/>
    </row>
    <row r="3339">
      <c r="A3339" s="286"/>
      <c r="B3339" s="286"/>
      <c r="C3339" s="287"/>
      <c r="D3339" s="286"/>
      <c r="E3339" s="286"/>
    </row>
    <row r="3340">
      <c r="A3340" s="286"/>
      <c r="B3340" s="286"/>
      <c r="C3340" s="287"/>
      <c r="D3340" s="286"/>
      <c r="E3340" s="286"/>
    </row>
    <row r="3341">
      <c r="A3341" s="286"/>
      <c r="B3341" s="286"/>
      <c r="C3341" s="287"/>
      <c r="D3341" s="286"/>
      <c r="E3341" s="286"/>
    </row>
    <row r="3342">
      <c r="A3342" s="286"/>
      <c r="B3342" s="286"/>
      <c r="C3342" s="287"/>
      <c r="D3342" s="286"/>
      <c r="E3342" s="286"/>
    </row>
    <row r="3343">
      <c r="A3343" s="286"/>
      <c r="B3343" s="286"/>
      <c r="C3343" s="287"/>
      <c r="D3343" s="286"/>
      <c r="E3343" s="286"/>
    </row>
    <row r="3344">
      <c r="A3344" s="286"/>
      <c r="B3344" s="286"/>
      <c r="C3344" s="287"/>
      <c r="D3344" s="286"/>
      <c r="E3344" s="286"/>
    </row>
    <row r="3345">
      <c r="A3345" s="286"/>
      <c r="B3345" s="286"/>
      <c r="C3345" s="287"/>
      <c r="D3345" s="286"/>
      <c r="E3345" s="286"/>
    </row>
    <row r="3346">
      <c r="A3346" s="286"/>
      <c r="B3346" s="286"/>
      <c r="C3346" s="287"/>
      <c r="D3346" s="286"/>
      <c r="E3346" s="286"/>
    </row>
    <row r="3347">
      <c r="A3347" s="286"/>
      <c r="B3347" s="286"/>
      <c r="C3347" s="287"/>
      <c r="D3347" s="286"/>
      <c r="E3347" s="286"/>
    </row>
    <row r="3348">
      <c r="A3348" s="286"/>
      <c r="B3348" s="286"/>
      <c r="C3348" s="287"/>
      <c r="D3348" s="286"/>
      <c r="E3348" s="286"/>
    </row>
    <row r="3349">
      <c r="A3349" s="286"/>
      <c r="B3349" s="286"/>
      <c r="C3349" s="287"/>
      <c r="D3349" s="286"/>
      <c r="E3349" s="286"/>
    </row>
    <row r="3350">
      <c r="A3350" s="286"/>
      <c r="B3350" s="286"/>
      <c r="C3350" s="287"/>
      <c r="D3350" s="286"/>
      <c r="E3350" s="286"/>
    </row>
    <row r="3351">
      <c r="A3351" s="286"/>
      <c r="B3351" s="286"/>
      <c r="C3351" s="287"/>
      <c r="D3351" s="286"/>
      <c r="E3351" s="286"/>
    </row>
    <row r="3352">
      <c r="A3352" s="286"/>
      <c r="B3352" s="286"/>
      <c r="C3352" s="287"/>
      <c r="D3352" s="286"/>
      <c r="E3352" s="286"/>
    </row>
    <row r="3353">
      <c r="A3353" s="286"/>
      <c r="B3353" s="286"/>
      <c r="C3353" s="287"/>
      <c r="D3353" s="286"/>
      <c r="E3353" s="286"/>
    </row>
    <row r="3354">
      <c r="A3354" s="286"/>
      <c r="B3354" s="286"/>
      <c r="C3354" s="287"/>
      <c r="D3354" s="286"/>
      <c r="E3354" s="286"/>
    </row>
    <row r="3355">
      <c r="A3355" s="286"/>
      <c r="B3355" s="286"/>
      <c r="C3355" s="287"/>
      <c r="D3355" s="286"/>
      <c r="E3355" s="286"/>
    </row>
    <row r="3356">
      <c r="A3356" s="286"/>
      <c r="B3356" s="286"/>
      <c r="C3356" s="287"/>
      <c r="D3356" s="286"/>
      <c r="E3356" s="286"/>
    </row>
    <row r="3357">
      <c r="A3357" s="286"/>
      <c r="B3357" s="286"/>
      <c r="C3357" s="287"/>
      <c r="D3357" s="286"/>
      <c r="E3357" s="286"/>
    </row>
    <row r="3358">
      <c r="A3358" s="286"/>
      <c r="B3358" s="286"/>
      <c r="C3358" s="287"/>
      <c r="D3358" s="286"/>
      <c r="E3358" s="286"/>
    </row>
    <row r="3359">
      <c r="A3359" s="286"/>
      <c r="B3359" s="286"/>
      <c r="C3359" s="287"/>
      <c r="D3359" s="286"/>
      <c r="E3359" s="286"/>
    </row>
    <row r="3360">
      <c r="A3360" s="286"/>
      <c r="B3360" s="286"/>
      <c r="C3360" s="287"/>
      <c r="D3360" s="286"/>
      <c r="E3360" s="286"/>
    </row>
    <row r="3361">
      <c r="A3361" s="286"/>
      <c r="B3361" s="286"/>
      <c r="C3361" s="287"/>
      <c r="D3361" s="286"/>
      <c r="E3361" s="286"/>
    </row>
    <row r="3362">
      <c r="A3362" s="286"/>
      <c r="B3362" s="286"/>
      <c r="C3362" s="287"/>
      <c r="D3362" s="286"/>
      <c r="E3362" s="286"/>
    </row>
    <row r="3363">
      <c r="A3363" s="286"/>
      <c r="B3363" s="286"/>
      <c r="C3363" s="287"/>
      <c r="D3363" s="286"/>
      <c r="E3363" s="286"/>
    </row>
    <row r="3364">
      <c r="A3364" s="286"/>
      <c r="B3364" s="286"/>
      <c r="C3364" s="287"/>
      <c r="D3364" s="286"/>
      <c r="E3364" s="286"/>
    </row>
    <row r="3365">
      <c r="A3365" s="286"/>
      <c r="B3365" s="286"/>
      <c r="C3365" s="287"/>
      <c r="D3365" s="286"/>
      <c r="E3365" s="286"/>
    </row>
    <row r="3366">
      <c r="A3366" s="286"/>
      <c r="B3366" s="286"/>
      <c r="C3366" s="287"/>
      <c r="D3366" s="286"/>
      <c r="E3366" s="286"/>
    </row>
    <row r="3367">
      <c r="A3367" s="286"/>
      <c r="B3367" s="286"/>
      <c r="C3367" s="287"/>
      <c r="D3367" s="286"/>
      <c r="E3367" s="286"/>
    </row>
    <row r="3368">
      <c r="A3368" s="286"/>
      <c r="B3368" s="286"/>
      <c r="C3368" s="287"/>
      <c r="D3368" s="286"/>
      <c r="E3368" s="286"/>
    </row>
    <row r="3369">
      <c r="A3369" s="286"/>
      <c r="B3369" s="286"/>
      <c r="C3369" s="287"/>
      <c r="D3369" s="286"/>
      <c r="E3369" s="286"/>
    </row>
    <row r="3370">
      <c r="A3370" s="286"/>
      <c r="B3370" s="286"/>
      <c r="C3370" s="287"/>
      <c r="D3370" s="286"/>
      <c r="E3370" s="286"/>
    </row>
    <row r="3371">
      <c r="A3371" s="286"/>
      <c r="B3371" s="286"/>
      <c r="C3371" s="287"/>
      <c r="D3371" s="286"/>
      <c r="E3371" s="286"/>
    </row>
    <row r="3372">
      <c r="A3372" s="286"/>
      <c r="B3372" s="286"/>
      <c r="C3372" s="287"/>
      <c r="D3372" s="286"/>
      <c r="E3372" s="286"/>
    </row>
    <row r="3373">
      <c r="A3373" s="286"/>
      <c r="B3373" s="286"/>
      <c r="C3373" s="287"/>
      <c r="D3373" s="286"/>
      <c r="E3373" s="286"/>
    </row>
    <row r="3374">
      <c r="A3374" s="286"/>
      <c r="B3374" s="286"/>
      <c r="C3374" s="287"/>
      <c r="D3374" s="286"/>
      <c r="E3374" s="286"/>
    </row>
    <row r="3375">
      <c r="A3375" s="286"/>
      <c r="B3375" s="286"/>
      <c r="C3375" s="287"/>
      <c r="D3375" s="286"/>
      <c r="E3375" s="286"/>
    </row>
    <row r="3376">
      <c r="A3376" s="286"/>
      <c r="B3376" s="286"/>
      <c r="C3376" s="287"/>
      <c r="D3376" s="286"/>
      <c r="E3376" s="286"/>
    </row>
    <row r="3377">
      <c r="A3377" s="286"/>
      <c r="B3377" s="286"/>
      <c r="C3377" s="287"/>
      <c r="D3377" s="286"/>
      <c r="E3377" s="286"/>
    </row>
    <row r="3378">
      <c r="A3378" s="286"/>
      <c r="B3378" s="286"/>
      <c r="C3378" s="287"/>
      <c r="D3378" s="286"/>
      <c r="E3378" s="286"/>
    </row>
    <row r="3379">
      <c r="A3379" s="286"/>
      <c r="B3379" s="286"/>
      <c r="C3379" s="287"/>
      <c r="D3379" s="286"/>
      <c r="E3379" s="286"/>
    </row>
    <row r="3380">
      <c r="A3380" s="286"/>
      <c r="B3380" s="286"/>
      <c r="C3380" s="287"/>
      <c r="D3380" s="286"/>
      <c r="E3380" s="286"/>
    </row>
    <row r="3381">
      <c r="A3381" s="286"/>
      <c r="B3381" s="286"/>
      <c r="C3381" s="287"/>
      <c r="D3381" s="286"/>
      <c r="E3381" s="286"/>
    </row>
    <row r="3382">
      <c r="A3382" s="286"/>
      <c r="B3382" s="286"/>
      <c r="C3382" s="287"/>
      <c r="D3382" s="286"/>
      <c r="E3382" s="286"/>
    </row>
    <row r="3383">
      <c r="A3383" s="286"/>
      <c r="B3383" s="286"/>
      <c r="C3383" s="287"/>
      <c r="D3383" s="286"/>
      <c r="E3383" s="286"/>
    </row>
    <row r="3384">
      <c r="A3384" s="286"/>
      <c r="B3384" s="286"/>
      <c r="C3384" s="287"/>
      <c r="D3384" s="286"/>
      <c r="E3384" s="286"/>
    </row>
    <row r="3385">
      <c r="A3385" s="286"/>
      <c r="B3385" s="286"/>
      <c r="C3385" s="287"/>
      <c r="D3385" s="286"/>
      <c r="E3385" s="286"/>
    </row>
    <row r="3386">
      <c r="A3386" s="286"/>
      <c r="B3386" s="286"/>
      <c r="C3386" s="287"/>
      <c r="D3386" s="286"/>
      <c r="E3386" s="286"/>
    </row>
    <row r="3387">
      <c r="A3387" s="286"/>
      <c r="B3387" s="286"/>
      <c r="C3387" s="287"/>
      <c r="D3387" s="286"/>
      <c r="E3387" s="286"/>
    </row>
    <row r="3388">
      <c r="A3388" s="286"/>
      <c r="B3388" s="286"/>
      <c r="C3388" s="287"/>
      <c r="D3388" s="286"/>
      <c r="E3388" s="286"/>
    </row>
    <row r="3389">
      <c r="A3389" s="286"/>
      <c r="B3389" s="286"/>
      <c r="C3389" s="287"/>
      <c r="D3389" s="286"/>
      <c r="E3389" s="286"/>
    </row>
    <row r="3390">
      <c r="A3390" s="286"/>
      <c r="B3390" s="286"/>
      <c r="C3390" s="287"/>
      <c r="D3390" s="286"/>
      <c r="E3390" s="286"/>
    </row>
    <row r="3391">
      <c r="A3391" s="286"/>
      <c r="B3391" s="286"/>
      <c r="C3391" s="287"/>
      <c r="D3391" s="286"/>
      <c r="E3391" s="286"/>
    </row>
    <row r="3392">
      <c r="A3392" s="286"/>
      <c r="B3392" s="286"/>
      <c r="C3392" s="287"/>
      <c r="D3392" s="286"/>
      <c r="E3392" s="286"/>
    </row>
    <row r="3393">
      <c r="A3393" s="286"/>
      <c r="B3393" s="286"/>
      <c r="C3393" s="287"/>
      <c r="D3393" s="286"/>
      <c r="E3393" s="286"/>
    </row>
    <row r="3394">
      <c r="A3394" s="286"/>
      <c r="B3394" s="286"/>
      <c r="C3394" s="287"/>
      <c r="D3394" s="286"/>
      <c r="E3394" s="286"/>
    </row>
    <row r="3395">
      <c r="A3395" s="286"/>
      <c r="B3395" s="286"/>
      <c r="C3395" s="287"/>
      <c r="D3395" s="286"/>
      <c r="E3395" s="286"/>
    </row>
    <row r="3396">
      <c r="A3396" s="286"/>
      <c r="B3396" s="286"/>
      <c r="C3396" s="287"/>
      <c r="D3396" s="286"/>
      <c r="E3396" s="286"/>
    </row>
    <row r="3397">
      <c r="A3397" s="286"/>
      <c r="B3397" s="286"/>
      <c r="C3397" s="287"/>
      <c r="D3397" s="286"/>
      <c r="E3397" s="286"/>
    </row>
    <row r="3398">
      <c r="A3398" s="286"/>
      <c r="B3398" s="286"/>
      <c r="C3398" s="287"/>
      <c r="D3398" s="286"/>
      <c r="E3398" s="286"/>
    </row>
    <row r="3399">
      <c r="A3399" s="286"/>
      <c r="B3399" s="286"/>
      <c r="C3399" s="287"/>
      <c r="D3399" s="286"/>
      <c r="E3399" s="286"/>
    </row>
    <row r="3400">
      <c r="A3400" s="286"/>
      <c r="B3400" s="286"/>
      <c r="C3400" s="287"/>
      <c r="D3400" s="286"/>
      <c r="E3400" s="286"/>
    </row>
    <row r="3401">
      <c r="A3401" s="286"/>
      <c r="B3401" s="286"/>
      <c r="C3401" s="287"/>
      <c r="D3401" s="286"/>
      <c r="E3401" s="286"/>
    </row>
    <row r="3402">
      <c r="A3402" s="286"/>
      <c r="B3402" s="286"/>
      <c r="C3402" s="287"/>
      <c r="D3402" s="286"/>
      <c r="E3402" s="286"/>
    </row>
    <row r="3403">
      <c r="A3403" s="286"/>
      <c r="B3403" s="286"/>
      <c r="C3403" s="287"/>
      <c r="D3403" s="286"/>
      <c r="E3403" s="286"/>
    </row>
    <row r="3404">
      <c r="A3404" s="286"/>
      <c r="B3404" s="286"/>
      <c r="C3404" s="287"/>
      <c r="D3404" s="286"/>
      <c r="E3404" s="286"/>
    </row>
    <row r="3405">
      <c r="A3405" s="286"/>
      <c r="B3405" s="286"/>
      <c r="C3405" s="287"/>
      <c r="D3405" s="286"/>
      <c r="E3405" s="286"/>
    </row>
    <row r="3406">
      <c r="A3406" s="286"/>
      <c r="B3406" s="286"/>
      <c r="C3406" s="287"/>
      <c r="D3406" s="286"/>
      <c r="E3406" s="286"/>
    </row>
    <row r="3407">
      <c r="A3407" s="286"/>
      <c r="B3407" s="286"/>
      <c r="C3407" s="287"/>
      <c r="D3407" s="286"/>
      <c r="E3407" s="286"/>
    </row>
    <row r="3408">
      <c r="A3408" s="286"/>
      <c r="B3408" s="286"/>
      <c r="C3408" s="287"/>
      <c r="D3408" s="286"/>
      <c r="E3408" s="286"/>
    </row>
    <row r="3409">
      <c r="A3409" s="286"/>
      <c r="B3409" s="286"/>
      <c r="C3409" s="287"/>
      <c r="D3409" s="286"/>
      <c r="E3409" s="286"/>
    </row>
    <row r="3410">
      <c r="A3410" s="286"/>
      <c r="B3410" s="286"/>
      <c r="C3410" s="287"/>
      <c r="D3410" s="286"/>
      <c r="E3410" s="286"/>
    </row>
    <row r="3411">
      <c r="A3411" s="286"/>
      <c r="B3411" s="286"/>
      <c r="C3411" s="287"/>
      <c r="D3411" s="286"/>
      <c r="E3411" s="286"/>
    </row>
    <row r="3412">
      <c r="A3412" s="286"/>
      <c r="B3412" s="286"/>
      <c r="C3412" s="287"/>
      <c r="D3412" s="286"/>
      <c r="E3412" s="286"/>
    </row>
    <row r="3413">
      <c r="A3413" s="286"/>
      <c r="B3413" s="286"/>
      <c r="C3413" s="287"/>
      <c r="D3413" s="286"/>
      <c r="E3413" s="286"/>
    </row>
    <row r="3414">
      <c r="A3414" s="286"/>
      <c r="B3414" s="286"/>
      <c r="C3414" s="287"/>
      <c r="D3414" s="286"/>
      <c r="E3414" s="286"/>
    </row>
    <row r="3415">
      <c r="A3415" s="286"/>
      <c r="B3415" s="286"/>
      <c r="C3415" s="287"/>
      <c r="D3415" s="286"/>
      <c r="E3415" s="286"/>
    </row>
    <row r="3416">
      <c r="A3416" s="286"/>
      <c r="B3416" s="286"/>
      <c r="C3416" s="287"/>
      <c r="D3416" s="286"/>
      <c r="E3416" s="286"/>
    </row>
    <row r="3417">
      <c r="A3417" s="286"/>
      <c r="B3417" s="286"/>
      <c r="C3417" s="287"/>
      <c r="D3417" s="286"/>
      <c r="E3417" s="286"/>
    </row>
    <row r="3418">
      <c r="A3418" s="286"/>
      <c r="B3418" s="286"/>
      <c r="C3418" s="287"/>
      <c r="D3418" s="286"/>
      <c r="E3418" s="286"/>
    </row>
    <row r="3419">
      <c r="A3419" s="286"/>
      <c r="B3419" s="286"/>
      <c r="C3419" s="287"/>
      <c r="D3419" s="286"/>
      <c r="E3419" s="286"/>
    </row>
    <row r="3420">
      <c r="A3420" s="286"/>
      <c r="B3420" s="286"/>
      <c r="C3420" s="287"/>
      <c r="D3420" s="286"/>
      <c r="E3420" s="286"/>
    </row>
    <row r="3421">
      <c r="A3421" s="286"/>
      <c r="B3421" s="286"/>
      <c r="C3421" s="287"/>
      <c r="D3421" s="286"/>
      <c r="E3421" s="286"/>
    </row>
    <row r="3422">
      <c r="A3422" s="286"/>
      <c r="B3422" s="286"/>
      <c r="C3422" s="287"/>
      <c r="D3422" s="286"/>
      <c r="E3422" s="286"/>
    </row>
    <row r="3423">
      <c r="A3423" s="286"/>
      <c r="B3423" s="286"/>
      <c r="C3423" s="287"/>
      <c r="D3423" s="286"/>
      <c r="E3423" s="286"/>
    </row>
    <row r="3424">
      <c r="A3424" s="286"/>
      <c r="B3424" s="286"/>
      <c r="C3424" s="287"/>
      <c r="D3424" s="286"/>
      <c r="E3424" s="286"/>
    </row>
    <row r="3425">
      <c r="A3425" s="286"/>
      <c r="B3425" s="286"/>
      <c r="C3425" s="287"/>
      <c r="D3425" s="286"/>
      <c r="E3425" s="286"/>
    </row>
    <row r="3426">
      <c r="A3426" s="286"/>
      <c r="B3426" s="286"/>
      <c r="C3426" s="287"/>
      <c r="D3426" s="286"/>
      <c r="E3426" s="286"/>
    </row>
    <row r="3427">
      <c r="A3427" s="286"/>
      <c r="B3427" s="286"/>
      <c r="C3427" s="287"/>
      <c r="D3427" s="286"/>
      <c r="E3427" s="286"/>
    </row>
    <row r="3428">
      <c r="A3428" s="286"/>
      <c r="B3428" s="286"/>
      <c r="C3428" s="287"/>
      <c r="D3428" s="286"/>
      <c r="E3428" s="286"/>
    </row>
    <row r="3429">
      <c r="A3429" s="286"/>
      <c r="B3429" s="286"/>
      <c r="C3429" s="287"/>
      <c r="D3429" s="286"/>
      <c r="E3429" s="286"/>
    </row>
    <row r="3430">
      <c r="A3430" s="286"/>
      <c r="B3430" s="286"/>
      <c r="C3430" s="287"/>
      <c r="D3430" s="286"/>
      <c r="E3430" s="286"/>
    </row>
    <row r="3431">
      <c r="A3431" s="286"/>
      <c r="B3431" s="286"/>
      <c r="C3431" s="287"/>
      <c r="D3431" s="286"/>
      <c r="E3431" s="286"/>
    </row>
    <row r="3432">
      <c r="A3432" s="286"/>
      <c r="B3432" s="286"/>
      <c r="C3432" s="287"/>
      <c r="D3432" s="286"/>
      <c r="E3432" s="286"/>
    </row>
    <row r="3433">
      <c r="A3433" s="286"/>
      <c r="B3433" s="286"/>
      <c r="C3433" s="287"/>
      <c r="D3433" s="286"/>
      <c r="E3433" s="286"/>
    </row>
    <row r="3434">
      <c r="A3434" s="286"/>
      <c r="B3434" s="286"/>
      <c r="C3434" s="287"/>
      <c r="D3434" s="286"/>
      <c r="E3434" s="286"/>
    </row>
    <row r="3435">
      <c r="A3435" s="286"/>
      <c r="B3435" s="286"/>
      <c r="C3435" s="287"/>
      <c r="D3435" s="286"/>
      <c r="E3435" s="286"/>
    </row>
    <row r="3436">
      <c r="A3436" s="286"/>
      <c r="B3436" s="286"/>
      <c r="C3436" s="287"/>
      <c r="D3436" s="286"/>
      <c r="E3436" s="286"/>
    </row>
    <row r="3437">
      <c r="A3437" s="286"/>
      <c r="B3437" s="286"/>
      <c r="C3437" s="287"/>
      <c r="D3437" s="286"/>
      <c r="E3437" s="286"/>
    </row>
    <row r="3438">
      <c r="A3438" s="286"/>
      <c r="B3438" s="286"/>
      <c r="C3438" s="287"/>
      <c r="D3438" s="286"/>
      <c r="E3438" s="286"/>
    </row>
    <row r="3439">
      <c r="A3439" s="286"/>
      <c r="B3439" s="286"/>
      <c r="C3439" s="287"/>
      <c r="D3439" s="286"/>
      <c r="E3439" s="286"/>
    </row>
    <row r="3440">
      <c r="A3440" s="286"/>
      <c r="B3440" s="286"/>
      <c r="C3440" s="287"/>
      <c r="D3440" s="286"/>
      <c r="E3440" s="286"/>
    </row>
    <row r="3441">
      <c r="A3441" s="286"/>
      <c r="B3441" s="286"/>
      <c r="C3441" s="287"/>
      <c r="D3441" s="286"/>
      <c r="E3441" s="286"/>
    </row>
    <row r="3442">
      <c r="A3442" s="286"/>
      <c r="B3442" s="286"/>
      <c r="C3442" s="287"/>
      <c r="D3442" s="286"/>
      <c r="E3442" s="286"/>
    </row>
    <row r="3443">
      <c r="A3443" s="286"/>
      <c r="B3443" s="286"/>
      <c r="C3443" s="287"/>
      <c r="D3443" s="286"/>
      <c r="E3443" s="286"/>
    </row>
    <row r="3444">
      <c r="A3444" s="286"/>
      <c r="B3444" s="286"/>
      <c r="C3444" s="287"/>
      <c r="D3444" s="286"/>
      <c r="E3444" s="286"/>
    </row>
    <row r="3445">
      <c r="A3445" s="286"/>
      <c r="B3445" s="286"/>
      <c r="C3445" s="287"/>
      <c r="D3445" s="286"/>
      <c r="E3445" s="286"/>
    </row>
    <row r="3446">
      <c r="A3446" s="286"/>
      <c r="B3446" s="286"/>
      <c r="C3446" s="287"/>
      <c r="D3446" s="286"/>
      <c r="E3446" s="286"/>
    </row>
    <row r="3447">
      <c r="A3447" s="286"/>
      <c r="B3447" s="286"/>
      <c r="C3447" s="287"/>
      <c r="D3447" s="286"/>
      <c r="E3447" s="286"/>
    </row>
    <row r="3448">
      <c r="A3448" s="286"/>
      <c r="B3448" s="286"/>
      <c r="C3448" s="287"/>
      <c r="D3448" s="286"/>
      <c r="E3448" s="286"/>
    </row>
    <row r="3449">
      <c r="A3449" s="286"/>
      <c r="B3449" s="286"/>
      <c r="C3449" s="287"/>
      <c r="D3449" s="286"/>
      <c r="E3449" s="286"/>
    </row>
    <row r="3450">
      <c r="A3450" s="286"/>
      <c r="B3450" s="286"/>
      <c r="C3450" s="287"/>
      <c r="D3450" s="286"/>
      <c r="E3450" s="286"/>
    </row>
    <row r="3451">
      <c r="A3451" s="286"/>
      <c r="B3451" s="286"/>
      <c r="C3451" s="287"/>
      <c r="D3451" s="286"/>
      <c r="E3451" s="286"/>
    </row>
    <row r="3452">
      <c r="A3452" s="286"/>
      <c r="B3452" s="286"/>
      <c r="C3452" s="287"/>
      <c r="D3452" s="286"/>
      <c r="E3452" s="286"/>
    </row>
    <row r="3453">
      <c r="A3453" s="286"/>
      <c r="B3453" s="286"/>
      <c r="C3453" s="287"/>
      <c r="D3453" s="286"/>
      <c r="E3453" s="286"/>
    </row>
    <row r="3454">
      <c r="A3454" s="286"/>
      <c r="B3454" s="286"/>
      <c r="C3454" s="287"/>
      <c r="D3454" s="286"/>
      <c r="E3454" s="286"/>
    </row>
    <row r="3455">
      <c r="A3455" s="286"/>
      <c r="B3455" s="286"/>
      <c r="C3455" s="287"/>
      <c r="D3455" s="286"/>
      <c r="E3455" s="286"/>
    </row>
    <row r="3456">
      <c r="A3456" s="286"/>
      <c r="B3456" s="286"/>
      <c r="C3456" s="287"/>
      <c r="D3456" s="286"/>
      <c r="E3456" s="286"/>
    </row>
    <row r="3457">
      <c r="A3457" s="286"/>
      <c r="B3457" s="286"/>
      <c r="C3457" s="287"/>
      <c r="D3457" s="286"/>
      <c r="E3457" s="286"/>
    </row>
    <row r="3458">
      <c r="A3458" s="286"/>
      <c r="B3458" s="286"/>
      <c r="C3458" s="287"/>
      <c r="D3458" s="286"/>
      <c r="E3458" s="286"/>
    </row>
    <row r="3459">
      <c r="A3459" s="286"/>
      <c r="B3459" s="286"/>
      <c r="C3459" s="287"/>
      <c r="D3459" s="286"/>
      <c r="E3459" s="286"/>
    </row>
    <row r="3460">
      <c r="A3460" s="286"/>
      <c r="B3460" s="286"/>
      <c r="C3460" s="287"/>
      <c r="D3460" s="286"/>
      <c r="E3460" s="286"/>
    </row>
    <row r="3461">
      <c r="A3461" s="286"/>
      <c r="B3461" s="286"/>
      <c r="C3461" s="287"/>
      <c r="D3461" s="286"/>
      <c r="E3461" s="286"/>
    </row>
    <row r="3462">
      <c r="A3462" s="286"/>
      <c r="B3462" s="286"/>
      <c r="C3462" s="287"/>
      <c r="D3462" s="286"/>
      <c r="E3462" s="286"/>
    </row>
    <row r="3463">
      <c r="A3463" s="286"/>
      <c r="B3463" s="286"/>
      <c r="C3463" s="287"/>
      <c r="D3463" s="286"/>
      <c r="E3463" s="286"/>
    </row>
    <row r="3464">
      <c r="A3464" s="286"/>
      <c r="B3464" s="286"/>
      <c r="C3464" s="287"/>
      <c r="D3464" s="286"/>
      <c r="E3464" s="286"/>
    </row>
    <row r="3465">
      <c r="A3465" s="286"/>
      <c r="B3465" s="286"/>
      <c r="C3465" s="287"/>
      <c r="D3465" s="286"/>
      <c r="E3465" s="286"/>
    </row>
    <row r="3466">
      <c r="A3466" s="286"/>
      <c r="B3466" s="286"/>
      <c r="C3466" s="287"/>
      <c r="D3466" s="286"/>
      <c r="E3466" s="286"/>
    </row>
    <row r="3467">
      <c r="A3467" s="286"/>
      <c r="B3467" s="286"/>
      <c r="C3467" s="287"/>
      <c r="D3467" s="286"/>
      <c r="E3467" s="286"/>
    </row>
    <row r="3468">
      <c r="A3468" s="286"/>
      <c r="B3468" s="286"/>
      <c r="C3468" s="287"/>
      <c r="D3468" s="286"/>
      <c r="E3468" s="286"/>
    </row>
    <row r="3469">
      <c r="A3469" s="286"/>
      <c r="B3469" s="286"/>
      <c r="C3469" s="287"/>
      <c r="D3469" s="286"/>
      <c r="E3469" s="286"/>
    </row>
    <row r="3470">
      <c r="A3470" s="286"/>
      <c r="B3470" s="286"/>
      <c r="C3470" s="287"/>
      <c r="D3470" s="286"/>
      <c r="E3470" s="286"/>
    </row>
    <row r="3471">
      <c r="A3471" s="286"/>
      <c r="B3471" s="286"/>
      <c r="C3471" s="287"/>
      <c r="D3471" s="286"/>
      <c r="E3471" s="286"/>
    </row>
    <row r="3472">
      <c r="A3472" s="286"/>
      <c r="B3472" s="286"/>
      <c r="C3472" s="287"/>
      <c r="D3472" s="286"/>
      <c r="E3472" s="286"/>
    </row>
    <row r="3473">
      <c r="A3473" s="286"/>
      <c r="B3473" s="286"/>
      <c r="C3473" s="287"/>
      <c r="D3473" s="286"/>
      <c r="E3473" s="286"/>
    </row>
    <row r="3474">
      <c r="A3474" s="286"/>
      <c r="B3474" s="286"/>
      <c r="C3474" s="287"/>
      <c r="D3474" s="286"/>
      <c r="E3474" s="286"/>
    </row>
    <row r="3475">
      <c r="A3475" s="286"/>
      <c r="B3475" s="286"/>
      <c r="C3475" s="287"/>
      <c r="D3475" s="286"/>
      <c r="E3475" s="286"/>
    </row>
    <row r="3476">
      <c r="A3476" s="286"/>
      <c r="B3476" s="286"/>
      <c r="C3476" s="287"/>
      <c r="D3476" s="286"/>
      <c r="E3476" s="286"/>
    </row>
    <row r="3477">
      <c r="A3477" s="286"/>
      <c r="B3477" s="286"/>
      <c r="C3477" s="287"/>
      <c r="D3477" s="286"/>
      <c r="E3477" s="286"/>
    </row>
    <row r="3478">
      <c r="A3478" s="286"/>
      <c r="B3478" s="286"/>
      <c r="C3478" s="287"/>
      <c r="D3478" s="286"/>
      <c r="E3478" s="286"/>
    </row>
    <row r="3479">
      <c r="A3479" s="286"/>
      <c r="B3479" s="286"/>
      <c r="C3479" s="287"/>
      <c r="D3479" s="286"/>
      <c r="E3479" s="286"/>
    </row>
    <row r="3480">
      <c r="A3480" s="286"/>
      <c r="B3480" s="286"/>
      <c r="C3480" s="287"/>
      <c r="D3480" s="286"/>
      <c r="E3480" s="286"/>
    </row>
    <row r="3481">
      <c r="A3481" s="286"/>
      <c r="B3481" s="286"/>
      <c r="C3481" s="287"/>
      <c r="D3481" s="286"/>
      <c r="E3481" s="286"/>
    </row>
    <row r="3482">
      <c r="A3482" s="286"/>
      <c r="B3482" s="286"/>
      <c r="C3482" s="287"/>
      <c r="D3482" s="286"/>
      <c r="E3482" s="286"/>
    </row>
    <row r="3483">
      <c r="A3483" s="286"/>
      <c r="B3483" s="286"/>
      <c r="C3483" s="287"/>
      <c r="D3483" s="286"/>
      <c r="E3483" s="286"/>
    </row>
    <row r="3484">
      <c r="A3484" s="286"/>
      <c r="B3484" s="286"/>
      <c r="C3484" s="287"/>
      <c r="D3484" s="286"/>
      <c r="E3484" s="286"/>
    </row>
    <row r="3485">
      <c r="A3485" s="286"/>
      <c r="B3485" s="286"/>
      <c r="C3485" s="287"/>
      <c r="D3485" s="286"/>
      <c r="E3485" s="286"/>
    </row>
    <row r="3486">
      <c r="A3486" s="286"/>
      <c r="B3486" s="286"/>
      <c r="C3486" s="287"/>
      <c r="D3486" s="286"/>
      <c r="E3486" s="286"/>
    </row>
    <row r="3487">
      <c r="A3487" s="286"/>
      <c r="B3487" s="286"/>
      <c r="C3487" s="287"/>
      <c r="D3487" s="286"/>
      <c r="E3487" s="286"/>
    </row>
    <row r="3488">
      <c r="A3488" s="286"/>
      <c r="B3488" s="286"/>
      <c r="C3488" s="287"/>
      <c r="D3488" s="286"/>
      <c r="E3488" s="286"/>
    </row>
    <row r="3489">
      <c r="A3489" s="286"/>
      <c r="B3489" s="286"/>
      <c r="C3489" s="287"/>
      <c r="D3489" s="286"/>
      <c r="E3489" s="286"/>
    </row>
    <row r="3490">
      <c r="A3490" s="286"/>
      <c r="B3490" s="286"/>
      <c r="C3490" s="287"/>
      <c r="D3490" s="286"/>
      <c r="E3490" s="286"/>
    </row>
    <row r="3491">
      <c r="A3491" s="286"/>
      <c r="B3491" s="286"/>
      <c r="C3491" s="287"/>
      <c r="D3491" s="286"/>
      <c r="E3491" s="286"/>
    </row>
    <row r="3492">
      <c r="A3492" s="286"/>
      <c r="B3492" s="286"/>
      <c r="C3492" s="287"/>
      <c r="D3492" s="286"/>
      <c r="E3492" s="286"/>
    </row>
    <row r="3493">
      <c r="A3493" s="286"/>
      <c r="B3493" s="286"/>
      <c r="C3493" s="287"/>
      <c r="D3493" s="286"/>
      <c r="E3493" s="286"/>
    </row>
    <row r="3494">
      <c r="A3494" s="286"/>
      <c r="B3494" s="286"/>
      <c r="C3494" s="287"/>
      <c r="D3494" s="286"/>
      <c r="E3494" s="286"/>
    </row>
    <row r="3495">
      <c r="A3495" s="286"/>
      <c r="B3495" s="286"/>
      <c r="C3495" s="287"/>
      <c r="D3495" s="286"/>
      <c r="E3495" s="286"/>
    </row>
    <row r="3496">
      <c r="A3496" s="286"/>
      <c r="B3496" s="286"/>
      <c r="C3496" s="287"/>
      <c r="D3496" s="286"/>
      <c r="E3496" s="286"/>
    </row>
    <row r="3497">
      <c r="A3497" s="286"/>
      <c r="B3497" s="286"/>
      <c r="C3497" s="287"/>
      <c r="D3497" s="286"/>
      <c r="E3497" s="286"/>
    </row>
    <row r="3498">
      <c r="A3498" s="286"/>
      <c r="B3498" s="286"/>
      <c r="C3498" s="287"/>
      <c r="D3498" s="286"/>
      <c r="E3498" s="286"/>
    </row>
    <row r="3499">
      <c r="A3499" s="286"/>
      <c r="B3499" s="286"/>
      <c r="C3499" s="287"/>
      <c r="D3499" s="286"/>
      <c r="E3499" s="286"/>
    </row>
    <row r="3500">
      <c r="A3500" s="286"/>
      <c r="B3500" s="286"/>
      <c r="C3500" s="287"/>
      <c r="D3500" s="286"/>
      <c r="E3500" s="286"/>
    </row>
    <row r="3501">
      <c r="A3501" s="286"/>
      <c r="B3501" s="286"/>
      <c r="C3501" s="287"/>
      <c r="D3501" s="286"/>
      <c r="E3501" s="286"/>
    </row>
    <row r="3502">
      <c r="A3502" s="286"/>
      <c r="B3502" s="286"/>
      <c r="C3502" s="287"/>
      <c r="D3502" s="286"/>
      <c r="E3502" s="286"/>
    </row>
    <row r="3503">
      <c r="A3503" s="286"/>
      <c r="B3503" s="286"/>
      <c r="C3503" s="287"/>
      <c r="D3503" s="286"/>
      <c r="E3503" s="286"/>
    </row>
    <row r="3504">
      <c r="A3504" s="286"/>
      <c r="B3504" s="286"/>
      <c r="C3504" s="287"/>
      <c r="D3504" s="286"/>
      <c r="E3504" s="286"/>
    </row>
    <row r="3505">
      <c r="A3505" s="286"/>
      <c r="B3505" s="286"/>
      <c r="C3505" s="287"/>
      <c r="D3505" s="286"/>
      <c r="E3505" s="286"/>
    </row>
    <row r="3506">
      <c r="A3506" s="286"/>
      <c r="B3506" s="286"/>
      <c r="C3506" s="287"/>
      <c r="D3506" s="286"/>
      <c r="E3506" s="286"/>
    </row>
    <row r="3507">
      <c r="A3507" s="286"/>
      <c r="B3507" s="286"/>
      <c r="C3507" s="287"/>
      <c r="D3507" s="286"/>
      <c r="E3507" s="286"/>
    </row>
    <row r="3508">
      <c r="A3508" s="286"/>
      <c r="B3508" s="286"/>
      <c r="C3508" s="287"/>
      <c r="D3508" s="286"/>
      <c r="E3508" s="286"/>
    </row>
    <row r="3509">
      <c r="A3509" s="286"/>
      <c r="B3509" s="286"/>
      <c r="C3509" s="287"/>
      <c r="D3509" s="286"/>
      <c r="E3509" s="286"/>
    </row>
    <row r="3510">
      <c r="A3510" s="286"/>
      <c r="B3510" s="286"/>
      <c r="C3510" s="287"/>
      <c r="D3510" s="286"/>
      <c r="E3510" s="286"/>
    </row>
    <row r="3511">
      <c r="A3511" s="286"/>
      <c r="B3511" s="286"/>
      <c r="C3511" s="287"/>
      <c r="D3511" s="286"/>
      <c r="E3511" s="286"/>
    </row>
    <row r="3512">
      <c r="A3512" s="286"/>
      <c r="B3512" s="286"/>
      <c r="C3512" s="287"/>
      <c r="D3512" s="286"/>
      <c r="E3512" s="286"/>
    </row>
    <row r="3513">
      <c r="A3513" s="286"/>
      <c r="B3513" s="286"/>
      <c r="C3513" s="287"/>
      <c r="D3513" s="286"/>
      <c r="E3513" s="286"/>
    </row>
    <row r="3514">
      <c r="A3514" s="286"/>
      <c r="B3514" s="286"/>
      <c r="C3514" s="287"/>
      <c r="D3514" s="286"/>
      <c r="E3514" s="286"/>
    </row>
    <row r="3515">
      <c r="A3515" s="286"/>
      <c r="B3515" s="286"/>
      <c r="C3515" s="287"/>
      <c r="D3515" s="286"/>
      <c r="E3515" s="286"/>
    </row>
    <row r="3516">
      <c r="A3516" s="286"/>
      <c r="B3516" s="286"/>
      <c r="C3516" s="287"/>
      <c r="D3516" s="286"/>
      <c r="E3516" s="286"/>
    </row>
    <row r="3517">
      <c r="A3517" s="286"/>
      <c r="B3517" s="286"/>
      <c r="C3517" s="287"/>
      <c r="D3517" s="286"/>
      <c r="E3517" s="286"/>
    </row>
    <row r="3518">
      <c r="A3518" s="286"/>
      <c r="B3518" s="286"/>
      <c r="C3518" s="287"/>
      <c r="D3518" s="286"/>
      <c r="E3518" s="286"/>
    </row>
    <row r="3519">
      <c r="A3519" s="286"/>
      <c r="B3519" s="286"/>
      <c r="C3519" s="287"/>
      <c r="D3519" s="286"/>
      <c r="E3519" s="286"/>
    </row>
    <row r="3520">
      <c r="A3520" s="286"/>
      <c r="B3520" s="286"/>
      <c r="C3520" s="287"/>
      <c r="D3520" s="286"/>
      <c r="E3520" s="286"/>
    </row>
    <row r="3521">
      <c r="A3521" s="286"/>
      <c r="B3521" s="286"/>
      <c r="C3521" s="287"/>
      <c r="D3521" s="286"/>
      <c r="E3521" s="286"/>
    </row>
    <row r="3522">
      <c r="A3522" s="286"/>
      <c r="B3522" s="286"/>
      <c r="C3522" s="287"/>
      <c r="D3522" s="286"/>
      <c r="E3522" s="286"/>
    </row>
    <row r="3523">
      <c r="A3523" s="286"/>
      <c r="B3523" s="286"/>
      <c r="C3523" s="287"/>
      <c r="D3523" s="286"/>
      <c r="E3523" s="286"/>
    </row>
    <row r="3524">
      <c r="A3524" s="286"/>
      <c r="B3524" s="286"/>
      <c r="C3524" s="287"/>
      <c r="D3524" s="286"/>
      <c r="E3524" s="286"/>
    </row>
    <row r="3525">
      <c r="A3525" s="286"/>
      <c r="B3525" s="286"/>
      <c r="C3525" s="287"/>
      <c r="D3525" s="286"/>
      <c r="E3525" s="286"/>
    </row>
    <row r="3526">
      <c r="A3526" s="286"/>
      <c r="B3526" s="286"/>
      <c r="C3526" s="287"/>
      <c r="D3526" s="286"/>
      <c r="E3526" s="286"/>
    </row>
    <row r="3527">
      <c r="A3527" s="286"/>
      <c r="B3527" s="286"/>
      <c r="C3527" s="287"/>
      <c r="D3527" s="286"/>
      <c r="E3527" s="286"/>
    </row>
    <row r="3528">
      <c r="A3528" s="286"/>
      <c r="B3528" s="286"/>
      <c r="C3528" s="287"/>
      <c r="D3528" s="286"/>
      <c r="E3528" s="286"/>
    </row>
    <row r="3529">
      <c r="A3529" s="286"/>
      <c r="B3529" s="286"/>
      <c r="C3529" s="287"/>
      <c r="D3529" s="286"/>
      <c r="E3529" s="286"/>
    </row>
    <row r="3530">
      <c r="A3530" s="286"/>
      <c r="B3530" s="286"/>
      <c r="C3530" s="287"/>
      <c r="D3530" s="286"/>
      <c r="E3530" s="286"/>
    </row>
    <row r="3531">
      <c r="A3531" s="286"/>
      <c r="B3531" s="286"/>
      <c r="C3531" s="287"/>
      <c r="D3531" s="286"/>
      <c r="E3531" s="286"/>
    </row>
    <row r="3532">
      <c r="A3532" s="286"/>
      <c r="B3532" s="286"/>
      <c r="C3532" s="287"/>
      <c r="D3532" s="286"/>
      <c r="E3532" s="286"/>
    </row>
    <row r="3533">
      <c r="A3533" s="286"/>
      <c r="B3533" s="286"/>
      <c r="C3533" s="287"/>
      <c r="D3533" s="286"/>
      <c r="E3533" s="286"/>
    </row>
    <row r="3534">
      <c r="A3534" s="286"/>
      <c r="B3534" s="286"/>
      <c r="C3534" s="287"/>
      <c r="D3534" s="286"/>
      <c r="E3534" s="286"/>
    </row>
    <row r="3535">
      <c r="A3535" s="286"/>
      <c r="B3535" s="286"/>
      <c r="C3535" s="287"/>
      <c r="D3535" s="286"/>
      <c r="E3535" s="286"/>
    </row>
    <row r="3536">
      <c r="A3536" s="286"/>
      <c r="B3536" s="286"/>
      <c r="C3536" s="287"/>
      <c r="D3536" s="286"/>
      <c r="E3536" s="286"/>
    </row>
    <row r="3537">
      <c r="A3537" s="286"/>
      <c r="B3537" s="286"/>
      <c r="C3537" s="287"/>
      <c r="D3537" s="286"/>
      <c r="E3537" s="286"/>
    </row>
    <row r="3538">
      <c r="A3538" s="286"/>
      <c r="B3538" s="286"/>
      <c r="C3538" s="287"/>
      <c r="D3538" s="286"/>
      <c r="E3538" s="286"/>
    </row>
    <row r="3539">
      <c r="A3539" s="286"/>
      <c r="B3539" s="286"/>
      <c r="C3539" s="287"/>
      <c r="D3539" s="286"/>
      <c r="E3539" s="286"/>
    </row>
    <row r="3540">
      <c r="A3540" s="286"/>
      <c r="B3540" s="286"/>
      <c r="C3540" s="287"/>
      <c r="D3540" s="286"/>
      <c r="E3540" s="286"/>
    </row>
    <row r="3541">
      <c r="A3541" s="286"/>
      <c r="B3541" s="286"/>
      <c r="C3541" s="287"/>
      <c r="D3541" s="286"/>
      <c r="E3541" s="286"/>
    </row>
    <row r="3542">
      <c r="A3542" s="286"/>
      <c r="B3542" s="286"/>
      <c r="C3542" s="287"/>
      <c r="D3542" s="286"/>
      <c r="E3542" s="286"/>
    </row>
    <row r="3543">
      <c r="A3543" s="286"/>
      <c r="B3543" s="286"/>
      <c r="C3543" s="287"/>
      <c r="D3543" s="286"/>
      <c r="E3543" s="286"/>
    </row>
    <row r="3544">
      <c r="A3544" s="286"/>
      <c r="B3544" s="286"/>
      <c r="C3544" s="287"/>
      <c r="D3544" s="286"/>
      <c r="E3544" s="286"/>
    </row>
    <row r="3545">
      <c r="A3545" s="286"/>
      <c r="B3545" s="286"/>
      <c r="C3545" s="287"/>
      <c r="D3545" s="286"/>
      <c r="E3545" s="286"/>
    </row>
    <row r="3546">
      <c r="A3546" s="286"/>
      <c r="B3546" s="286"/>
      <c r="C3546" s="287"/>
      <c r="D3546" s="286"/>
      <c r="E3546" s="286"/>
    </row>
    <row r="3547">
      <c r="A3547" s="286"/>
      <c r="B3547" s="286"/>
      <c r="C3547" s="287"/>
      <c r="D3547" s="286"/>
      <c r="E3547" s="286"/>
    </row>
    <row r="3548">
      <c r="A3548" s="286"/>
      <c r="B3548" s="286"/>
      <c r="C3548" s="287"/>
      <c r="D3548" s="286"/>
      <c r="E3548" s="286"/>
    </row>
    <row r="3549">
      <c r="A3549" s="286"/>
      <c r="B3549" s="286"/>
      <c r="C3549" s="287"/>
      <c r="D3549" s="286"/>
      <c r="E3549" s="286"/>
    </row>
    <row r="3550">
      <c r="A3550" s="286"/>
      <c r="B3550" s="286"/>
      <c r="C3550" s="287"/>
      <c r="D3550" s="286"/>
      <c r="E3550" s="286"/>
    </row>
    <row r="3551">
      <c r="A3551" s="286"/>
      <c r="B3551" s="286"/>
      <c r="C3551" s="287"/>
      <c r="D3551" s="286"/>
      <c r="E3551" s="286"/>
    </row>
    <row r="3552">
      <c r="A3552" s="286"/>
      <c r="B3552" s="286"/>
      <c r="C3552" s="287"/>
      <c r="D3552" s="286"/>
      <c r="E3552" s="286"/>
    </row>
    <row r="3553">
      <c r="A3553" s="286"/>
      <c r="B3553" s="286"/>
      <c r="C3553" s="287"/>
      <c r="D3553" s="286"/>
      <c r="E3553" s="286"/>
    </row>
    <row r="3554">
      <c r="A3554" s="286"/>
      <c r="B3554" s="286"/>
      <c r="C3554" s="287"/>
      <c r="D3554" s="286"/>
      <c r="E3554" s="286"/>
    </row>
    <row r="3555">
      <c r="A3555" s="286"/>
      <c r="B3555" s="286"/>
      <c r="C3555" s="287"/>
      <c r="D3555" s="286"/>
      <c r="E3555" s="286"/>
    </row>
    <row r="3556">
      <c r="A3556" s="286"/>
      <c r="B3556" s="286"/>
      <c r="C3556" s="287"/>
      <c r="D3556" s="286"/>
      <c r="E3556" s="286"/>
    </row>
    <row r="3557">
      <c r="A3557" s="286"/>
      <c r="B3557" s="286"/>
      <c r="C3557" s="287"/>
      <c r="D3557" s="286"/>
      <c r="E3557" s="286"/>
    </row>
    <row r="3558">
      <c r="A3558" s="286"/>
      <c r="B3558" s="286"/>
      <c r="C3558" s="287"/>
      <c r="D3558" s="286"/>
      <c r="E3558" s="286"/>
    </row>
    <row r="3559">
      <c r="A3559" s="286"/>
      <c r="B3559" s="286"/>
      <c r="C3559" s="287"/>
      <c r="D3559" s="286"/>
      <c r="E3559" s="286"/>
    </row>
    <row r="3560">
      <c r="A3560" s="286"/>
      <c r="B3560" s="286"/>
      <c r="C3560" s="287"/>
      <c r="D3560" s="286"/>
      <c r="E3560" s="286"/>
    </row>
    <row r="3561">
      <c r="A3561" s="286"/>
      <c r="B3561" s="286"/>
      <c r="C3561" s="287"/>
      <c r="D3561" s="286"/>
      <c r="E3561" s="286"/>
    </row>
    <row r="3562">
      <c r="A3562" s="286"/>
      <c r="B3562" s="286"/>
      <c r="C3562" s="287"/>
      <c r="D3562" s="286"/>
      <c r="E3562" s="286"/>
    </row>
    <row r="3563">
      <c r="A3563" s="286"/>
      <c r="B3563" s="286"/>
      <c r="C3563" s="287"/>
      <c r="D3563" s="286"/>
      <c r="E3563" s="286"/>
    </row>
    <row r="3564">
      <c r="A3564" s="286"/>
      <c r="B3564" s="286"/>
      <c r="C3564" s="287"/>
      <c r="D3564" s="286"/>
      <c r="E3564" s="286"/>
    </row>
    <row r="3565">
      <c r="A3565" s="286"/>
      <c r="B3565" s="286"/>
      <c r="C3565" s="287"/>
      <c r="D3565" s="286"/>
      <c r="E3565" s="286"/>
    </row>
    <row r="3566">
      <c r="A3566" s="286"/>
      <c r="B3566" s="286"/>
      <c r="C3566" s="287"/>
      <c r="D3566" s="286"/>
      <c r="E3566" s="286"/>
    </row>
    <row r="3567">
      <c r="A3567" s="286"/>
      <c r="B3567" s="286"/>
      <c r="C3567" s="287"/>
      <c r="D3567" s="286"/>
      <c r="E3567" s="286"/>
    </row>
    <row r="3568">
      <c r="A3568" s="286"/>
      <c r="B3568" s="286"/>
      <c r="C3568" s="287"/>
      <c r="D3568" s="286"/>
      <c r="E3568" s="286"/>
    </row>
    <row r="3569">
      <c r="A3569" s="286"/>
      <c r="B3569" s="286"/>
      <c r="C3569" s="287"/>
      <c r="D3569" s="286"/>
      <c r="E3569" s="286"/>
    </row>
    <row r="3570">
      <c r="A3570" s="286"/>
      <c r="B3570" s="286"/>
      <c r="C3570" s="287"/>
      <c r="D3570" s="286"/>
      <c r="E3570" s="286"/>
    </row>
    <row r="3571">
      <c r="A3571" s="286"/>
      <c r="B3571" s="286"/>
      <c r="C3571" s="287"/>
      <c r="D3571" s="286"/>
      <c r="E3571" s="286"/>
    </row>
    <row r="3572">
      <c r="A3572" s="286"/>
      <c r="B3572" s="286"/>
      <c r="C3572" s="287"/>
      <c r="D3572" s="286"/>
      <c r="E3572" s="286"/>
    </row>
    <row r="3573">
      <c r="A3573" s="286"/>
      <c r="B3573" s="286"/>
      <c r="C3573" s="287"/>
      <c r="D3573" s="286"/>
      <c r="E3573" s="286"/>
    </row>
    <row r="3574">
      <c r="A3574" s="286"/>
      <c r="B3574" s="286"/>
      <c r="C3574" s="287"/>
      <c r="D3574" s="286"/>
      <c r="E3574" s="286"/>
    </row>
    <row r="3575">
      <c r="A3575" s="286"/>
      <c r="B3575" s="286"/>
      <c r="C3575" s="287"/>
      <c r="D3575" s="286"/>
      <c r="E3575" s="286"/>
    </row>
    <row r="3576">
      <c r="A3576" s="286"/>
      <c r="B3576" s="286"/>
      <c r="C3576" s="287"/>
      <c r="D3576" s="286"/>
      <c r="E3576" s="286"/>
    </row>
    <row r="3577">
      <c r="A3577" s="286"/>
      <c r="B3577" s="286"/>
      <c r="C3577" s="287"/>
      <c r="D3577" s="286"/>
      <c r="E3577" s="286"/>
    </row>
    <row r="3578">
      <c r="A3578" s="286"/>
      <c r="B3578" s="286"/>
      <c r="C3578" s="287"/>
      <c r="D3578" s="286"/>
      <c r="E3578" s="286"/>
    </row>
    <row r="3579">
      <c r="A3579" s="286"/>
      <c r="B3579" s="286"/>
      <c r="C3579" s="287"/>
      <c r="D3579" s="286"/>
      <c r="E3579" s="286"/>
    </row>
    <row r="3580">
      <c r="A3580" s="286"/>
      <c r="B3580" s="286"/>
      <c r="C3580" s="287"/>
      <c r="D3580" s="286"/>
      <c r="E3580" s="286"/>
    </row>
    <row r="3581">
      <c r="A3581" s="286"/>
      <c r="B3581" s="286"/>
      <c r="C3581" s="287"/>
      <c r="D3581" s="286"/>
      <c r="E3581" s="286"/>
    </row>
    <row r="3582">
      <c r="A3582" s="286"/>
      <c r="B3582" s="286"/>
      <c r="C3582" s="287"/>
      <c r="D3582" s="286"/>
      <c r="E3582" s="286"/>
    </row>
    <row r="3583">
      <c r="A3583" s="286"/>
      <c r="B3583" s="286"/>
      <c r="C3583" s="287"/>
      <c r="D3583" s="286"/>
      <c r="E3583" s="286"/>
    </row>
    <row r="3584">
      <c r="A3584" s="286"/>
      <c r="B3584" s="286"/>
      <c r="C3584" s="287"/>
      <c r="D3584" s="286"/>
      <c r="E3584" s="286"/>
    </row>
    <row r="3585">
      <c r="A3585" s="286"/>
      <c r="B3585" s="286"/>
      <c r="C3585" s="287"/>
      <c r="D3585" s="286"/>
      <c r="E3585" s="286"/>
    </row>
    <row r="3586">
      <c r="A3586" s="286"/>
      <c r="B3586" s="286"/>
      <c r="C3586" s="287"/>
      <c r="D3586" s="286"/>
      <c r="E3586" s="286"/>
    </row>
    <row r="3587">
      <c r="A3587" s="286"/>
      <c r="B3587" s="286"/>
      <c r="C3587" s="287"/>
      <c r="D3587" s="286"/>
      <c r="E3587" s="286"/>
    </row>
    <row r="3588">
      <c r="A3588" s="286"/>
      <c r="B3588" s="286"/>
      <c r="C3588" s="287"/>
      <c r="D3588" s="286"/>
      <c r="E3588" s="286"/>
    </row>
    <row r="3589">
      <c r="A3589" s="286"/>
      <c r="B3589" s="286"/>
      <c r="C3589" s="287"/>
      <c r="D3589" s="286"/>
      <c r="E3589" s="286"/>
    </row>
    <row r="3590">
      <c r="A3590" s="286"/>
      <c r="B3590" s="286"/>
      <c r="C3590" s="287"/>
      <c r="D3590" s="286"/>
      <c r="E3590" s="286"/>
    </row>
    <row r="3591">
      <c r="A3591" s="286"/>
      <c r="B3591" s="286"/>
      <c r="C3591" s="287"/>
      <c r="D3591" s="286"/>
      <c r="E3591" s="286"/>
    </row>
    <row r="3592">
      <c r="A3592" s="286"/>
      <c r="B3592" s="286"/>
      <c r="C3592" s="287"/>
      <c r="D3592" s="286"/>
      <c r="E3592" s="286"/>
    </row>
    <row r="3593">
      <c r="A3593" s="286"/>
      <c r="B3593" s="286"/>
      <c r="C3593" s="287"/>
      <c r="D3593" s="286"/>
      <c r="E3593" s="286"/>
    </row>
    <row r="3594">
      <c r="A3594" s="286"/>
      <c r="B3594" s="286"/>
      <c r="C3594" s="287"/>
      <c r="D3594" s="286"/>
      <c r="E3594" s="286"/>
    </row>
    <row r="3595">
      <c r="A3595" s="286"/>
      <c r="B3595" s="286"/>
      <c r="C3595" s="287"/>
      <c r="D3595" s="286"/>
      <c r="E3595" s="286"/>
    </row>
    <row r="3596">
      <c r="A3596" s="286"/>
      <c r="B3596" s="286"/>
      <c r="C3596" s="287"/>
      <c r="D3596" s="286"/>
      <c r="E3596" s="286"/>
    </row>
    <row r="3597">
      <c r="A3597" s="286"/>
      <c r="B3597" s="286"/>
      <c r="C3597" s="287"/>
      <c r="D3597" s="286"/>
      <c r="E3597" s="286"/>
    </row>
    <row r="3598">
      <c r="A3598" s="286"/>
      <c r="B3598" s="286"/>
      <c r="C3598" s="287"/>
      <c r="D3598" s="286"/>
      <c r="E3598" s="286"/>
    </row>
    <row r="3599">
      <c r="A3599" s="286"/>
      <c r="B3599" s="286"/>
      <c r="C3599" s="287"/>
      <c r="D3599" s="286"/>
      <c r="E3599" s="286"/>
    </row>
    <row r="3600">
      <c r="A3600" s="286"/>
      <c r="B3600" s="286"/>
      <c r="C3600" s="287"/>
      <c r="D3600" s="286"/>
      <c r="E3600" s="286"/>
    </row>
    <row r="3601">
      <c r="A3601" s="286"/>
      <c r="B3601" s="286"/>
      <c r="C3601" s="287"/>
      <c r="D3601" s="286"/>
      <c r="E3601" s="286"/>
    </row>
    <row r="3602">
      <c r="A3602" s="286"/>
      <c r="B3602" s="286"/>
      <c r="C3602" s="287"/>
      <c r="D3602" s="286"/>
      <c r="E3602" s="286"/>
    </row>
    <row r="3603">
      <c r="A3603" s="286"/>
      <c r="B3603" s="286"/>
      <c r="C3603" s="287"/>
      <c r="D3603" s="286"/>
      <c r="E3603" s="286"/>
    </row>
    <row r="3604">
      <c r="A3604" s="286"/>
      <c r="B3604" s="286"/>
      <c r="C3604" s="287"/>
      <c r="D3604" s="286"/>
      <c r="E3604" s="286"/>
    </row>
    <row r="3605">
      <c r="A3605" s="286"/>
      <c r="B3605" s="286"/>
      <c r="C3605" s="287"/>
      <c r="D3605" s="286"/>
      <c r="E3605" s="286"/>
    </row>
    <row r="3606">
      <c r="A3606" s="286"/>
      <c r="B3606" s="286"/>
      <c r="C3606" s="287"/>
      <c r="D3606" s="286"/>
      <c r="E3606" s="286"/>
    </row>
    <row r="3607">
      <c r="A3607" s="286"/>
      <c r="B3607" s="286"/>
      <c r="C3607" s="287"/>
      <c r="D3607" s="286"/>
      <c r="E3607" s="286"/>
    </row>
    <row r="3608">
      <c r="A3608" s="286"/>
      <c r="B3608" s="286"/>
      <c r="C3608" s="287"/>
      <c r="D3608" s="286"/>
      <c r="E3608" s="286"/>
    </row>
    <row r="3609">
      <c r="A3609" s="286"/>
      <c r="B3609" s="286"/>
      <c r="C3609" s="287"/>
      <c r="D3609" s="286"/>
      <c r="E3609" s="286"/>
    </row>
    <row r="3610">
      <c r="A3610" s="286"/>
      <c r="B3610" s="286"/>
      <c r="C3610" s="287"/>
      <c r="D3610" s="286"/>
      <c r="E3610" s="286"/>
    </row>
    <row r="3611">
      <c r="A3611" s="286"/>
      <c r="B3611" s="286"/>
      <c r="C3611" s="287"/>
      <c r="D3611" s="286"/>
      <c r="E3611" s="286"/>
    </row>
    <row r="3612">
      <c r="A3612" s="286"/>
      <c r="B3612" s="286"/>
      <c r="C3612" s="287"/>
      <c r="D3612" s="286"/>
      <c r="E3612" s="286"/>
    </row>
    <row r="3613">
      <c r="A3613" s="286"/>
      <c r="B3613" s="286"/>
      <c r="C3613" s="287"/>
      <c r="D3613" s="286"/>
      <c r="E3613" s="286"/>
    </row>
    <row r="3614">
      <c r="A3614" s="286"/>
      <c r="B3614" s="286"/>
      <c r="C3614" s="287"/>
      <c r="D3614" s="286"/>
      <c r="E3614" s="286"/>
    </row>
    <row r="3615">
      <c r="A3615" s="286"/>
      <c r="B3615" s="286"/>
      <c r="C3615" s="287"/>
      <c r="D3615" s="286"/>
      <c r="E3615" s="286"/>
    </row>
    <row r="3616">
      <c r="A3616" s="286"/>
      <c r="B3616" s="286"/>
      <c r="C3616" s="287"/>
      <c r="D3616" s="286"/>
      <c r="E3616" s="286"/>
    </row>
    <row r="3617">
      <c r="A3617" s="286"/>
      <c r="B3617" s="286"/>
      <c r="C3617" s="287"/>
      <c r="D3617" s="286"/>
      <c r="E3617" s="286"/>
    </row>
    <row r="3618">
      <c r="A3618" s="286"/>
      <c r="B3618" s="286"/>
      <c r="C3618" s="287"/>
      <c r="D3618" s="286"/>
      <c r="E3618" s="286"/>
    </row>
    <row r="3619">
      <c r="A3619" s="286"/>
      <c r="B3619" s="286"/>
      <c r="C3619" s="287"/>
      <c r="D3619" s="286"/>
      <c r="E3619" s="286"/>
    </row>
    <row r="3620">
      <c r="A3620" s="286"/>
      <c r="B3620" s="286"/>
      <c r="C3620" s="287"/>
      <c r="D3620" s="286"/>
      <c r="E3620" s="286"/>
    </row>
    <row r="3621">
      <c r="A3621" s="286"/>
      <c r="B3621" s="286"/>
      <c r="C3621" s="287"/>
      <c r="D3621" s="286"/>
      <c r="E3621" s="286"/>
    </row>
    <row r="3622">
      <c r="A3622" s="286"/>
      <c r="B3622" s="286"/>
      <c r="C3622" s="287"/>
      <c r="D3622" s="286"/>
      <c r="E3622" s="286"/>
    </row>
    <row r="3623">
      <c r="A3623" s="286"/>
      <c r="B3623" s="286"/>
      <c r="C3623" s="287"/>
      <c r="D3623" s="286"/>
      <c r="E3623" s="286"/>
    </row>
    <row r="3624">
      <c r="A3624" s="286"/>
      <c r="B3624" s="286"/>
      <c r="C3624" s="287"/>
      <c r="D3624" s="286"/>
      <c r="E3624" s="286"/>
    </row>
    <row r="3625">
      <c r="A3625" s="286"/>
      <c r="B3625" s="286"/>
      <c r="C3625" s="287"/>
      <c r="D3625" s="286"/>
      <c r="E3625" s="286"/>
    </row>
    <row r="3626">
      <c r="A3626" s="286"/>
      <c r="B3626" s="286"/>
      <c r="C3626" s="287"/>
      <c r="D3626" s="286"/>
      <c r="E3626" s="286"/>
    </row>
    <row r="3627">
      <c r="A3627" s="286"/>
      <c r="B3627" s="286"/>
      <c r="C3627" s="287"/>
      <c r="D3627" s="286"/>
      <c r="E3627" s="286"/>
    </row>
    <row r="3628">
      <c r="A3628" s="286"/>
      <c r="B3628" s="286"/>
      <c r="C3628" s="287"/>
      <c r="D3628" s="286"/>
      <c r="E3628" s="286"/>
    </row>
    <row r="3629">
      <c r="A3629" s="286"/>
      <c r="B3629" s="286"/>
      <c r="C3629" s="287"/>
      <c r="D3629" s="286"/>
      <c r="E3629" s="286"/>
    </row>
    <row r="3630">
      <c r="A3630" s="286"/>
      <c r="B3630" s="286"/>
      <c r="C3630" s="287"/>
      <c r="D3630" s="286"/>
      <c r="E3630" s="286"/>
    </row>
    <row r="3631">
      <c r="A3631" s="286"/>
      <c r="B3631" s="286"/>
      <c r="C3631" s="287"/>
      <c r="D3631" s="286"/>
      <c r="E3631" s="286"/>
    </row>
    <row r="3632">
      <c r="A3632" s="286"/>
      <c r="B3632" s="286"/>
      <c r="C3632" s="287"/>
      <c r="D3632" s="286"/>
      <c r="E3632" s="286"/>
    </row>
    <row r="3633">
      <c r="A3633" s="286"/>
      <c r="B3633" s="286"/>
      <c r="C3633" s="287"/>
      <c r="D3633" s="286"/>
      <c r="E3633" s="286"/>
    </row>
    <row r="3634">
      <c r="A3634" s="286"/>
      <c r="B3634" s="286"/>
      <c r="C3634" s="287"/>
      <c r="D3634" s="286"/>
      <c r="E3634" s="286"/>
    </row>
    <row r="3635">
      <c r="A3635" s="286"/>
      <c r="B3635" s="286"/>
      <c r="C3635" s="287"/>
      <c r="D3635" s="286"/>
      <c r="E3635" s="286"/>
    </row>
    <row r="3636">
      <c r="A3636" s="286"/>
      <c r="B3636" s="286"/>
      <c r="C3636" s="287"/>
      <c r="D3636" s="286"/>
      <c r="E3636" s="286"/>
    </row>
    <row r="3637">
      <c r="A3637" s="286"/>
      <c r="B3637" s="286"/>
      <c r="C3637" s="287"/>
      <c r="D3637" s="286"/>
      <c r="E3637" s="286"/>
    </row>
    <row r="3638">
      <c r="A3638" s="286"/>
      <c r="B3638" s="286"/>
      <c r="C3638" s="287"/>
      <c r="D3638" s="286"/>
      <c r="E3638" s="286"/>
    </row>
    <row r="3639">
      <c r="A3639" s="286"/>
      <c r="B3639" s="286"/>
      <c r="C3639" s="287"/>
      <c r="D3639" s="286"/>
      <c r="E3639" s="286"/>
    </row>
    <row r="3640">
      <c r="A3640" s="286"/>
      <c r="B3640" s="286"/>
      <c r="C3640" s="287"/>
      <c r="D3640" s="286"/>
      <c r="E3640" s="286"/>
    </row>
    <row r="3641">
      <c r="A3641" s="286"/>
      <c r="B3641" s="286"/>
      <c r="C3641" s="287"/>
      <c r="D3641" s="286"/>
      <c r="E3641" s="286"/>
    </row>
    <row r="3642">
      <c r="A3642" s="286"/>
      <c r="B3642" s="286"/>
      <c r="C3642" s="287"/>
      <c r="D3642" s="286"/>
      <c r="E3642" s="286"/>
    </row>
    <row r="3643">
      <c r="A3643" s="286"/>
      <c r="B3643" s="286"/>
      <c r="C3643" s="287"/>
      <c r="D3643" s="286"/>
      <c r="E3643" s="286"/>
    </row>
    <row r="3644">
      <c r="A3644" s="286"/>
      <c r="B3644" s="286"/>
      <c r="C3644" s="287"/>
      <c r="D3644" s="286"/>
      <c r="E3644" s="286"/>
    </row>
    <row r="3645">
      <c r="A3645" s="286"/>
      <c r="B3645" s="286"/>
      <c r="C3645" s="287"/>
      <c r="D3645" s="286"/>
      <c r="E3645" s="286"/>
    </row>
    <row r="3646">
      <c r="A3646" s="286"/>
      <c r="B3646" s="286"/>
      <c r="C3646" s="287"/>
      <c r="D3646" s="286"/>
      <c r="E3646" s="286"/>
    </row>
    <row r="3647">
      <c r="A3647" s="286"/>
      <c r="B3647" s="286"/>
      <c r="C3647" s="287"/>
      <c r="D3647" s="286"/>
      <c r="E3647" s="286"/>
    </row>
    <row r="3648">
      <c r="A3648" s="286"/>
      <c r="B3648" s="286"/>
      <c r="C3648" s="287"/>
      <c r="D3648" s="286"/>
      <c r="E3648" s="286"/>
    </row>
    <row r="3649">
      <c r="A3649" s="286"/>
      <c r="B3649" s="286"/>
      <c r="C3649" s="287"/>
      <c r="D3649" s="286"/>
      <c r="E3649" s="286"/>
    </row>
    <row r="3650">
      <c r="A3650" s="286"/>
      <c r="B3650" s="286"/>
      <c r="C3650" s="287"/>
      <c r="D3650" s="286"/>
      <c r="E3650" s="286"/>
    </row>
    <row r="3651">
      <c r="A3651" s="286"/>
      <c r="B3651" s="286"/>
      <c r="C3651" s="287"/>
      <c r="D3651" s="286"/>
      <c r="E3651" s="286"/>
    </row>
    <row r="3652">
      <c r="A3652" s="286"/>
      <c r="B3652" s="286"/>
      <c r="C3652" s="287"/>
      <c r="D3652" s="286"/>
      <c r="E3652" s="286"/>
    </row>
    <row r="3653">
      <c r="A3653" s="286"/>
      <c r="B3653" s="286"/>
      <c r="C3653" s="287"/>
      <c r="D3653" s="286"/>
      <c r="E3653" s="286"/>
    </row>
    <row r="3654">
      <c r="A3654" s="286"/>
      <c r="B3654" s="286"/>
      <c r="C3654" s="287"/>
      <c r="D3654" s="286"/>
      <c r="E3654" s="286"/>
    </row>
    <row r="3655">
      <c r="A3655" s="286"/>
      <c r="B3655" s="286"/>
      <c r="C3655" s="287"/>
      <c r="D3655" s="286"/>
      <c r="E3655" s="286"/>
    </row>
    <row r="3656">
      <c r="A3656" s="286"/>
      <c r="B3656" s="286"/>
      <c r="C3656" s="287"/>
      <c r="D3656" s="286"/>
      <c r="E3656" s="286"/>
    </row>
    <row r="3657">
      <c r="A3657" s="286"/>
      <c r="B3657" s="286"/>
      <c r="C3657" s="287"/>
      <c r="D3657" s="286"/>
      <c r="E3657" s="286"/>
    </row>
    <row r="3658">
      <c r="A3658" s="286"/>
      <c r="B3658" s="286"/>
      <c r="C3658" s="287"/>
      <c r="D3658" s="286"/>
      <c r="E3658" s="286"/>
    </row>
    <row r="3659">
      <c r="A3659" s="286"/>
      <c r="B3659" s="286"/>
      <c r="C3659" s="287"/>
      <c r="D3659" s="286"/>
      <c r="E3659" s="286"/>
    </row>
    <row r="3660">
      <c r="A3660" s="286"/>
      <c r="B3660" s="286"/>
      <c r="C3660" s="287"/>
      <c r="D3660" s="286"/>
      <c r="E3660" s="286"/>
    </row>
    <row r="3661">
      <c r="A3661" s="286"/>
      <c r="B3661" s="286"/>
      <c r="C3661" s="287"/>
      <c r="D3661" s="286"/>
      <c r="E3661" s="286"/>
    </row>
    <row r="3662">
      <c r="A3662" s="286"/>
      <c r="B3662" s="286"/>
      <c r="C3662" s="287"/>
      <c r="D3662" s="286"/>
      <c r="E3662" s="286"/>
    </row>
    <row r="3663">
      <c r="A3663" s="286"/>
      <c r="B3663" s="286"/>
      <c r="C3663" s="287"/>
      <c r="D3663" s="286"/>
      <c r="E3663" s="286"/>
    </row>
    <row r="3664">
      <c r="A3664" s="286"/>
      <c r="B3664" s="286"/>
      <c r="C3664" s="287"/>
      <c r="D3664" s="286"/>
      <c r="E3664" s="286"/>
    </row>
    <row r="3665">
      <c r="A3665" s="286"/>
      <c r="B3665" s="286"/>
      <c r="C3665" s="287"/>
      <c r="D3665" s="286"/>
      <c r="E3665" s="286"/>
    </row>
    <row r="3666">
      <c r="A3666" s="286"/>
      <c r="B3666" s="286"/>
      <c r="C3666" s="287"/>
      <c r="D3666" s="286"/>
      <c r="E3666" s="286"/>
    </row>
    <row r="3667">
      <c r="A3667" s="286"/>
      <c r="B3667" s="286"/>
      <c r="C3667" s="287"/>
      <c r="D3667" s="286"/>
      <c r="E3667" s="286"/>
    </row>
    <row r="3668">
      <c r="A3668" s="286"/>
      <c r="B3668" s="286"/>
      <c r="C3668" s="287"/>
      <c r="D3668" s="286"/>
      <c r="E3668" s="286"/>
    </row>
    <row r="3669">
      <c r="A3669" s="286"/>
      <c r="B3669" s="286"/>
      <c r="C3669" s="287"/>
      <c r="D3669" s="286"/>
      <c r="E3669" s="286"/>
    </row>
    <row r="3670">
      <c r="A3670" s="286"/>
      <c r="B3670" s="286"/>
      <c r="C3670" s="287"/>
      <c r="D3670" s="286"/>
      <c r="E3670" s="286"/>
    </row>
    <row r="3671">
      <c r="A3671" s="286"/>
      <c r="B3671" s="286"/>
      <c r="C3671" s="287"/>
      <c r="D3671" s="286"/>
      <c r="E3671" s="286"/>
    </row>
    <row r="3672">
      <c r="A3672" s="286"/>
      <c r="B3672" s="286"/>
      <c r="C3672" s="287"/>
      <c r="D3672" s="286"/>
      <c r="E3672" s="286"/>
    </row>
    <row r="3673">
      <c r="A3673" s="286"/>
      <c r="B3673" s="286"/>
      <c r="C3673" s="287"/>
      <c r="D3673" s="286"/>
      <c r="E3673" s="286"/>
    </row>
    <row r="3674">
      <c r="A3674" s="286"/>
      <c r="B3674" s="286"/>
      <c r="C3674" s="287"/>
      <c r="D3674" s="286"/>
      <c r="E3674" s="286"/>
    </row>
    <row r="3675">
      <c r="A3675" s="286"/>
      <c r="B3675" s="286"/>
      <c r="C3675" s="287"/>
      <c r="D3675" s="286"/>
      <c r="E3675" s="286"/>
    </row>
    <row r="3676">
      <c r="A3676" s="286"/>
      <c r="B3676" s="286"/>
      <c r="C3676" s="287"/>
      <c r="D3676" s="286"/>
      <c r="E3676" s="286"/>
    </row>
    <row r="3677">
      <c r="A3677" s="286"/>
      <c r="B3677" s="286"/>
      <c r="C3677" s="287"/>
      <c r="D3677" s="286"/>
      <c r="E3677" s="286"/>
    </row>
    <row r="3678">
      <c r="A3678" s="286"/>
      <c r="B3678" s="286"/>
      <c r="C3678" s="287"/>
      <c r="D3678" s="286"/>
      <c r="E3678" s="286"/>
    </row>
    <row r="3679">
      <c r="A3679" s="286"/>
      <c r="B3679" s="286"/>
      <c r="C3679" s="287"/>
      <c r="D3679" s="286"/>
      <c r="E3679" s="286"/>
    </row>
    <row r="3680">
      <c r="A3680" s="286"/>
      <c r="B3680" s="286"/>
      <c r="C3680" s="287"/>
      <c r="D3680" s="286"/>
      <c r="E3680" s="286"/>
    </row>
    <row r="3681">
      <c r="A3681" s="286"/>
      <c r="B3681" s="286"/>
      <c r="C3681" s="287"/>
      <c r="D3681" s="286"/>
      <c r="E3681" s="286"/>
    </row>
    <row r="3682">
      <c r="A3682" s="286"/>
      <c r="B3682" s="286"/>
      <c r="C3682" s="287"/>
      <c r="D3682" s="286"/>
      <c r="E3682" s="286"/>
    </row>
    <row r="3683">
      <c r="A3683" s="286"/>
      <c r="B3683" s="286"/>
      <c r="C3683" s="287"/>
      <c r="D3683" s="286"/>
      <c r="E3683" s="286"/>
    </row>
    <row r="3684">
      <c r="A3684" s="286"/>
      <c r="B3684" s="286"/>
      <c r="C3684" s="287"/>
      <c r="D3684" s="286"/>
      <c r="E3684" s="286"/>
    </row>
    <row r="3685">
      <c r="A3685" s="286"/>
      <c r="B3685" s="286"/>
      <c r="C3685" s="287"/>
      <c r="D3685" s="286"/>
      <c r="E3685" s="286"/>
    </row>
    <row r="3686">
      <c r="A3686" s="286"/>
      <c r="B3686" s="286"/>
      <c r="C3686" s="287"/>
      <c r="D3686" s="286"/>
      <c r="E3686" s="286"/>
    </row>
    <row r="3687">
      <c r="A3687" s="286"/>
      <c r="B3687" s="286"/>
      <c r="C3687" s="287"/>
      <c r="D3687" s="286"/>
      <c r="E3687" s="286"/>
    </row>
    <row r="3688">
      <c r="A3688" s="286"/>
      <c r="B3688" s="286"/>
      <c r="C3688" s="287"/>
      <c r="D3688" s="286"/>
      <c r="E3688" s="286"/>
    </row>
    <row r="3689">
      <c r="A3689" s="286"/>
      <c r="B3689" s="286"/>
      <c r="C3689" s="287"/>
      <c r="D3689" s="286"/>
      <c r="E3689" s="286"/>
    </row>
    <row r="3690">
      <c r="A3690" s="286"/>
      <c r="B3690" s="286"/>
      <c r="C3690" s="287"/>
      <c r="D3690" s="286"/>
      <c r="E3690" s="286"/>
    </row>
    <row r="3691">
      <c r="A3691" s="286"/>
      <c r="B3691" s="286"/>
      <c r="C3691" s="287"/>
      <c r="D3691" s="286"/>
      <c r="E3691" s="286"/>
    </row>
    <row r="3692">
      <c r="A3692" s="286"/>
      <c r="B3692" s="286"/>
      <c r="C3692" s="287"/>
      <c r="D3692" s="286"/>
      <c r="E3692" s="286"/>
    </row>
    <row r="3693">
      <c r="A3693" s="286"/>
      <c r="B3693" s="286"/>
      <c r="C3693" s="287"/>
      <c r="D3693" s="286"/>
      <c r="E3693" s="286"/>
    </row>
    <row r="3694">
      <c r="A3694" s="286"/>
      <c r="B3694" s="286"/>
      <c r="C3694" s="287"/>
      <c r="D3694" s="286"/>
      <c r="E3694" s="286"/>
    </row>
    <row r="3695">
      <c r="A3695" s="286"/>
      <c r="B3695" s="286"/>
      <c r="C3695" s="287"/>
      <c r="D3695" s="286"/>
      <c r="E3695" s="286"/>
    </row>
    <row r="3696">
      <c r="A3696" s="286"/>
      <c r="B3696" s="286"/>
      <c r="C3696" s="287"/>
      <c r="D3696" s="286"/>
      <c r="E3696" s="286"/>
    </row>
    <row r="3697">
      <c r="A3697" s="286"/>
      <c r="B3697" s="286"/>
      <c r="C3697" s="287"/>
      <c r="D3697" s="286"/>
      <c r="E3697" s="286"/>
    </row>
    <row r="3698">
      <c r="A3698" s="286"/>
      <c r="B3698" s="286"/>
      <c r="C3698" s="287"/>
      <c r="D3698" s="286"/>
      <c r="E3698" s="286"/>
    </row>
    <row r="3699">
      <c r="A3699" s="286"/>
      <c r="B3699" s="286"/>
      <c r="C3699" s="287"/>
      <c r="D3699" s="286"/>
      <c r="E3699" s="286"/>
    </row>
    <row r="3700">
      <c r="A3700" s="286"/>
      <c r="B3700" s="286"/>
      <c r="C3700" s="287"/>
      <c r="D3700" s="286"/>
      <c r="E3700" s="286"/>
    </row>
    <row r="3701">
      <c r="A3701" s="286"/>
      <c r="B3701" s="286"/>
      <c r="C3701" s="287"/>
      <c r="D3701" s="286"/>
      <c r="E3701" s="286"/>
    </row>
    <row r="3702">
      <c r="A3702" s="286"/>
      <c r="B3702" s="286"/>
      <c r="C3702" s="287"/>
      <c r="D3702" s="286"/>
      <c r="E3702" s="286"/>
    </row>
    <row r="3703">
      <c r="A3703" s="286"/>
      <c r="B3703" s="286"/>
      <c r="C3703" s="287"/>
      <c r="D3703" s="286"/>
      <c r="E3703" s="286"/>
    </row>
    <row r="3704">
      <c r="A3704" s="286"/>
      <c r="B3704" s="286"/>
      <c r="C3704" s="287"/>
      <c r="D3704" s="286"/>
      <c r="E3704" s="286"/>
    </row>
    <row r="3705">
      <c r="A3705" s="286"/>
      <c r="B3705" s="286"/>
      <c r="C3705" s="287"/>
      <c r="D3705" s="286"/>
      <c r="E3705" s="286"/>
    </row>
    <row r="3706">
      <c r="A3706" s="286"/>
      <c r="B3706" s="286"/>
      <c r="C3706" s="287"/>
      <c r="D3706" s="286"/>
      <c r="E3706" s="286"/>
    </row>
    <row r="3707">
      <c r="A3707" s="286"/>
      <c r="B3707" s="286"/>
      <c r="C3707" s="287"/>
      <c r="D3707" s="286"/>
      <c r="E3707" s="286"/>
    </row>
    <row r="3708">
      <c r="A3708" s="286"/>
      <c r="B3708" s="286"/>
      <c r="C3708" s="287"/>
      <c r="D3708" s="286"/>
      <c r="E3708" s="286"/>
    </row>
    <row r="3709">
      <c r="A3709" s="286"/>
      <c r="B3709" s="286"/>
      <c r="C3709" s="287"/>
      <c r="D3709" s="286"/>
      <c r="E3709" s="286"/>
    </row>
    <row r="3710">
      <c r="A3710" s="286"/>
      <c r="B3710" s="286"/>
      <c r="C3710" s="287"/>
      <c r="D3710" s="286"/>
      <c r="E3710" s="286"/>
    </row>
    <row r="3711">
      <c r="A3711" s="286"/>
      <c r="B3711" s="286"/>
      <c r="C3711" s="287"/>
      <c r="D3711" s="286"/>
      <c r="E3711" s="286"/>
    </row>
    <row r="3712">
      <c r="A3712" s="286"/>
      <c r="B3712" s="286"/>
      <c r="C3712" s="287"/>
      <c r="D3712" s="286"/>
      <c r="E3712" s="286"/>
    </row>
    <row r="3713">
      <c r="A3713" s="286"/>
      <c r="B3713" s="286"/>
      <c r="C3713" s="287"/>
      <c r="D3713" s="286"/>
      <c r="E3713" s="286"/>
    </row>
    <row r="3714">
      <c r="A3714" s="286"/>
      <c r="B3714" s="286"/>
      <c r="C3714" s="287"/>
      <c r="D3714" s="286"/>
      <c r="E3714" s="286"/>
    </row>
    <row r="3715">
      <c r="A3715" s="286"/>
      <c r="B3715" s="286"/>
      <c r="C3715" s="287"/>
      <c r="D3715" s="286"/>
      <c r="E3715" s="286"/>
    </row>
    <row r="3716">
      <c r="A3716" s="286"/>
      <c r="B3716" s="286"/>
      <c r="C3716" s="287"/>
      <c r="D3716" s="286"/>
      <c r="E3716" s="286"/>
    </row>
    <row r="3717">
      <c r="A3717" s="286"/>
      <c r="B3717" s="286"/>
      <c r="C3717" s="287"/>
      <c r="D3717" s="286"/>
      <c r="E3717" s="286"/>
    </row>
    <row r="3718">
      <c r="A3718" s="286"/>
      <c r="B3718" s="286"/>
      <c r="C3718" s="287"/>
      <c r="D3718" s="286"/>
      <c r="E3718" s="286"/>
    </row>
    <row r="3719">
      <c r="A3719" s="286"/>
      <c r="B3719" s="286"/>
      <c r="C3719" s="287"/>
      <c r="D3719" s="286"/>
      <c r="E3719" s="286"/>
    </row>
    <row r="3720">
      <c r="A3720" s="286"/>
      <c r="B3720" s="286"/>
      <c r="C3720" s="287"/>
      <c r="D3720" s="286"/>
      <c r="E3720" s="286"/>
    </row>
    <row r="3721">
      <c r="A3721" s="286"/>
      <c r="B3721" s="286"/>
      <c r="C3721" s="287"/>
      <c r="D3721" s="286"/>
      <c r="E3721" s="286"/>
    </row>
    <row r="3722">
      <c r="A3722" s="286"/>
      <c r="B3722" s="286"/>
      <c r="C3722" s="287"/>
      <c r="D3722" s="286"/>
      <c r="E3722" s="286"/>
    </row>
    <row r="3723">
      <c r="A3723" s="286"/>
      <c r="B3723" s="286"/>
      <c r="C3723" s="287"/>
      <c r="D3723" s="286"/>
      <c r="E3723" s="286"/>
    </row>
    <row r="3724">
      <c r="A3724" s="286"/>
      <c r="B3724" s="286"/>
      <c r="C3724" s="287"/>
      <c r="D3724" s="286"/>
      <c r="E3724" s="286"/>
    </row>
    <row r="3725">
      <c r="A3725" s="286"/>
      <c r="B3725" s="286"/>
      <c r="C3725" s="287"/>
      <c r="D3725" s="286"/>
      <c r="E3725" s="286"/>
    </row>
    <row r="3726">
      <c r="A3726" s="286"/>
      <c r="B3726" s="286"/>
      <c r="C3726" s="287"/>
      <c r="D3726" s="286"/>
      <c r="E3726" s="286"/>
    </row>
    <row r="3727">
      <c r="A3727" s="286"/>
      <c r="B3727" s="286"/>
      <c r="C3727" s="287"/>
      <c r="D3727" s="286"/>
      <c r="E3727" s="286"/>
    </row>
    <row r="3728">
      <c r="A3728" s="286"/>
      <c r="B3728" s="286"/>
      <c r="C3728" s="287"/>
      <c r="D3728" s="286"/>
      <c r="E3728" s="286"/>
    </row>
    <row r="3729">
      <c r="A3729" s="286"/>
      <c r="B3729" s="286"/>
      <c r="C3729" s="287"/>
      <c r="D3729" s="286"/>
      <c r="E3729" s="286"/>
    </row>
    <row r="3730">
      <c r="A3730" s="286"/>
      <c r="B3730" s="286"/>
      <c r="C3730" s="287"/>
      <c r="D3730" s="286"/>
      <c r="E3730" s="286"/>
    </row>
    <row r="3731">
      <c r="A3731" s="286"/>
      <c r="B3731" s="286"/>
      <c r="C3731" s="287"/>
      <c r="D3731" s="286"/>
      <c r="E3731" s="286"/>
    </row>
    <row r="3732">
      <c r="A3732" s="286"/>
      <c r="B3732" s="286"/>
      <c r="C3732" s="287"/>
      <c r="D3732" s="286"/>
      <c r="E3732" s="286"/>
    </row>
    <row r="3733">
      <c r="A3733" s="286"/>
      <c r="B3733" s="286"/>
      <c r="C3733" s="287"/>
      <c r="D3733" s="286"/>
      <c r="E3733" s="286"/>
    </row>
    <row r="3734">
      <c r="A3734" s="286"/>
      <c r="B3734" s="286"/>
      <c r="C3734" s="287"/>
      <c r="D3734" s="286"/>
      <c r="E3734" s="286"/>
    </row>
    <row r="3735">
      <c r="A3735" s="286"/>
      <c r="B3735" s="286"/>
      <c r="C3735" s="287"/>
      <c r="D3735" s="286"/>
      <c r="E3735" s="286"/>
    </row>
    <row r="3736">
      <c r="A3736" s="286"/>
      <c r="B3736" s="286"/>
      <c r="C3736" s="287"/>
      <c r="D3736" s="286"/>
      <c r="E3736" s="286"/>
    </row>
    <row r="3737">
      <c r="A3737" s="286"/>
      <c r="B3737" s="286"/>
      <c r="C3737" s="287"/>
      <c r="D3737" s="286"/>
      <c r="E3737" s="286"/>
    </row>
    <row r="3738">
      <c r="A3738" s="286"/>
      <c r="B3738" s="286"/>
      <c r="C3738" s="287"/>
      <c r="D3738" s="286"/>
      <c r="E3738" s="286"/>
    </row>
    <row r="3739">
      <c r="A3739" s="286"/>
      <c r="B3739" s="286"/>
      <c r="C3739" s="287"/>
      <c r="D3739" s="286"/>
      <c r="E3739" s="286"/>
    </row>
    <row r="3740">
      <c r="A3740" s="286"/>
      <c r="B3740" s="286"/>
      <c r="C3740" s="287"/>
      <c r="D3740" s="286"/>
      <c r="E3740" s="286"/>
    </row>
    <row r="3741">
      <c r="A3741" s="286"/>
      <c r="B3741" s="286"/>
      <c r="C3741" s="287"/>
      <c r="D3741" s="286"/>
      <c r="E3741" s="286"/>
    </row>
    <row r="3742">
      <c r="A3742" s="286"/>
      <c r="B3742" s="286"/>
      <c r="C3742" s="287"/>
      <c r="D3742" s="286"/>
      <c r="E3742" s="286"/>
    </row>
    <row r="3743">
      <c r="A3743" s="286"/>
      <c r="B3743" s="286"/>
      <c r="C3743" s="287"/>
      <c r="D3743" s="286"/>
      <c r="E3743" s="286"/>
    </row>
    <row r="3744">
      <c r="A3744" s="286"/>
      <c r="B3744" s="286"/>
      <c r="C3744" s="287"/>
      <c r="D3744" s="286"/>
      <c r="E3744" s="286"/>
    </row>
    <row r="3745">
      <c r="A3745" s="286"/>
      <c r="B3745" s="286"/>
      <c r="C3745" s="287"/>
      <c r="D3745" s="286"/>
      <c r="E3745" s="286"/>
    </row>
    <row r="3746">
      <c r="A3746" s="286"/>
      <c r="B3746" s="286"/>
      <c r="C3746" s="287"/>
      <c r="D3746" s="286"/>
      <c r="E3746" s="286"/>
    </row>
    <row r="3747">
      <c r="A3747" s="286"/>
      <c r="B3747" s="286"/>
      <c r="C3747" s="287"/>
      <c r="D3747" s="286"/>
      <c r="E3747" s="286"/>
    </row>
    <row r="3748">
      <c r="A3748" s="286"/>
      <c r="B3748" s="286"/>
      <c r="C3748" s="287"/>
      <c r="D3748" s="286"/>
      <c r="E3748" s="286"/>
    </row>
    <row r="3749">
      <c r="A3749" s="286"/>
      <c r="B3749" s="286"/>
      <c r="C3749" s="287"/>
      <c r="D3749" s="286"/>
      <c r="E3749" s="286"/>
    </row>
    <row r="3750">
      <c r="A3750" s="286"/>
      <c r="B3750" s="286"/>
      <c r="C3750" s="287"/>
      <c r="D3750" s="286"/>
      <c r="E3750" s="286"/>
    </row>
    <row r="3751">
      <c r="A3751" s="286"/>
      <c r="B3751" s="286"/>
      <c r="C3751" s="287"/>
      <c r="D3751" s="286"/>
      <c r="E3751" s="286"/>
    </row>
    <row r="3752">
      <c r="A3752" s="286"/>
      <c r="B3752" s="286"/>
      <c r="C3752" s="287"/>
      <c r="D3752" s="286"/>
      <c r="E3752" s="286"/>
    </row>
    <row r="3753">
      <c r="A3753" s="286"/>
      <c r="B3753" s="286"/>
      <c r="C3753" s="287"/>
      <c r="D3753" s="286"/>
      <c r="E3753" s="286"/>
    </row>
    <row r="3754">
      <c r="A3754" s="286"/>
      <c r="B3754" s="286"/>
      <c r="C3754" s="287"/>
      <c r="D3754" s="286"/>
      <c r="E3754" s="286"/>
    </row>
    <row r="3755">
      <c r="A3755" s="286"/>
      <c r="B3755" s="286"/>
      <c r="C3755" s="287"/>
      <c r="D3755" s="286"/>
      <c r="E3755" s="286"/>
    </row>
    <row r="3756">
      <c r="A3756" s="286"/>
      <c r="B3756" s="286"/>
      <c r="C3756" s="287"/>
      <c r="D3756" s="286"/>
      <c r="E3756" s="286"/>
    </row>
    <row r="3757">
      <c r="A3757" s="286"/>
      <c r="B3757" s="286"/>
      <c r="C3757" s="287"/>
      <c r="D3757" s="286"/>
      <c r="E3757" s="286"/>
    </row>
    <row r="3758">
      <c r="A3758" s="286"/>
      <c r="B3758" s="286"/>
      <c r="C3758" s="287"/>
      <c r="D3758" s="286"/>
      <c r="E3758" s="286"/>
    </row>
    <row r="3759">
      <c r="A3759" s="286"/>
      <c r="B3759" s="286"/>
      <c r="C3759" s="287"/>
      <c r="D3759" s="286"/>
      <c r="E3759" s="286"/>
    </row>
    <row r="3760">
      <c r="A3760" s="286"/>
      <c r="B3760" s="286"/>
      <c r="C3760" s="287"/>
      <c r="D3760" s="286"/>
      <c r="E3760" s="286"/>
    </row>
    <row r="3761">
      <c r="A3761" s="286"/>
      <c r="B3761" s="286"/>
      <c r="C3761" s="287"/>
      <c r="D3761" s="286"/>
      <c r="E3761" s="286"/>
    </row>
    <row r="3762">
      <c r="A3762" s="286"/>
      <c r="B3762" s="286"/>
      <c r="C3762" s="287"/>
      <c r="D3762" s="286"/>
      <c r="E3762" s="286"/>
    </row>
    <row r="3763">
      <c r="A3763" s="286"/>
      <c r="B3763" s="286"/>
      <c r="C3763" s="287"/>
      <c r="D3763" s="286"/>
      <c r="E3763" s="286"/>
    </row>
    <row r="3764">
      <c r="A3764" s="286"/>
      <c r="B3764" s="286"/>
      <c r="C3764" s="287"/>
      <c r="D3764" s="286"/>
      <c r="E3764" s="286"/>
    </row>
    <row r="3765">
      <c r="A3765" s="286"/>
      <c r="B3765" s="286"/>
      <c r="C3765" s="287"/>
      <c r="D3765" s="286"/>
      <c r="E3765" s="286"/>
    </row>
    <row r="3766">
      <c r="A3766" s="286"/>
      <c r="B3766" s="286"/>
      <c r="C3766" s="287"/>
      <c r="D3766" s="286"/>
      <c r="E3766" s="286"/>
    </row>
    <row r="3767">
      <c r="A3767" s="286"/>
      <c r="B3767" s="286"/>
      <c r="C3767" s="287"/>
      <c r="D3767" s="286"/>
      <c r="E3767" s="286"/>
    </row>
    <row r="3768">
      <c r="A3768" s="286"/>
      <c r="B3768" s="286"/>
      <c r="C3768" s="287"/>
      <c r="D3768" s="286"/>
      <c r="E3768" s="286"/>
    </row>
    <row r="3769">
      <c r="A3769" s="286"/>
      <c r="B3769" s="286"/>
      <c r="C3769" s="287"/>
      <c r="D3769" s="286"/>
      <c r="E3769" s="286"/>
    </row>
    <row r="3770">
      <c r="A3770" s="286"/>
      <c r="B3770" s="286"/>
      <c r="C3770" s="287"/>
      <c r="D3770" s="286"/>
      <c r="E3770" s="286"/>
    </row>
    <row r="3771">
      <c r="A3771" s="286"/>
      <c r="B3771" s="286"/>
      <c r="C3771" s="287"/>
      <c r="D3771" s="286"/>
      <c r="E3771" s="286"/>
    </row>
    <row r="3772">
      <c r="A3772" s="286"/>
      <c r="B3772" s="286"/>
      <c r="C3772" s="287"/>
      <c r="D3772" s="286"/>
      <c r="E3772" s="286"/>
    </row>
    <row r="3773">
      <c r="A3773" s="286"/>
      <c r="B3773" s="286"/>
      <c r="C3773" s="287"/>
      <c r="D3773" s="286"/>
      <c r="E3773" s="286"/>
    </row>
    <row r="3774">
      <c r="A3774" s="286"/>
      <c r="B3774" s="286"/>
      <c r="C3774" s="287"/>
      <c r="D3774" s="286"/>
      <c r="E3774" s="286"/>
    </row>
    <row r="3775">
      <c r="A3775" s="286"/>
      <c r="B3775" s="286"/>
      <c r="C3775" s="287"/>
      <c r="D3775" s="286"/>
      <c r="E3775" s="286"/>
    </row>
    <row r="3776">
      <c r="A3776" s="286"/>
      <c r="B3776" s="286"/>
      <c r="C3776" s="287"/>
      <c r="D3776" s="286"/>
      <c r="E3776" s="286"/>
    </row>
    <row r="3777">
      <c r="A3777" s="286"/>
      <c r="B3777" s="286"/>
      <c r="C3777" s="287"/>
      <c r="D3777" s="286"/>
      <c r="E3777" s="286"/>
    </row>
    <row r="3778">
      <c r="A3778" s="286"/>
      <c r="B3778" s="286"/>
      <c r="C3778" s="287"/>
      <c r="D3778" s="286"/>
      <c r="E3778" s="286"/>
    </row>
    <row r="3779">
      <c r="A3779" s="286"/>
      <c r="B3779" s="286"/>
      <c r="C3779" s="287"/>
      <c r="D3779" s="286"/>
      <c r="E3779" s="286"/>
    </row>
    <row r="3780">
      <c r="A3780" s="286"/>
      <c r="B3780" s="286"/>
      <c r="C3780" s="287"/>
      <c r="D3780" s="286"/>
      <c r="E3780" s="286"/>
    </row>
    <row r="3781">
      <c r="A3781" s="286"/>
      <c r="B3781" s="286"/>
      <c r="C3781" s="287"/>
      <c r="D3781" s="286"/>
      <c r="E3781" s="286"/>
    </row>
    <row r="3782">
      <c r="A3782" s="286"/>
      <c r="B3782" s="286"/>
      <c r="C3782" s="287"/>
      <c r="D3782" s="286"/>
      <c r="E3782" s="286"/>
    </row>
    <row r="3783">
      <c r="A3783" s="286"/>
      <c r="B3783" s="286"/>
      <c r="C3783" s="287"/>
      <c r="D3783" s="286"/>
      <c r="E3783" s="286"/>
    </row>
    <row r="3784">
      <c r="A3784" s="286"/>
      <c r="B3784" s="286"/>
      <c r="C3784" s="287"/>
      <c r="D3784" s="286"/>
      <c r="E3784" s="286"/>
    </row>
    <row r="3785">
      <c r="A3785" s="286"/>
      <c r="B3785" s="286"/>
      <c r="C3785" s="287"/>
      <c r="D3785" s="286"/>
      <c r="E3785" s="286"/>
    </row>
    <row r="3786">
      <c r="A3786" s="286"/>
      <c r="B3786" s="286"/>
      <c r="C3786" s="287"/>
      <c r="D3786" s="286"/>
      <c r="E3786" s="286"/>
    </row>
    <row r="3787">
      <c r="A3787" s="286"/>
      <c r="B3787" s="286"/>
      <c r="C3787" s="287"/>
      <c r="D3787" s="286"/>
      <c r="E3787" s="286"/>
    </row>
    <row r="3788">
      <c r="A3788" s="286"/>
      <c r="B3788" s="286"/>
      <c r="C3788" s="287"/>
      <c r="D3788" s="286"/>
      <c r="E3788" s="286"/>
    </row>
    <row r="3789">
      <c r="A3789" s="286"/>
      <c r="B3789" s="286"/>
      <c r="C3789" s="287"/>
      <c r="D3789" s="286"/>
      <c r="E3789" s="286"/>
    </row>
    <row r="3790">
      <c r="A3790" s="286"/>
      <c r="B3790" s="286"/>
      <c r="C3790" s="287"/>
      <c r="D3790" s="286"/>
      <c r="E3790" s="286"/>
    </row>
    <row r="3791">
      <c r="A3791" s="286"/>
      <c r="B3791" s="286"/>
      <c r="C3791" s="287"/>
      <c r="D3791" s="286"/>
      <c r="E3791" s="286"/>
    </row>
    <row r="3792">
      <c r="A3792" s="286"/>
      <c r="B3792" s="286"/>
      <c r="C3792" s="287"/>
      <c r="D3792" s="286"/>
      <c r="E3792" s="286"/>
    </row>
    <row r="3793">
      <c r="A3793" s="286"/>
      <c r="B3793" s="286"/>
      <c r="C3793" s="287"/>
      <c r="D3793" s="286"/>
      <c r="E3793" s="286"/>
    </row>
    <row r="3794">
      <c r="A3794" s="286"/>
      <c r="B3794" s="286"/>
      <c r="C3794" s="287"/>
      <c r="D3794" s="286"/>
      <c r="E3794" s="286"/>
    </row>
    <row r="3795">
      <c r="A3795" s="286"/>
      <c r="B3795" s="286"/>
      <c r="C3795" s="287"/>
      <c r="D3795" s="286"/>
      <c r="E3795" s="286"/>
    </row>
    <row r="3796">
      <c r="A3796" s="286"/>
      <c r="B3796" s="286"/>
      <c r="C3796" s="287"/>
      <c r="D3796" s="286"/>
      <c r="E3796" s="286"/>
    </row>
    <row r="3797">
      <c r="A3797" s="286"/>
      <c r="B3797" s="286"/>
      <c r="C3797" s="287"/>
      <c r="D3797" s="286"/>
      <c r="E3797" s="286"/>
    </row>
    <row r="3798">
      <c r="A3798" s="286"/>
      <c r="B3798" s="286"/>
      <c r="C3798" s="287"/>
      <c r="D3798" s="286"/>
      <c r="E3798" s="286"/>
    </row>
    <row r="3799">
      <c r="A3799" s="286"/>
      <c r="B3799" s="286"/>
      <c r="C3799" s="287"/>
      <c r="D3799" s="286"/>
      <c r="E3799" s="286"/>
    </row>
    <row r="3800">
      <c r="A3800" s="286"/>
      <c r="B3800" s="286"/>
      <c r="C3800" s="287"/>
      <c r="D3800" s="286"/>
      <c r="E3800" s="286"/>
    </row>
    <row r="3801">
      <c r="A3801" s="286"/>
      <c r="B3801" s="286"/>
      <c r="C3801" s="287"/>
      <c r="D3801" s="286"/>
      <c r="E3801" s="286"/>
    </row>
    <row r="3802">
      <c r="A3802" s="286"/>
      <c r="B3802" s="286"/>
      <c r="C3802" s="287"/>
      <c r="D3802" s="286"/>
      <c r="E3802" s="286"/>
    </row>
    <row r="3803">
      <c r="A3803" s="286"/>
      <c r="B3803" s="286"/>
      <c r="C3803" s="287"/>
      <c r="D3803" s="286"/>
      <c r="E3803" s="286"/>
    </row>
    <row r="3804">
      <c r="A3804" s="286"/>
      <c r="B3804" s="286"/>
      <c r="C3804" s="287"/>
      <c r="D3804" s="286"/>
      <c r="E3804" s="286"/>
    </row>
    <row r="3805">
      <c r="A3805" s="286"/>
      <c r="B3805" s="286"/>
      <c r="C3805" s="287"/>
      <c r="D3805" s="286"/>
      <c r="E3805" s="286"/>
    </row>
    <row r="3806">
      <c r="A3806" s="286"/>
      <c r="B3806" s="286"/>
      <c r="C3806" s="287"/>
      <c r="D3806" s="286"/>
      <c r="E3806" s="286"/>
    </row>
    <row r="3807">
      <c r="A3807" s="286"/>
      <c r="B3807" s="286"/>
      <c r="C3807" s="287"/>
      <c r="D3807" s="286"/>
      <c r="E3807" s="286"/>
    </row>
    <row r="3808">
      <c r="A3808" s="286"/>
      <c r="B3808" s="286"/>
      <c r="C3808" s="287"/>
      <c r="D3808" s="286"/>
      <c r="E3808" s="286"/>
    </row>
    <row r="3809">
      <c r="A3809" s="286"/>
      <c r="B3809" s="286"/>
      <c r="C3809" s="287"/>
      <c r="D3809" s="286"/>
      <c r="E3809" s="286"/>
    </row>
    <row r="3810">
      <c r="A3810" s="286"/>
      <c r="B3810" s="286"/>
      <c r="C3810" s="287"/>
      <c r="D3810" s="286"/>
      <c r="E3810" s="286"/>
    </row>
    <row r="3811">
      <c r="A3811" s="286"/>
      <c r="B3811" s="286"/>
      <c r="C3811" s="287"/>
      <c r="D3811" s="286"/>
      <c r="E3811" s="286"/>
    </row>
    <row r="3812">
      <c r="A3812" s="286"/>
      <c r="B3812" s="286"/>
      <c r="C3812" s="287"/>
      <c r="D3812" s="286"/>
      <c r="E3812" s="286"/>
    </row>
    <row r="3813">
      <c r="A3813" s="286"/>
      <c r="B3813" s="286"/>
      <c r="C3813" s="287"/>
      <c r="D3813" s="286"/>
      <c r="E3813" s="286"/>
    </row>
    <row r="3814">
      <c r="A3814" s="286"/>
      <c r="B3814" s="286"/>
      <c r="C3814" s="287"/>
      <c r="D3814" s="286"/>
      <c r="E3814" s="286"/>
    </row>
    <row r="3815">
      <c r="A3815" s="286"/>
      <c r="B3815" s="286"/>
      <c r="C3815" s="287"/>
      <c r="D3815" s="286"/>
      <c r="E3815" s="286"/>
    </row>
    <row r="3816">
      <c r="A3816" s="286"/>
      <c r="B3816" s="286"/>
      <c r="C3816" s="287"/>
      <c r="D3816" s="286"/>
      <c r="E3816" s="286"/>
    </row>
    <row r="3817">
      <c r="A3817" s="286"/>
      <c r="B3817" s="286"/>
      <c r="C3817" s="287"/>
      <c r="D3817" s="286"/>
      <c r="E3817" s="286"/>
    </row>
    <row r="3818">
      <c r="A3818" s="286"/>
      <c r="B3818" s="286"/>
      <c r="C3818" s="287"/>
      <c r="D3818" s="286"/>
      <c r="E3818" s="286"/>
    </row>
    <row r="3819">
      <c r="A3819" s="286"/>
      <c r="B3819" s="286"/>
      <c r="C3819" s="287"/>
      <c r="D3819" s="286"/>
      <c r="E3819" s="286"/>
    </row>
    <row r="3820">
      <c r="A3820" s="286"/>
      <c r="B3820" s="286"/>
      <c r="C3820" s="287"/>
      <c r="D3820" s="286"/>
      <c r="E3820" s="286"/>
    </row>
    <row r="3821">
      <c r="A3821" s="286"/>
      <c r="B3821" s="286"/>
      <c r="C3821" s="287"/>
      <c r="D3821" s="286"/>
      <c r="E3821" s="286"/>
    </row>
    <row r="3822">
      <c r="A3822" s="286"/>
      <c r="B3822" s="286"/>
      <c r="C3822" s="287"/>
      <c r="D3822" s="286"/>
      <c r="E3822" s="286"/>
    </row>
    <row r="3823">
      <c r="A3823" s="286"/>
      <c r="B3823" s="286"/>
      <c r="C3823" s="287"/>
      <c r="D3823" s="286"/>
      <c r="E3823" s="286"/>
    </row>
    <row r="3824">
      <c r="A3824" s="286"/>
      <c r="B3824" s="286"/>
      <c r="C3824" s="287"/>
      <c r="D3824" s="286"/>
      <c r="E3824" s="286"/>
    </row>
    <row r="3825">
      <c r="A3825" s="286"/>
      <c r="B3825" s="286"/>
      <c r="C3825" s="287"/>
      <c r="D3825" s="286"/>
      <c r="E3825" s="286"/>
    </row>
    <row r="3826">
      <c r="A3826" s="286"/>
      <c r="B3826" s="286"/>
      <c r="C3826" s="287"/>
      <c r="D3826" s="286"/>
      <c r="E3826" s="286"/>
    </row>
    <row r="3827">
      <c r="A3827" s="286"/>
      <c r="B3827" s="286"/>
      <c r="C3827" s="287"/>
      <c r="D3827" s="286"/>
      <c r="E3827" s="286"/>
    </row>
    <row r="3828">
      <c r="A3828" s="286"/>
      <c r="B3828" s="286"/>
      <c r="C3828" s="287"/>
      <c r="D3828" s="286"/>
      <c r="E3828" s="286"/>
    </row>
    <row r="3829">
      <c r="A3829" s="286"/>
      <c r="B3829" s="286"/>
      <c r="C3829" s="287"/>
      <c r="D3829" s="286"/>
      <c r="E3829" s="286"/>
    </row>
    <row r="3830">
      <c r="A3830" s="286"/>
      <c r="B3830" s="286"/>
      <c r="C3830" s="287"/>
      <c r="D3830" s="286"/>
      <c r="E3830" s="286"/>
    </row>
    <row r="3831">
      <c r="A3831" s="286"/>
      <c r="B3831" s="286"/>
      <c r="C3831" s="287"/>
      <c r="D3831" s="286"/>
      <c r="E3831" s="286"/>
    </row>
    <row r="3832">
      <c r="A3832" s="286"/>
      <c r="B3832" s="286"/>
      <c r="C3832" s="287"/>
      <c r="D3832" s="286"/>
      <c r="E3832" s="286"/>
    </row>
    <row r="3833">
      <c r="A3833" s="286"/>
      <c r="B3833" s="286"/>
      <c r="C3833" s="287"/>
      <c r="D3833" s="286"/>
      <c r="E3833" s="286"/>
    </row>
    <row r="3834">
      <c r="A3834" s="286"/>
      <c r="B3834" s="286"/>
      <c r="C3834" s="287"/>
      <c r="D3834" s="286"/>
      <c r="E3834" s="286"/>
    </row>
    <row r="3835">
      <c r="A3835" s="286"/>
      <c r="B3835" s="286"/>
      <c r="C3835" s="287"/>
      <c r="D3835" s="286"/>
      <c r="E3835" s="286"/>
    </row>
    <row r="3836">
      <c r="A3836" s="286"/>
      <c r="B3836" s="286"/>
      <c r="C3836" s="287"/>
      <c r="D3836" s="286"/>
      <c r="E3836" s="286"/>
    </row>
    <row r="3837">
      <c r="A3837" s="286"/>
      <c r="B3837" s="286"/>
      <c r="C3837" s="287"/>
      <c r="D3837" s="286"/>
      <c r="E3837" s="286"/>
    </row>
    <row r="3838">
      <c r="A3838" s="286"/>
      <c r="B3838" s="286"/>
      <c r="C3838" s="287"/>
      <c r="D3838" s="286"/>
      <c r="E3838" s="286"/>
    </row>
    <row r="3839">
      <c r="A3839" s="286"/>
      <c r="B3839" s="286"/>
      <c r="C3839" s="287"/>
      <c r="D3839" s="286"/>
      <c r="E3839" s="286"/>
    </row>
    <row r="3840">
      <c r="A3840" s="286"/>
      <c r="B3840" s="286"/>
      <c r="C3840" s="287"/>
      <c r="D3840" s="286"/>
      <c r="E3840" s="286"/>
    </row>
    <row r="3841">
      <c r="A3841" s="286"/>
      <c r="B3841" s="286"/>
      <c r="C3841" s="287"/>
      <c r="D3841" s="286"/>
      <c r="E3841" s="286"/>
    </row>
    <row r="3842">
      <c r="A3842" s="286"/>
      <c r="B3842" s="286"/>
      <c r="C3842" s="287"/>
      <c r="D3842" s="286"/>
      <c r="E3842" s="286"/>
    </row>
    <row r="3843">
      <c r="A3843" s="286"/>
      <c r="B3843" s="286"/>
      <c r="C3843" s="287"/>
      <c r="D3843" s="286"/>
      <c r="E3843" s="286"/>
    </row>
    <row r="3844">
      <c r="A3844" s="286"/>
      <c r="B3844" s="286"/>
      <c r="C3844" s="287"/>
      <c r="D3844" s="286"/>
      <c r="E3844" s="286"/>
    </row>
    <row r="3845">
      <c r="A3845" s="286"/>
      <c r="B3845" s="286"/>
      <c r="C3845" s="287"/>
      <c r="D3845" s="286"/>
      <c r="E3845" s="286"/>
    </row>
    <row r="3846">
      <c r="A3846" s="286"/>
      <c r="B3846" s="286"/>
      <c r="C3846" s="287"/>
      <c r="D3846" s="286"/>
      <c r="E3846" s="286"/>
    </row>
    <row r="3847">
      <c r="A3847" s="286"/>
      <c r="B3847" s="286"/>
      <c r="C3847" s="287"/>
      <c r="D3847" s="286"/>
      <c r="E3847" s="286"/>
    </row>
    <row r="3848">
      <c r="A3848" s="286"/>
      <c r="B3848" s="286"/>
      <c r="C3848" s="287"/>
      <c r="D3848" s="286"/>
      <c r="E3848" s="286"/>
    </row>
    <row r="3849">
      <c r="A3849" s="286"/>
      <c r="B3849" s="286"/>
      <c r="C3849" s="287"/>
      <c r="D3849" s="286"/>
      <c r="E3849" s="286"/>
    </row>
    <row r="3850">
      <c r="A3850" s="286"/>
      <c r="B3850" s="286"/>
      <c r="C3850" s="287"/>
      <c r="D3850" s="286"/>
      <c r="E3850" s="286"/>
    </row>
    <row r="3851">
      <c r="A3851" s="286"/>
      <c r="B3851" s="286"/>
      <c r="C3851" s="287"/>
      <c r="D3851" s="286"/>
      <c r="E3851" s="286"/>
    </row>
    <row r="3852">
      <c r="A3852" s="286"/>
      <c r="B3852" s="286"/>
      <c r="C3852" s="287"/>
      <c r="D3852" s="286"/>
      <c r="E3852" s="286"/>
    </row>
    <row r="3853">
      <c r="A3853" s="286"/>
      <c r="B3853" s="286"/>
      <c r="C3853" s="287"/>
      <c r="D3853" s="286"/>
      <c r="E3853" s="286"/>
    </row>
    <row r="3854">
      <c r="A3854" s="286"/>
      <c r="B3854" s="286"/>
      <c r="C3854" s="287"/>
      <c r="D3854" s="286"/>
      <c r="E3854" s="286"/>
    </row>
    <row r="3855">
      <c r="A3855" s="286"/>
      <c r="B3855" s="286"/>
      <c r="C3855" s="287"/>
      <c r="D3855" s="286"/>
      <c r="E3855" s="286"/>
    </row>
    <row r="3856">
      <c r="A3856" s="286"/>
      <c r="B3856" s="286"/>
      <c r="C3856" s="287"/>
      <c r="D3856" s="286"/>
      <c r="E3856" s="286"/>
    </row>
    <row r="3857">
      <c r="A3857" s="286"/>
      <c r="B3857" s="286"/>
      <c r="C3857" s="287"/>
      <c r="D3857" s="286"/>
      <c r="E3857" s="286"/>
    </row>
    <row r="3858">
      <c r="A3858" s="286"/>
      <c r="B3858" s="286"/>
      <c r="C3858" s="287"/>
      <c r="D3858" s="286"/>
      <c r="E3858" s="286"/>
    </row>
    <row r="3859">
      <c r="A3859" s="286"/>
      <c r="B3859" s="286"/>
      <c r="C3859" s="287"/>
      <c r="D3859" s="286"/>
      <c r="E3859" s="286"/>
    </row>
    <row r="3860">
      <c r="A3860" s="286"/>
      <c r="B3860" s="286"/>
      <c r="C3860" s="287"/>
      <c r="D3860" s="286"/>
      <c r="E3860" s="286"/>
    </row>
    <row r="3861">
      <c r="A3861" s="286"/>
      <c r="B3861" s="286"/>
      <c r="C3861" s="287"/>
      <c r="D3861" s="286"/>
      <c r="E3861" s="286"/>
    </row>
    <row r="3862">
      <c r="A3862" s="286"/>
      <c r="B3862" s="286"/>
      <c r="C3862" s="287"/>
      <c r="D3862" s="286"/>
      <c r="E3862" s="286"/>
    </row>
    <row r="3863">
      <c r="A3863" s="286"/>
      <c r="B3863" s="286"/>
      <c r="C3863" s="287"/>
      <c r="D3863" s="286"/>
      <c r="E3863" s="286"/>
    </row>
    <row r="3864">
      <c r="A3864" s="286"/>
      <c r="B3864" s="286"/>
      <c r="C3864" s="287"/>
      <c r="D3864" s="286"/>
      <c r="E3864" s="286"/>
    </row>
    <row r="3865">
      <c r="A3865" s="286"/>
      <c r="B3865" s="286"/>
      <c r="C3865" s="287"/>
      <c r="D3865" s="286"/>
      <c r="E3865" s="286"/>
    </row>
    <row r="3866">
      <c r="A3866" s="286"/>
      <c r="B3866" s="286"/>
      <c r="C3866" s="287"/>
      <c r="D3866" s="286"/>
      <c r="E3866" s="286"/>
    </row>
    <row r="3867">
      <c r="A3867" s="286"/>
      <c r="B3867" s="286"/>
      <c r="C3867" s="287"/>
      <c r="D3867" s="286"/>
      <c r="E3867" s="286"/>
    </row>
    <row r="3868">
      <c r="A3868" s="286"/>
      <c r="B3868" s="286"/>
      <c r="C3868" s="287"/>
      <c r="D3868" s="286"/>
      <c r="E3868" s="286"/>
    </row>
    <row r="3869">
      <c r="A3869" s="286"/>
      <c r="B3869" s="286"/>
      <c r="C3869" s="287"/>
      <c r="D3869" s="286"/>
      <c r="E3869" s="286"/>
    </row>
    <row r="3870">
      <c r="A3870" s="286"/>
      <c r="B3870" s="286"/>
      <c r="C3870" s="287"/>
      <c r="D3870" s="286"/>
      <c r="E3870" s="286"/>
    </row>
    <row r="3871">
      <c r="A3871" s="286"/>
      <c r="B3871" s="286"/>
      <c r="C3871" s="287"/>
      <c r="D3871" s="286"/>
      <c r="E3871" s="286"/>
    </row>
    <row r="3872">
      <c r="A3872" s="286"/>
      <c r="B3872" s="286"/>
      <c r="C3872" s="287"/>
      <c r="D3872" s="286"/>
      <c r="E3872" s="286"/>
    </row>
    <row r="3873">
      <c r="A3873" s="286"/>
      <c r="B3873" s="286"/>
      <c r="C3873" s="287"/>
      <c r="D3873" s="286"/>
      <c r="E3873" s="286"/>
    </row>
    <row r="3874">
      <c r="A3874" s="286"/>
      <c r="B3874" s="286"/>
      <c r="C3874" s="287"/>
      <c r="D3874" s="286"/>
      <c r="E3874" s="286"/>
    </row>
    <row r="3875">
      <c r="A3875" s="286"/>
      <c r="B3875" s="286"/>
      <c r="C3875" s="287"/>
      <c r="D3875" s="286"/>
      <c r="E3875" s="286"/>
    </row>
    <row r="3876">
      <c r="A3876" s="286"/>
      <c r="B3876" s="286"/>
      <c r="C3876" s="287"/>
      <c r="D3876" s="286"/>
      <c r="E3876" s="286"/>
    </row>
    <row r="3877">
      <c r="A3877" s="286"/>
      <c r="B3877" s="286"/>
      <c r="C3877" s="287"/>
      <c r="D3877" s="286"/>
      <c r="E3877" s="286"/>
    </row>
    <row r="3878">
      <c r="A3878" s="286"/>
      <c r="B3878" s="286"/>
      <c r="C3878" s="287"/>
      <c r="D3878" s="286"/>
      <c r="E3878" s="286"/>
    </row>
    <row r="3879">
      <c r="A3879" s="286"/>
      <c r="B3879" s="286"/>
      <c r="C3879" s="287"/>
      <c r="D3879" s="286"/>
      <c r="E3879" s="286"/>
    </row>
    <row r="3880">
      <c r="A3880" s="286"/>
      <c r="B3880" s="286"/>
      <c r="C3880" s="287"/>
      <c r="D3880" s="286"/>
      <c r="E3880" s="286"/>
    </row>
    <row r="3881">
      <c r="A3881" s="286"/>
      <c r="B3881" s="286"/>
      <c r="C3881" s="287"/>
      <c r="D3881" s="286"/>
      <c r="E3881" s="286"/>
    </row>
    <row r="3882">
      <c r="A3882" s="286"/>
      <c r="B3882" s="286"/>
      <c r="C3882" s="287"/>
      <c r="D3882" s="286"/>
      <c r="E3882" s="286"/>
    </row>
    <row r="3883">
      <c r="A3883" s="286"/>
      <c r="B3883" s="286"/>
      <c r="C3883" s="287"/>
      <c r="D3883" s="286"/>
      <c r="E3883" s="286"/>
    </row>
    <row r="3884">
      <c r="A3884" s="286"/>
      <c r="B3884" s="286"/>
      <c r="C3884" s="287"/>
      <c r="D3884" s="286"/>
      <c r="E3884" s="286"/>
    </row>
    <row r="3885">
      <c r="A3885" s="286"/>
      <c r="B3885" s="286"/>
      <c r="C3885" s="287"/>
      <c r="D3885" s="286"/>
      <c r="E3885" s="286"/>
    </row>
    <row r="3886">
      <c r="A3886" s="286"/>
      <c r="B3886" s="286"/>
      <c r="C3886" s="287"/>
      <c r="D3886" s="286"/>
      <c r="E3886" s="286"/>
    </row>
    <row r="3887">
      <c r="A3887" s="286"/>
      <c r="B3887" s="286"/>
      <c r="C3887" s="287"/>
      <c r="D3887" s="286"/>
      <c r="E3887" s="286"/>
    </row>
    <row r="3888">
      <c r="A3888" s="286"/>
      <c r="B3888" s="286"/>
      <c r="C3888" s="287"/>
      <c r="D3888" s="286"/>
      <c r="E3888" s="286"/>
    </row>
    <row r="3889">
      <c r="A3889" s="286"/>
      <c r="B3889" s="286"/>
      <c r="C3889" s="287"/>
      <c r="D3889" s="286"/>
      <c r="E3889" s="286"/>
    </row>
    <row r="3890">
      <c r="A3890" s="286"/>
      <c r="B3890" s="286"/>
      <c r="C3890" s="287"/>
      <c r="D3890" s="286"/>
      <c r="E3890" s="286"/>
    </row>
    <row r="3891">
      <c r="A3891" s="286"/>
      <c r="B3891" s="286"/>
      <c r="C3891" s="287"/>
      <c r="D3891" s="286"/>
      <c r="E3891" s="286"/>
    </row>
    <row r="3892">
      <c r="A3892" s="286"/>
      <c r="B3892" s="286"/>
      <c r="C3892" s="287"/>
      <c r="D3892" s="286"/>
      <c r="E3892" s="286"/>
    </row>
    <row r="3893">
      <c r="A3893" s="286"/>
      <c r="B3893" s="286"/>
      <c r="C3893" s="287"/>
      <c r="D3893" s="286"/>
      <c r="E3893" s="286"/>
    </row>
    <row r="3894">
      <c r="A3894" s="286"/>
      <c r="B3894" s="286"/>
      <c r="C3894" s="287"/>
      <c r="D3894" s="286"/>
      <c r="E3894" s="286"/>
    </row>
    <row r="3895">
      <c r="A3895" s="286"/>
      <c r="B3895" s="286"/>
      <c r="C3895" s="287"/>
      <c r="D3895" s="286"/>
      <c r="E3895" s="286"/>
    </row>
    <row r="3896">
      <c r="A3896" s="286"/>
      <c r="B3896" s="286"/>
      <c r="C3896" s="287"/>
      <c r="D3896" s="286"/>
      <c r="E3896" s="286"/>
    </row>
    <row r="3897">
      <c r="A3897" s="286"/>
      <c r="B3897" s="286"/>
      <c r="C3897" s="287"/>
      <c r="D3897" s="286"/>
      <c r="E3897" s="286"/>
    </row>
    <row r="3898">
      <c r="A3898" s="286"/>
      <c r="B3898" s="286"/>
      <c r="C3898" s="287"/>
      <c r="D3898" s="286"/>
      <c r="E3898" s="286"/>
    </row>
    <row r="3899">
      <c r="A3899" s="286"/>
      <c r="B3899" s="286"/>
      <c r="C3899" s="287"/>
      <c r="D3899" s="286"/>
      <c r="E3899" s="286"/>
    </row>
    <row r="3900">
      <c r="A3900" s="286"/>
      <c r="B3900" s="286"/>
      <c r="C3900" s="287"/>
      <c r="D3900" s="286"/>
      <c r="E3900" s="286"/>
    </row>
    <row r="3901">
      <c r="A3901" s="286"/>
      <c r="B3901" s="286"/>
      <c r="C3901" s="287"/>
      <c r="D3901" s="286"/>
      <c r="E3901" s="286"/>
    </row>
    <row r="3902">
      <c r="A3902" s="286"/>
      <c r="B3902" s="286"/>
      <c r="C3902" s="287"/>
      <c r="D3902" s="286"/>
      <c r="E3902" s="286"/>
    </row>
    <row r="3903">
      <c r="A3903" s="286"/>
      <c r="B3903" s="286"/>
      <c r="C3903" s="287"/>
      <c r="D3903" s="286"/>
      <c r="E3903" s="286"/>
    </row>
    <row r="3904">
      <c r="A3904" s="286"/>
      <c r="B3904" s="286"/>
      <c r="C3904" s="287"/>
      <c r="D3904" s="286"/>
      <c r="E3904" s="286"/>
    </row>
    <row r="3905">
      <c r="A3905" s="286"/>
      <c r="B3905" s="286"/>
      <c r="C3905" s="287"/>
      <c r="D3905" s="286"/>
      <c r="E3905" s="286"/>
    </row>
    <row r="3906">
      <c r="A3906" s="286"/>
      <c r="B3906" s="286"/>
      <c r="C3906" s="287"/>
      <c r="D3906" s="286"/>
      <c r="E3906" s="286"/>
    </row>
    <row r="3907">
      <c r="A3907" s="286"/>
      <c r="B3907" s="286"/>
      <c r="C3907" s="287"/>
      <c r="D3907" s="286"/>
      <c r="E3907" s="286"/>
    </row>
    <row r="3908">
      <c r="A3908" s="286"/>
      <c r="B3908" s="286"/>
      <c r="C3908" s="287"/>
      <c r="D3908" s="286"/>
      <c r="E3908" s="286"/>
    </row>
    <row r="3909">
      <c r="A3909" s="286"/>
      <c r="B3909" s="286"/>
      <c r="C3909" s="287"/>
      <c r="D3909" s="286"/>
      <c r="E3909" s="286"/>
    </row>
    <row r="3910">
      <c r="A3910" s="286"/>
      <c r="B3910" s="286"/>
      <c r="C3910" s="287"/>
      <c r="D3910" s="286"/>
      <c r="E3910" s="286"/>
    </row>
    <row r="3911">
      <c r="A3911" s="286"/>
      <c r="B3911" s="286"/>
      <c r="C3911" s="287"/>
      <c r="D3911" s="286"/>
      <c r="E3911" s="286"/>
    </row>
    <row r="3912">
      <c r="A3912" s="286"/>
      <c r="B3912" s="286"/>
      <c r="C3912" s="287"/>
      <c r="D3912" s="286"/>
      <c r="E3912" s="286"/>
    </row>
    <row r="3913">
      <c r="A3913" s="286"/>
      <c r="B3913" s="286"/>
      <c r="C3913" s="287"/>
      <c r="D3913" s="286"/>
      <c r="E3913" s="286"/>
    </row>
    <row r="3914">
      <c r="A3914" s="286"/>
      <c r="B3914" s="286"/>
      <c r="C3914" s="287"/>
      <c r="D3914" s="286"/>
      <c r="E3914" s="286"/>
    </row>
    <row r="3915">
      <c r="A3915" s="286"/>
      <c r="B3915" s="286"/>
      <c r="C3915" s="287"/>
      <c r="D3915" s="286"/>
      <c r="E3915" s="286"/>
    </row>
    <row r="3916">
      <c r="A3916" s="286"/>
      <c r="B3916" s="286"/>
      <c r="C3916" s="287"/>
      <c r="D3916" s="286"/>
      <c r="E3916" s="286"/>
    </row>
    <row r="3917">
      <c r="A3917" s="286"/>
      <c r="B3917" s="286"/>
      <c r="C3917" s="287"/>
      <c r="D3917" s="286"/>
      <c r="E3917" s="286"/>
    </row>
    <row r="3918">
      <c r="A3918" s="286"/>
      <c r="B3918" s="286"/>
      <c r="C3918" s="287"/>
      <c r="D3918" s="286"/>
      <c r="E3918" s="286"/>
    </row>
    <row r="3919">
      <c r="A3919" s="286"/>
      <c r="B3919" s="286"/>
      <c r="C3919" s="287"/>
      <c r="D3919" s="286"/>
      <c r="E3919" s="286"/>
    </row>
    <row r="3920">
      <c r="A3920" s="286"/>
      <c r="B3920" s="286"/>
      <c r="C3920" s="287"/>
      <c r="D3920" s="286"/>
      <c r="E3920" s="286"/>
    </row>
    <row r="3921">
      <c r="A3921" s="286"/>
      <c r="B3921" s="286"/>
      <c r="C3921" s="287"/>
      <c r="D3921" s="286"/>
      <c r="E3921" s="286"/>
    </row>
    <row r="3922">
      <c r="A3922" s="286"/>
      <c r="B3922" s="286"/>
      <c r="C3922" s="287"/>
      <c r="D3922" s="286"/>
      <c r="E3922" s="286"/>
    </row>
    <row r="3923">
      <c r="A3923" s="286"/>
      <c r="B3923" s="286"/>
      <c r="C3923" s="287"/>
      <c r="D3923" s="286"/>
      <c r="E3923" s="286"/>
    </row>
    <row r="3924">
      <c r="A3924" s="286"/>
      <c r="B3924" s="286"/>
      <c r="C3924" s="287"/>
      <c r="D3924" s="286"/>
      <c r="E3924" s="286"/>
    </row>
    <row r="3925">
      <c r="A3925" s="286"/>
      <c r="B3925" s="286"/>
      <c r="C3925" s="287"/>
      <c r="D3925" s="286"/>
      <c r="E3925" s="286"/>
    </row>
    <row r="3926">
      <c r="A3926" s="286"/>
      <c r="B3926" s="286"/>
      <c r="C3926" s="287"/>
      <c r="D3926" s="286"/>
      <c r="E3926" s="286"/>
    </row>
    <row r="3927">
      <c r="A3927" s="286"/>
      <c r="B3927" s="286"/>
      <c r="C3927" s="287"/>
      <c r="D3927" s="286"/>
      <c r="E3927" s="286"/>
    </row>
    <row r="3928">
      <c r="A3928" s="286"/>
      <c r="B3928" s="286"/>
      <c r="C3928" s="287"/>
      <c r="D3928" s="286"/>
      <c r="E3928" s="286"/>
    </row>
    <row r="3929">
      <c r="A3929" s="286"/>
      <c r="B3929" s="286"/>
      <c r="C3929" s="287"/>
      <c r="D3929" s="286"/>
      <c r="E3929" s="286"/>
    </row>
    <row r="3930">
      <c r="A3930" s="286"/>
      <c r="B3930" s="286"/>
      <c r="C3930" s="287"/>
      <c r="D3930" s="286"/>
      <c r="E3930" s="286"/>
    </row>
    <row r="3931">
      <c r="A3931" s="286"/>
      <c r="B3931" s="286"/>
      <c r="C3931" s="287"/>
      <c r="D3931" s="286"/>
      <c r="E3931" s="286"/>
    </row>
    <row r="3932">
      <c r="A3932" s="286"/>
      <c r="B3932" s="286"/>
      <c r="C3932" s="287"/>
      <c r="D3932" s="286"/>
      <c r="E3932" s="286"/>
    </row>
    <row r="3933">
      <c r="A3933" s="286"/>
      <c r="B3933" s="286"/>
      <c r="C3933" s="287"/>
      <c r="D3933" s="286"/>
      <c r="E3933" s="286"/>
    </row>
    <row r="3934">
      <c r="A3934" s="286"/>
      <c r="B3934" s="286"/>
      <c r="C3934" s="287"/>
      <c r="D3934" s="286"/>
      <c r="E3934" s="286"/>
    </row>
    <row r="3935">
      <c r="A3935" s="286"/>
      <c r="B3935" s="286"/>
      <c r="C3935" s="287"/>
      <c r="D3935" s="286"/>
      <c r="E3935" s="286"/>
    </row>
    <row r="3936">
      <c r="A3936" s="286"/>
      <c r="B3936" s="286"/>
      <c r="C3936" s="287"/>
      <c r="D3936" s="286"/>
      <c r="E3936" s="286"/>
    </row>
    <row r="3937">
      <c r="A3937" s="286"/>
      <c r="B3937" s="286"/>
      <c r="C3937" s="287"/>
      <c r="D3937" s="286"/>
      <c r="E3937" s="286"/>
    </row>
    <row r="3938">
      <c r="A3938" s="286"/>
      <c r="B3938" s="286"/>
      <c r="C3938" s="287"/>
      <c r="D3938" s="286"/>
      <c r="E3938" s="286"/>
    </row>
    <row r="3939">
      <c r="A3939" s="286"/>
      <c r="B3939" s="286"/>
      <c r="C3939" s="287"/>
      <c r="D3939" s="286"/>
      <c r="E3939" s="286"/>
    </row>
    <row r="3940">
      <c r="A3940" s="286"/>
      <c r="B3940" s="286"/>
      <c r="C3940" s="287"/>
      <c r="D3940" s="286"/>
      <c r="E3940" s="286"/>
    </row>
    <row r="3941">
      <c r="A3941" s="286"/>
      <c r="B3941" s="286"/>
      <c r="C3941" s="287"/>
      <c r="D3941" s="286"/>
      <c r="E3941" s="286"/>
    </row>
    <row r="3942">
      <c r="A3942" s="286"/>
      <c r="B3942" s="286"/>
      <c r="C3942" s="287"/>
      <c r="D3942" s="286"/>
      <c r="E3942" s="286"/>
    </row>
    <row r="3943">
      <c r="A3943" s="286"/>
      <c r="B3943" s="286"/>
      <c r="C3943" s="287"/>
      <c r="D3943" s="286"/>
      <c r="E3943" s="286"/>
    </row>
    <row r="3944">
      <c r="A3944" s="286"/>
      <c r="B3944" s="286"/>
      <c r="C3944" s="287"/>
      <c r="D3944" s="286"/>
      <c r="E3944" s="286"/>
    </row>
    <row r="3945">
      <c r="A3945" s="286"/>
      <c r="B3945" s="286"/>
      <c r="C3945" s="287"/>
      <c r="D3945" s="286"/>
      <c r="E3945" s="286"/>
    </row>
    <row r="3946">
      <c r="A3946" s="286"/>
      <c r="B3946" s="286"/>
      <c r="C3946" s="287"/>
      <c r="D3946" s="286"/>
      <c r="E3946" s="286"/>
    </row>
    <row r="3947">
      <c r="A3947" s="286"/>
      <c r="B3947" s="286"/>
      <c r="C3947" s="287"/>
      <c r="D3947" s="286"/>
      <c r="E3947" s="286"/>
    </row>
    <row r="3948">
      <c r="A3948" s="286"/>
      <c r="B3948" s="286"/>
      <c r="C3948" s="287"/>
      <c r="D3948" s="286"/>
      <c r="E3948" s="286"/>
    </row>
    <row r="3949">
      <c r="A3949" s="286"/>
      <c r="B3949" s="286"/>
      <c r="C3949" s="287"/>
      <c r="D3949" s="286"/>
      <c r="E3949" s="286"/>
    </row>
    <row r="3950">
      <c r="A3950" s="286"/>
      <c r="B3950" s="286"/>
      <c r="C3950" s="287"/>
      <c r="D3950" s="286"/>
      <c r="E3950" s="286"/>
    </row>
    <row r="3951">
      <c r="A3951" s="286"/>
      <c r="B3951" s="286"/>
      <c r="C3951" s="287"/>
      <c r="D3951" s="286"/>
      <c r="E3951" s="286"/>
    </row>
    <row r="3952">
      <c r="A3952" s="286"/>
      <c r="B3952" s="286"/>
      <c r="C3952" s="287"/>
      <c r="D3952" s="286"/>
      <c r="E3952" s="286"/>
    </row>
    <row r="3953">
      <c r="A3953" s="286"/>
      <c r="B3953" s="286"/>
      <c r="C3953" s="287"/>
      <c r="D3953" s="286"/>
      <c r="E3953" s="286"/>
    </row>
    <row r="3954">
      <c r="A3954" s="286"/>
      <c r="B3954" s="286"/>
      <c r="C3954" s="287"/>
      <c r="D3954" s="286"/>
      <c r="E3954" s="286"/>
    </row>
    <row r="3955">
      <c r="A3955" s="286"/>
      <c r="B3955" s="286"/>
      <c r="C3955" s="287"/>
      <c r="D3955" s="286"/>
      <c r="E3955" s="286"/>
    </row>
    <row r="3956">
      <c r="A3956" s="286"/>
      <c r="B3956" s="286"/>
      <c r="C3956" s="287"/>
      <c r="D3956" s="286"/>
      <c r="E3956" s="286"/>
    </row>
    <row r="3957">
      <c r="A3957" s="286"/>
      <c r="B3957" s="286"/>
      <c r="C3957" s="287"/>
      <c r="D3957" s="286"/>
      <c r="E3957" s="286"/>
    </row>
    <row r="3958">
      <c r="A3958" s="286"/>
      <c r="B3958" s="286"/>
      <c r="C3958" s="287"/>
      <c r="D3958" s="286"/>
      <c r="E3958" s="286"/>
    </row>
    <row r="3959">
      <c r="A3959" s="286"/>
      <c r="B3959" s="286"/>
      <c r="C3959" s="287"/>
      <c r="D3959" s="286"/>
      <c r="E3959" s="286"/>
    </row>
    <row r="3960">
      <c r="A3960" s="286"/>
      <c r="B3960" s="286"/>
      <c r="C3960" s="287"/>
      <c r="D3960" s="286"/>
      <c r="E3960" s="286"/>
    </row>
    <row r="3961">
      <c r="A3961" s="286"/>
      <c r="B3961" s="286"/>
      <c r="C3961" s="287"/>
      <c r="D3961" s="286"/>
      <c r="E3961" s="286"/>
    </row>
    <row r="3962">
      <c r="A3962" s="286"/>
      <c r="B3962" s="286"/>
      <c r="C3962" s="287"/>
      <c r="D3962" s="286"/>
      <c r="E3962" s="286"/>
    </row>
    <row r="3963">
      <c r="A3963" s="286"/>
      <c r="B3963" s="286"/>
      <c r="C3963" s="287"/>
      <c r="D3963" s="286"/>
      <c r="E3963" s="286"/>
    </row>
    <row r="3964">
      <c r="A3964" s="286"/>
      <c r="B3964" s="286"/>
      <c r="C3964" s="287"/>
      <c r="D3964" s="286"/>
      <c r="E3964" s="286"/>
    </row>
    <row r="3965">
      <c r="A3965" s="286"/>
      <c r="B3965" s="286"/>
      <c r="C3965" s="287"/>
      <c r="D3965" s="286"/>
      <c r="E3965" s="286"/>
    </row>
    <row r="3966">
      <c r="A3966" s="286"/>
      <c r="B3966" s="286"/>
      <c r="C3966" s="287"/>
      <c r="D3966" s="286"/>
      <c r="E3966" s="286"/>
    </row>
    <row r="3967">
      <c r="A3967" s="286"/>
      <c r="B3967" s="286"/>
      <c r="C3967" s="287"/>
      <c r="D3967" s="286"/>
      <c r="E3967" s="286"/>
    </row>
    <row r="3968">
      <c r="A3968" s="286"/>
      <c r="B3968" s="286"/>
      <c r="C3968" s="287"/>
      <c r="D3968" s="286"/>
      <c r="E3968" s="286"/>
    </row>
    <row r="3969">
      <c r="A3969" s="286"/>
      <c r="B3969" s="286"/>
      <c r="C3969" s="287"/>
      <c r="D3969" s="286"/>
      <c r="E3969" s="286"/>
    </row>
    <row r="3970">
      <c r="A3970" s="286"/>
      <c r="B3970" s="286"/>
      <c r="C3970" s="287"/>
      <c r="D3970" s="286"/>
      <c r="E3970" s="286"/>
    </row>
    <row r="3971">
      <c r="A3971" s="286"/>
      <c r="B3971" s="286"/>
      <c r="C3971" s="287"/>
      <c r="D3971" s="286"/>
      <c r="E3971" s="286"/>
    </row>
    <row r="3972">
      <c r="A3972" s="286"/>
      <c r="B3972" s="286"/>
      <c r="C3972" s="287"/>
      <c r="D3972" s="286"/>
      <c r="E3972" s="286"/>
    </row>
    <row r="3973">
      <c r="A3973" s="286"/>
      <c r="B3973" s="286"/>
      <c r="C3973" s="287"/>
      <c r="D3973" s="286"/>
      <c r="E3973" s="286"/>
    </row>
    <row r="3974">
      <c r="A3974" s="286"/>
      <c r="B3974" s="286"/>
      <c r="C3974" s="287"/>
      <c r="D3974" s="286"/>
      <c r="E3974" s="286"/>
    </row>
    <row r="3975">
      <c r="A3975" s="286"/>
      <c r="B3975" s="286"/>
      <c r="C3975" s="287"/>
      <c r="D3975" s="286"/>
      <c r="E3975" s="286"/>
    </row>
    <row r="3976">
      <c r="A3976" s="286"/>
      <c r="B3976" s="286"/>
      <c r="C3976" s="287"/>
      <c r="D3976" s="286"/>
      <c r="E3976" s="286"/>
    </row>
    <row r="3977">
      <c r="A3977" s="286"/>
      <c r="B3977" s="286"/>
      <c r="C3977" s="287"/>
      <c r="D3977" s="286"/>
      <c r="E3977" s="286"/>
    </row>
    <row r="3978">
      <c r="A3978" s="286"/>
      <c r="B3978" s="286"/>
      <c r="C3978" s="287"/>
      <c r="D3978" s="286"/>
      <c r="E3978" s="286"/>
    </row>
    <row r="3979">
      <c r="A3979" s="286"/>
      <c r="B3979" s="286"/>
      <c r="C3979" s="287"/>
      <c r="D3979" s="286"/>
      <c r="E3979" s="286"/>
    </row>
    <row r="3980">
      <c r="A3980" s="286"/>
      <c r="B3980" s="286"/>
      <c r="C3980" s="287"/>
      <c r="D3980" s="286"/>
      <c r="E3980" s="286"/>
    </row>
    <row r="3981">
      <c r="A3981" s="286"/>
      <c r="B3981" s="286"/>
      <c r="C3981" s="287"/>
      <c r="D3981" s="286"/>
      <c r="E3981" s="286"/>
    </row>
    <row r="3982">
      <c r="A3982" s="286"/>
      <c r="B3982" s="286"/>
      <c r="C3982" s="287"/>
      <c r="D3982" s="286"/>
      <c r="E3982" s="286"/>
    </row>
    <row r="3983">
      <c r="A3983" s="286"/>
      <c r="B3983" s="286"/>
      <c r="C3983" s="287"/>
      <c r="D3983" s="286"/>
      <c r="E3983" s="286"/>
    </row>
    <row r="3984">
      <c r="A3984" s="286"/>
      <c r="B3984" s="286"/>
      <c r="C3984" s="287"/>
      <c r="D3984" s="286"/>
      <c r="E3984" s="286"/>
    </row>
    <row r="3985">
      <c r="A3985" s="286"/>
      <c r="B3985" s="286"/>
      <c r="C3985" s="287"/>
      <c r="D3985" s="286"/>
      <c r="E3985" s="286"/>
    </row>
    <row r="3986">
      <c r="A3986" s="286"/>
      <c r="B3986" s="286"/>
      <c r="C3986" s="287"/>
      <c r="D3986" s="286"/>
      <c r="E3986" s="286"/>
    </row>
    <row r="3987">
      <c r="A3987" s="286"/>
      <c r="B3987" s="286"/>
      <c r="C3987" s="287"/>
      <c r="D3987" s="286"/>
      <c r="E3987" s="286"/>
    </row>
    <row r="3988">
      <c r="A3988" s="286"/>
      <c r="B3988" s="286"/>
      <c r="C3988" s="287"/>
      <c r="D3988" s="286"/>
      <c r="E3988" s="286"/>
    </row>
    <row r="3989">
      <c r="A3989" s="286"/>
      <c r="B3989" s="286"/>
      <c r="C3989" s="287"/>
      <c r="D3989" s="286"/>
      <c r="E3989" s="286"/>
    </row>
    <row r="3990">
      <c r="A3990" s="286"/>
      <c r="B3990" s="286"/>
      <c r="C3990" s="287"/>
      <c r="D3990" s="286"/>
      <c r="E3990" s="286"/>
    </row>
    <row r="3991">
      <c r="A3991" s="286"/>
      <c r="B3991" s="286"/>
      <c r="C3991" s="287"/>
      <c r="D3991" s="286"/>
      <c r="E3991" s="286"/>
    </row>
    <row r="3992">
      <c r="A3992" s="286"/>
      <c r="B3992" s="286"/>
      <c r="C3992" s="287"/>
      <c r="D3992" s="286"/>
      <c r="E3992" s="286"/>
    </row>
    <row r="3993">
      <c r="A3993" s="286"/>
      <c r="B3993" s="286"/>
      <c r="C3993" s="287"/>
      <c r="D3993" s="286"/>
      <c r="E3993" s="286"/>
    </row>
    <row r="3994">
      <c r="A3994" s="286"/>
      <c r="B3994" s="286"/>
      <c r="C3994" s="287"/>
      <c r="D3994" s="286"/>
      <c r="E3994" s="286"/>
    </row>
    <row r="3995">
      <c r="A3995" s="286"/>
      <c r="B3995" s="286"/>
      <c r="C3995" s="287"/>
      <c r="D3995" s="286"/>
      <c r="E3995" s="286"/>
    </row>
    <row r="3996">
      <c r="A3996" s="286"/>
      <c r="B3996" s="286"/>
      <c r="C3996" s="287"/>
      <c r="D3996" s="286"/>
      <c r="E3996" s="286"/>
    </row>
    <row r="3997">
      <c r="A3997" s="286"/>
      <c r="B3997" s="286"/>
      <c r="C3997" s="287"/>
      <c r="D3997" s="286"/>
      <c r="E3997" s="286"/>
    </row>
    <row r="3998">
      <c r="A3998" s="286"/>
      <c r="B3998" s="286"/>
      <c r="C3998" s="287"/>
      <c r="D3998" s="286"/>
      <c r="E3998" s="286"/>
    </row>
    <row r="3999">
      <c r="A3999" s="286"/>
      <c r="B3999" s="286"/>
      <c r="C3999" s="287"/>
      <c r="D3999" s="286"/>
      <c r="E3999" s="286"/>
    </row>
    <row r="4000">
      <c r="A4000" s="286"/>
      <c r="B4000" s="286"/>
      <c r="C4000" s="287"/>
      <c r="D4000" s="286"/>
      <c r="E4000" s="286"/>
    </row>
    <row r="4001">
      <c r="A4001" s="286"/>
      <c r="B4001" s="286"/>
      <c r="C4001" s="287"/>
      <c r="D4001" s="286"/>
      <c r="E4001" s="286"/>
    </row>
    <row r="4002">
      <c r="A4002" s="286"/>
      <c r="B4002" s="286"/>
      <c r="C4002" s="287"/>
      <c r="D4002" s="286"/>
      <c r="E4002" s="286"/>
    </row>
    <row r="4003">
      <c r="A4003" s="286"/>
      <c r="B4003" s="286"/>
      <c r="C4003" s="287"/>
      <c r="D4003" s="286"/>
      <c r="E4003" s="286"/>
    </row>
    <row r="4004">
      <c r="A4004" s="286"/>
      <c r="B4004" s="286"/>
      <c r="C4004" s="287"/>
      <c r="D4004" s="286"/>
      <c r="E4004" s="286"/>
    </row>
    <row r="4005">
      <c r="A4005" s="286"/>
      <c r="B4005" s="286"/>
      <c r="C4005" s="287"/>
      <c r="D4005" s="286"/>
      <c r="E4005" s="286"/>
    </row>
    <row r="4006">
      <c r="A4006" s="286"/>
      <c r="B4006" s="286"/>
      <c r="C4006" s="287"/>
      <c r="D4006" s="286"/>
      <c r="E4006" s="286"/>
    </row>
    <row r="4007">
      <c r="A4007" s="286"/>
      <c r="B4007" s="286"/>
      <c r="C4007" s="287"/>
      <c r="D4007" s="286"/>
      <c r="E4007" s="286"/>
    </row>
    <row r="4008">
      <c r="A4008" s="286"/>
      <c r="B4008" s="286"/>
      <c r="C4008" s="287"/>
      <c r="D4008" s="286"/>
      <c r="E4008" s="286"/>
    </row>
    <row r="4009">
      <c r="A4009" s="286"/>
      <c r="B4009" s="286"/>
      <c r="C4009" s="287"/>
      <c r="D4009" s="286"/>
      <c r="E4009" s="286"/>
    </row>
    <row r="4010">
      <c r="A4010" s="286"/>
      <c r="B4010" s="286"/>
      <c r="C4010" s="287"/>
      <c r="D4010" s="286"/>
      <c r="E4010" s="286"/>
    </row>
    <row r="4011">
      <c r="A4011" s="286"/>
      <c r="B4011" s="286"/>
      <c r="C4011" s="287"/>
      <c r="D4011" s="286"/>
      <c r="E4011" s="286"/>
    </row>
    <row r="4012">
      <c r="A4012" s="286"/>
      <c r="B4012" s="286"/>
      <c r="C4012" s="287"/>
      <c r="D4012" s="286"/>
      <c r="E4012" s="286"/>
    </row>
    <row r="4013">
      <c r="A4013" s="286"/>
      <c r="B4013" s="286"/>
      <c r="C4013" s="287"/>
      <c r="D4013" s="286"/>
      <c r="E4013" s="286"/>
    </row>
    <row r="4014">
      <c r="A4014" s="286"/>
      <c r="B4014" s="286"/>
      <c r="C4014" s="287"/>
      <c r="D4014" s="286"/>
      <c r="E4014" s="286"/>
    </row>
    <row r="4015">
      <c r="A4015" s="286"/>
      <c r="B4015" s="286"/>
      <c r="C4015" s="287"/>
      <c r="D4015" s="286"/>
      <c r="E4015" s="286"/>
    </row>
    <row r="4016">
      <c r="A4016" s="286"/>
      <c r="B4016" s="286"/>
      <c r="C4016" s="287"/>
      <c r="D4016" s="286"/>
      <c r="E4016" s="286"/>
    </row>
    <row r="4017">
      <c r="A4017" s="286"/>
      <c r="B4017" s="286"/>
      <c r="C4017" s="287"/>
      <c r="D4017" s="286"/>
      <c r="E4017" s="286"/>
    </row>
    <row r="4018">
      <c r="A4018" s="286"/>
      <c r="B4018" s="286"/>
      <c r="C4018" s="287"/>
      <c r="D4018" s="286"/>
      <c r="E4018" s="286"/>
    </row>
    <row r="4019">
      <c r="A4019" s="286"/>
      <c r="B4019" s="286"/>
      <c r="C4019" s="287"/>
      <c r="D4019" s="286"/>
      <c r="E4019" s="286"/>
    </row>
    <row r="4020">
      <c r="A4020" s="286"/>
      <c r="B4020" s="286"/>
      <c r="C4020" s="287"/>
      <c r="D4020" s="286"/>
      <c r="E4020" s="286"/>
    </row>
    <row r="4021">
      <c r="A4021" s="286"/>
      <c r="B4021" s="286"/>
      <c r="C4021" s="287"/>
      <c r="D4021" s="286"/>
      <c r="E4021" s="286"/>
    </row>
    <row r="4022">
      <c r="A4022" s="286"/>
      <c r="B4022" s="286"/>
      <c r="C4022" s="287"/>
      <c r="D4022" s="286"/>
      <c r="E4022" s="286"/>
    </row>
    <row r="4023">
      <c r="A4023" s="286"/>
      <c r="B4023" s="286"/>
      <c r="C4023" s="287"/>
      <c r="D4023" s="286"/>
      <c r="E4023" s="286"/>
    </row>
    <row r="4024">
      <c r="A4024" s="286"/>
      <c r="B4024" s="286"/>
      <c r="C4024" s="287"/>
      <c r="D4024" s="286"/>
      <c r="E4024" s="286"/>
    </row>
    <row r="4025">
      <c r="A4025" s="286"/>
      <c r="B4025" s="286"/>
      <c r="C4025" s="287"/>
      <c r="D4025" s="286"/>
      <c r="E4025" s="286"/>
    </row>
    <row r="4026">
      <c r="A4026" s="286"/>
      <c r="B4026" s="286"/>
      <c r="C4026" s="287"/>
      <c r="D4026" s="286"/>
      <c r="E4026" s="286"/>
    </row>
    <row r="4027">
      <c r="A4027" s="286"/>
      <c r="B4027" s="286"/>
      <c r="C4027" s="287"/>
      <c r="D4027" s="286"/>
      <c r="E4027" s="286"/>
    </row>
    <row r="4028">
      <c r="A4028" s="286"/>
      <c r="B4028" s="286"/>
      <c r="C4028" s="287"/>
      <c r="D4028" s="286"/>
      <c r="E4028" s="286"/>
    </row>
    <row r="4029">
      <c r="A4029" s="286"/>
      <c r="B4029" s="286"/>
      <c r="C4029" s="287"/>
      <c r="D4029" s="286"/>
      <c r="E4029" s="286"/>
    </row>
    <row r="4030">
      <c r="A4030" s="286"/>
      <c r="B4030" s="286"/>
      <c r="C4030" s="287"/>
      <c r="D4030" s="286"/>
      <c r="E4030" s="286"/>
    </row>
    <row r="4031">
      <c r="A4031" s="286"/>
      <c r="B4031" s="286"/>
      <c r="C4031" s="287"/>
      <c r="D4031" s="286"/>
      <c r="E4031" s="286"/>
    </row>
    <row r="4032">
      <c r="A4032" s="286"/>
      <c r="B4032" s="286"/>
      <c r="C4032" s="287"/>
      <c r="D4032" s="286"/>
      <c r="E4032" s="286"/>
    </row>
    <row r="4033">
      <c r="A4033" s="286"/>
      <c r="B4033" s="286"/>
      <c r="C4033" s="287"/>
      <c r="D4033" s="286"/>
      <c r="E4033" s="286"/>
    </row>
    <row r="4034">
      <c r="A4034" s="286"/>
      <c r="B4034" s="286"/>
      <c r="C4034" s="287"/>
      <c r="D4034" s="286"/>
      <c r="E4034" s="286"/>
    </row>
    <row r="4035">
      <c r="A4035" s="286"/>
      <c r="B4035" s="286"/>
      <c r="C4035" s="287"/>
      <c r="D4035" s="286"/>
      <c r="E4035" s="286"/>
    </row>
    <row r="4036">
      <c r="A4036" s="286"/>
      <c r="B4036" s="286"/>
      <c r="C4036" s="287"/>
      <c r="D4036" s="286"/>
      <c r="E4036" s="286"/>
    </row>
    <row r="4037">
      <c r="A4037" s="286"/>
      <c r="B4037" s="286"/>
      <c r="C4037" s="287"/>
      <c r="D4037" s="286"/>
      <c r="E4037" s="286"/>
    </row>
    <row r="4038">
      <c r="A4038" s="286"/>
      <c r="B4038" s="286"/>
      <c r="C4038" s="287"/>
      <c r="D4038" s="286"/>
      <c r="E4038" s="286"/>
    </row>
    <row r="4039">
      <c r="A4039" s="286"/>
      <c r="B4039" s="286"/>
      <c r="C4039" s="287"/>
      <c r="D4039" s="286"/>
      <c r="E4039" s="286"/>
    </row>
    <row r="4040">
      <c r="A4040" s="286"/>
      <c r="B4040" s="286"/>
      <c r="C4040" s="287"/>
      <c r="D4040" s="286"/>
      <c r="E4040" s="286"/>
    </row>
    <row r="4041">
      <c r="A4041" s="286"/>
      <c r="B4041" s="286"/>
      <c r="C4041" s="287"/>
      <c r="D4041" s="286"/>
      <c r="E4041" s="286"/>
    </row>
    <row r="4042">
      <c r="A4042" s="286"/>
      <c r="B4042" s="286"/>
      <c r="C4042" s="287"/>
      <c r="D4042" s="286"/>
      <c r="E4042" s="286"/>
    </row>
    <row r="4043">
      <c r="A4043" s="286"/>
      <c r="B4043" s="286"/>
      <c r="C4043" s="287"/>
      <c r="D4043" s="286"/>
      <c r="E4043" s="286"/>
    </row>
    <row r="4044">
      <c r="A4044" s="286"/>
      <c r="B4044" s="286"/>
      <c r="C4044" s="287"/>
      <c r="D4044" s="286"/>
      <c r="E4044" s="286"/>
    </row>
    <row r="4045">
      <c r="A4045" s="286"/>
      <c r="B4045" s="286"/>
      <c r="C4045" s="287"/>
      <c r="D4045" s="286"/>
      <c r="E4045" s="286"/>
    </row>
    <row r="4046">
      <c r="A4046" s="286"/>
      <c r="B4046" s="286"/>
      <c r="C4046" s="287"/>
      <c r="D4046" s="286"/>
      <c r="E4046" s="286"/>
    </row>
    <row r="4047">
      <c r="A4047" s="286"/>
      <c r="B4047" s="286"/>
      <c r="C4047" s="287"/>
      <c r="D4047" s="286"/>
      <c r="E4047" s="286"/>
    </row>
    <row r="4048">
      <c r="A4048" s="286"/>
      <c r="B4048" s="286"/>
      <c r="C4048" s="287"/>
      <c r="D4048" s="286"/>
      <c r="E4048" s="286"/>
    </row>
    <row r="4049">
      <c r="A4049" s="286"/>
      <c r="B4049" s="286"/>
      <c r="C4049" s="287"/>
      <c r="D4049" s="286"/>
      <c r="E4049" s="286"/>
    </row>
    <row r="4050">
      <c r="A4050" s="286"/>
      <c r="B4050" s="286"/>
      <c r="C4050" s="287"/>
      <c r="D4050" s="286"/>
      <c r="E4050" s="286"/>
    </row>
    <row r="4051">
      <c r="A4051" s="286"/>
      <c r="B4051" s="286"/>
      <c r="C4051" s="287"/>
      <c r="D4051" s="286"/>
      <c r="E4051" s="286"/>
    </row>
    <row r="4052">
      <c r="A4052" s="286"/>
      <c r="B4052" s="286"/>
      <c r="C4052" s="287"/>
      <c r="D4052" s="286"/>
      <c r="E4052" s="286"/>
    </row>
    <row r="4053">
      <c r="A4053" s="286"/>
      <c r="B4053" s="286"/>
      <c r="C4053" s="287"/>
      <c r="D4053" s="286"/>
      <c r="E4053" s="286"/>
    </row>
    <row r="4054">
      <c r="A4054" s="286"/>
      <c r="B4054" s="286"/>
      <c r="C4054" s="287"/>
      <c r="D4054" s="286"/>
      <c r="E4054" s="286"/>
    </row>
    <row r="4055">
      <c r="A4055" s="286"/>
      <c r="B4055" s="286"/>
      <c r="C4055" s="287"/>
      <c r="D4055" s="286"/>
      <c r="E4055" s="286"/>
    </row>
    <row r="4056">
      <c r="A4056" s="286"/>
      <c r="B4056" s="286"/>
      <c r="C4056" s="287"/>
      <c r="D4056" s="286"/>
      <c r="E4056" s="286"/>
    </row>
    <row r="4057">
      <c r="A4057" s="286"/>
      <c r="B4057" s="286"/>
      <c r="C4057" s="287"/>
      <c r="D4057" s="286"/>
      <c r="E4057" s="286"/>
    </row>
    <row r="4058">
      <c r="A4058" s="286"/>
      <c r="B4058" s="286"/>
      <c r="C4058" s="287"/>
      <c r="D4058" s="286"/>
      <c r="E4058" s="286"/>
    </row>
    <row r="4059">
      <c r="A4059" s="286"/>
      <c r="B4059" s="286"/>
      <c r="C4059" s="287"/>
      <c r="D4059" s="286"/>
      <c r="E4059" s="286"/>
    </row>
    <row r="4060">
      <c r="A4060" s="286"/>
      <c r="B4060" s="286"/>
      <c r="C4060" s="287"/>
      <c r="D4060" s="286"/>
      <c r="E4060" s="286"/>
    </row>
    <row r="4061">
      <c r="A4061" s="286"/>
      <c r="B4061" s="286"/>
      <c r="C4061" s="287"/>
      <c r="D4061" s="286"/>
      <c r="E4061" s="286"/>
    </row>
    <row r="4062">
      <c r="A4062" s="286"/>
      <c r="B4062" s="286"/>
      <c r="C4062" s="287"/>
      <c r="D4062" s="286"/>
      <c r="E4062" s="286"/>
    </row>
    <row r="4063">
      <c r="A4063" s="286"/>
      <c r="B4063" s="286"/>
      <c r="C4063" s="287"/>
      <c r="D4063" s="286"/>
      <c r="E4063" s="286"/>
    </row>
    <row r="4064">
      <c r="A4064" s="286"/>
      <c r="B4064" s="286"/>
      <c r="C4064" s="287"/>
      <c r="D4064" s="286"/>
      <c r="E4064" s="286"/>
    </row>
    <row r="4065">
      <c r="A4065" s="286"/>
      <c r="B4065" s="286"/>
      <c r="C4065" s="287"/>
      <c r="D4065" s="286"/>
      <c r="E4065" s="286"/>
    </row>
    <row r="4066">
      <c r="A4066" s="286"/>
      <c r="B4066" s="286"/>
      <c r="C4066" s="287"/>
      <c r="D4066" s="286"/>
      <c r="E4066" s="286"/>
    </row>
    <row r="4067">
      <c r="A4067" s="286"/>
      <c r="B4067" s="286"/>
      <c r="C4067" s="287"/>
      <c r="D4067" s="286"/>
      <c r="E4067" s="286"/>
    </row>
    <row r="4068">
      <c r="A4068" s="286"/>
      <c r="B4068" s="286"/>
      <c r="C4068" s="287"/>
      <c r="D4068" s="286"/>
      <c r="E4068" s="286"/>
    </row>
    <row r="4069">
      <c r="A4069" s="286"/>
      <c r="B4069" s="286"/>
      <c r="C4069" s="287"/>
      <c r="D4069" s="286"/>
      <c r="E4069" s="286"/>
    </row>
    <row r="4070">
      <c r="A4070" s="286"/>
      <c r="B4070" s="286"/>
      <c r="C4070" s="287"/>
      <c r="D4070" s="286"/>
      <c r="E4070" s="286"/>
    </row>
    <row r="4071">
      <c r="A4071" s="286"/>
      <c r="B4071" s="286"/>
      <c r="C4071" s="287"/>
      <c r="D4071" s="286"/>
      <c r="E4071" s="286"/>
    </row>
    <row r="4072">
      <c r="A4072" s="286"/>
      <c r="B4072" s="286"/>
      <c r="C4072" s="287"/>
      <c r="D4072" s="286"/>
      <c r="E4072" s="286"/>
    </row>
    <row r="4073">
      <c r="A4073" s="286"/>
      <c r="B4073" s="286"/>
      <c r="C4073" s="287"/>
      <c r="D4073" s="286"/>
      <c r="E4073" s="286"/>
    </row>
    <row r="4074">
      <c r="A4074" s="286"/>
      <c r="B4074" s="286"/>
      <c r="C4074" s="287"/>
      <c r="D4074" s="286"/>
      <c r="E4074" s="286"/>
    </row>
    <row r="4075">
      <c r="A4075" s="286"/>
      <c r="B4075" s="286"/>
      <c r="C4075" s="287"/>
      <c r="D4075" s="286"/>
      <c r="E4075" s="286"/>
    </row>
    <row r="4076">
      <c r="A4076" s="286"/>
      <c r="B4076" s="286"/>
      <c r="C4076" s="287"/>
      <c r="D4076" s="286"/>
      <c r="E4076" s="286"/>
    </row>
    <row r="4077">
      <c r="A4077" s="286"/>
      <c r="B4077" s="286"/>
      <c r="C4077" s="287"/>
      <c r="D4077" s="286"/>
      <c r="E4077" s="286"/>
    </row>
    <row r="4078">
      <c r="A4078" s="286"/>
      <c r="B4078" s="286"/>
      <c r="C4078" s="287"/>
      <c r="D4078" s="286"/>
      <c r="E4078" s="286"/>
    </row>
    <row r="4079">
      <c r="A4079" s="286"/>
      <c r="B4079" s="286"/>
      <c r="C4079" s="287"/>
      <c r="D4079" s="286"/>
      <c r="E4079" s="286"/>
    </row>
    <row r="4080">
      <c r="A4080" s="286"/>
      <c r="B4080" s="286"/>
      <c r="C4080" s="287"/>
      <c r="D4080" s="286"/>
      <c r="E4080" s="286"/>
    </row>
    <row r="4081">
      <c r="A4081" s="286"/>
      <c r="B4081" s="286"/>
      <c r="C4081" s="287"/>
      <c r="D4081" s="286"/>
      <c r="E4081" s="286"/>
    </row>
    <row r="4082">
      <c r="A4082" s="286"/>
      <c r="B4082" s="286"/>
      <c r="C4082" s="287"/>
      <c r="D4082" s="286"/>
      <c r="E4082" s="286"/>
    </row>
    <row r="4083">
      <c r="A4083" s="286"/>
      <c r="B4083" s="286"/>
      <c r="C4083" s="287"/>
      <c r="D4083" s="286"/>
      <c r="E4083" s="286"/>
    </row>
    <row r="4084">
      <c r="A4084" s="286"/>
      <c r="B4084" s="286"/>
      <c r="C4084" s="287"/>
      <c r="D4084" s="286"/>
      <c r="E4084" s="286"/>
    </row>
    <row r="4085">
      <c r="A4085" s="286"/>
      <c r="B4085" s="286"/>
      <c r="C4085" s="287"/>
      <c r="D4085" s="286"/>
      <c r="E4085" s="286"/>
    </row>
    <row r="4086">
      <c r="A4086" s="286"/>
      <c r="B4086" s="286"/>
      <c r="C4086" s="287"/>
      <c r="D4086" s="286"/>
      <c r="E4086" s="286"/>
    </row>
    <row r="4087">
      <c r="A4087" s="286"/>
      <c r="B4087" s="286"/>
      <c r="C4087" s="287"/>
      <c r="D4087" s="286"/>
      <c r="E4087" s="286"/>
    </row>
    <row r="4088">
      <c r="A4088" s="286"/>
      <c r="B4088" s="286"/>
      <c r="C4088" s="287"/>
      <c r="D4088" s="286"/>
      <c r="E4088" s="286"/>
    </row>
    <row r="4089">
      <c r="A4089" s="286"/>
      <c r="B4089" s="286"/>
      <c r="C4089" s="287"/>
      <c r="D4089" s="286"/>
      <c r="E4089" s="286"/>
    </row>
    <row r="4090">
      <c r="A4090" s="286"/>
      <c r="B4090" s="286"/>
      <c r="C4090" s="287"/>
      <c r="D4090" s="286"/>
      <c r="E4090" s="286"/>
    </row>
    <row r="4091">
      <c r="A4091" s="286"/>
      <c r="B4091" s="286"/>
      <c r="C4091" s="287"/>
      <c r="D4091" s="286"/>
      <c r="E4091" s="286"/>
    </row>
    <row r="4092">
      <c r="A4092" s="286"/>
      <c r="B4092" s="286"/>
      <c r="C4092" s="287"/>
      <c r="D4092" s="286"/>
      <c r="E4092" s="286"/>
    </row>
    <row r="4093">
      <c r="A4093" s="286"/>
      <c r="B4093" s="286"/>
      <c r="C4093" s="287"/>
      <c r="D4093" s="286"/>
      <c r="E4093" s="286"/>
    </row>
    <row r="4094">
      <c r="A4094" s="286"/>
      <c r="B4094" s="286"/>
      <c r="C4094" s="287"/>
      <c r="D4094" s="286"/>
      <c r="E4094" s="286"/>
    </row>
    <row r="4095">
      <c r="A4095" s="286"/>
      <c r="B4095" s="286"/>
      <c r="C4095" s="287"/>
      <c r="D4095" s="286"/>
      <c r="E4095" s="286"/>
    </row>
    <row r="4096">
      <c r="A4096" s="286"/>
      <c r="B4096" s="286"/>
      <c r="C4096" s="287"/>
      <c r="D4096" s="286"/>
      <c r="E4096" s="286"/>
    </row>
    <row r="4097">
      <c r="A4097" s="286"/>
      <c r="B4097" s="286"/>
      <c r="C4097" s="287"/>
      <c r="D4097" s="286"/>
      <c r="E4097" s="286"/>
    </row>
    <row r="4098">
      <c r="A4098" s="286"/>
      <c r="B4098" s="286"/>
      <c r="C4098" s="287"/>
      <c r="D4098" s="286"/>
      <c r="E4098" s="286"/>
    </row>
    <row r="4099">
      <c r="A4099" s="286"/>
      <c r="B4099" s="286"/>
      <c r="C4099" s="287"/>
      <c r="D4099" s="286"/>
      <c r="E4099" s="286"/>
    </row>
    <row r="4100">
      <c r="A4100" s="286"/>
      <c r="B4100" s="286"/>
      <c r="C4100" s="287"/>
      <c r="D4100" s="286"/>
      <c r="E4100" s="286"/>
    </row>
    <row r="4101">
      <c r="A4101" s="286"/>
      <c r="B4101" s="286"/>
      <c r="C4101" s="287"/>
      <c r="D4101" s="286"/>
      <c r="E4101" s="286"/>
    </row>
    <row r="4102">
      <c r="A4102" s="286"/>
      <c r="B4102" s="286"/>
      <c r="C4102" s="287"/>
      <c r="D4102" s="286"/>
      <c r="E4102" s="286"/>
    </row>
    <row r="4103">
      <c r="A4103" s="286"/>
      <c r="B4103" s="286"/>
      <c r="C4103" s="287"/>
      <c r="D4103" s="286"/>
      <c r="E4103" s="286"/>
    </row>
    <row r="4104">
      <c r="A4104" s="286"/>
      <c r="B4104" s="286"/>
      <c r="C4104" s="287"/>
      <c r="D4104" s="286"/>
      <c r="E4104" s="286"/>
    </row>
    <row r="4105">
      <c r="A4105" s="286"/>
      <c r="B4105" s="286"/>
      <c r="C4105" s="287"/>
      <c r="D4105" s="286"/>
      <c r="E4105" s="286"/>
    </row>
    <row r="4106">
      <c r="A4106" s="286"/>
      <c r="B4106" s="286"/>
      <c r="C4106" s="287"/>
      <c r="D4106" s="286"/>
      <c r="E4106" s="286"/>
    </row>
    <row r="4107">
      <c r="A4107" s="286"/>
      <c r="B4107" s="286"/>
      <c r="C4107" s="287"/>
      <c r="D4107" s="286"/>
      <c r="E4107" s="286"/>
    </row>
    <row r="4108">
      <c r="A4108" s="286"/>
      <c r="B4108" s="286"/>
      <c r="C4108" s="287"/>
      <c r="D4108" s="286"/>
      <c r="E4108" s="286"/>
    </row>
    <row r="4109">
      <c r="A4109" s="286"/>
      <c r="B4109" s="286"/>
      <c r="C4109" s="287"/>
      <c r="D4109" s="286"/>
      <c r="E4109" s="286"/>
    </row>
    <row r="4110">
      <c r="A4110" s="286"/>
      <c r="B4110" s="286"/>
      <c r="C4110" s="287"/>
      <c r="D4110" s="286"/>
      <c r="E4110" s="286"/>
    </row>
    <row r="4111">
      <c r="A4111" s="286"/>
      <c r="B4111" s="286"/>
      <c r="C4111" s="287"/>
      <c r="D4111" s="286"/>
      <c r="E4111" s="286"/>
    </row>
    <row r="4112">
      <c r="A4112" s="286"/>
      <c r="B4112" s="286"/>
      <c r="C4112" s="287"/>
      <c r="D4112" s="286"/>
      <c r="E4112" s="286"/>
    </row>
    <row r="4113">
      <c r="A4113" s="286"/>
      <c r="B4113" s="286"/>
      <c r="C4113" s="287"/>
      <c r="D4113" s="286"/>
      <c r="E4113" s="286"/>
    </row>
    <row r="4114">
      <c r="A4114" s="286"/>
      <c r="B4114" s="286"/>
      <c r="C4114" s="287"/>
      <c r="D4114" s="286"/>
      <c r="E4114" s="286"/>
    </row>
    <row r="4115">
      <c r="A4115" s="286"/>
      <c r="B4115" s="286"/>
      <c r="C4115" s="287"/>
      <c r="D4115" s="286"/>
      <c r="E4115" s="286"/>
    </row>
    <row r="4116">
      <c r="A4116" s="286"/>
      <c r="B4116" s="286"/>
      <c r="C4116" s="287"/>
      <c r="D4116" s="286"/>
      <c r="E4116" s="286"/>
    </row>
    <row r="4117">
      <c r="A4117" s="286"/>
      <c r="B4117" s="286"/>
      <c r="C4117" s="287"/>
      <c r="D4117" s="286"/>
      <c r="E4117" s="286"/>
    </row>
    <row r="4118">
      <c r="A4118" s="286"/>
      <c r="B4118" s="286"/>
      <c r="C4118" s="287"/>
      <c r="D4118" s="286"/>
      <c r="E4118" s="286"/>
    </row>
    <row r="4119">
      <c r="A4119" s="286"/>
      <c r="B4119" s="286"/>
      <c r="C4119" s="287"/>
      <c r="D4119" s="286"/>
      <c r="E4119" s="286"/>
    </row>
    <row r="4120">
      <c r="A4120" s="286"/>
      <c r="B4120" s="286"/>
      <c r="C4120" s="287"/>
      <c r="D4120" s="286"/>
      <c r="E4120" s="286"/>
    </row>
    <row r="4121">
      <c r="A4121" s="286"/>
      <c r="B4121" s="286"/>
      <c r="C4121" s="287"/>
      <c r="D4121" s="286"/>
      <c r="E4121" s="286"/>
    </row>
    <row r="4122">
      <c r="A4122" s="286"/>
      <c r="B4122" s="286"/>
      <c r="C4122" s="287"/>
      <c r="D4122" s="286"/>
      <c r="E4122" s="286"/>
    </row>
    <row r="4123">
      <c r="A4123" s="286"/>
      <c r="B4123" s="286"/>
      <c r="C4123" s="287"/>
      <c r="D4123" s="286"/>
      <c r="E4123" s="286"/>
    </row>
    <row r="4124">
      <c r="A4124" s="286"/>
      <c r="B4124" s="286"/>
      <c r="C4124" s="287"/>
      <c r="D4124" s="286"/>
      <c r="E4124" s="286"/>
    </row>
    <row r="4125">
      <c r="A4125" s="286"/>
      <c r="B4125" s="286"/>
      <c r="C4125" s="287"/>
      <c r="D4125" s="286"/>
      <c r="E4125" s="286"/>
    </row>
    <row r="4126">
      <c r="A4126" s="286"/>
      <c r="B4126" s="286"/>
      <c r="C4126" s="287"/>
      <c r="D4126" s="286"/>
      <c r="E4126" s="286"/>
    </row>
    <row r="4127">
      <c r="A4127" s="286"/>
      <c r="B4127" s="286"/>
      <c r="C4127" s="287"/>
      <c r="D4127" s="286"/>
      <c r="E4127" s="286"/>
    </row>
    <row r="4128">
      <c r="A4128" s="286"/>
      <c r="B4128" s="286"/>
      <c r="C4128" s="287"/>
      <c r="D4128" s="286"/>
      <c r="E4128" s="286"/>
    </row>
    <row r="4129">
      <c r="A4129" s="286"/>
      <c r="B4129" s="286"/>
      <c r="C4129" s="287"/>
      <c r="D4129" s="286"/>
      <c r="E4129" s="286"/>
    </row>
    <row r="4130">
      <c r="A4130" s="286"/>
      <c r="B4130" s="286"/>
      <c r="C4130" s="287"/>
      <c r="D4130" s="286"/>
      <c r="E4130" s="286"/>
    </row>
    <row r="4131">
      <c r="A4131" s="286"/>
      <c r="B4131" s="286"/>
      <c r="C4131" s="287"/>
      <c r="D4131" s="286"/>
      <c r="E4131" s="286"/>
    </row>
    <row r="4132">
      <c r="A4132" s="286"/>
      <c r="B4132" s="286"/>
      <c r="C4132" s="287"/>
      <c r="D4132" s="286"/>
      <c r="E4132" s="286"/>
    </row>
    <row r="4133">
      <c r="A4133" s="286"/>
      <c r="B4133" s="286"/>
      <c r="C4133" s="287"/>
      <c r="D4133" s="286"/>
      <c r="E4133" s="286"/>
    </row>
    <row r="4134">
      <c r="A4134" s="286"/>
      <c r="B4134" s="286"/>
      <c r="C4134" s="287"/>
      <c r="D4134" s="286"/>
      <c r="E4134" s="286"/>
    </row>
    <row r="4135">
      <c r="A4135" s="286"/>
      <c r="B4135" s="286"/>
      <c r="C4135" s="287"/>
      <c r="D4135" s="286"/>
      <c r="E4135" s="286"/>
    </row>
    <row r="4136">
      <c r="A4136" s="286"/>
      <c r="B4136" s="286"/>
      <c r="C4136" s="287"/>
      <c r="D4136" s="286"/>
      <c r="E4136" s="286"/>
    </row>
    <row r="4137">
      <c r="A4137" s="286"/>
      <c r="B4137" s="286"/>
      <c r="C4137" s="287"/>
      <c r="D4137" s="286"/>
      <c r="E4137" s="286"/>
    </row>
    <row r="4138">
      <c r="A4138" s="286"/>
      <c r="B4138" s="286"/>
      <c r="C4138" s="287"/>
      <c r="D4138" s="286"/>
      <c r="E4138" s="286"/>
    </row>
    <row r="4139">
      <c r="A4139" s="286"/>
      <c r="B4139" s="286"/>
      <c r="C4139" s="287"/>
      <c r="D4139" s="286"/>
      <c r="E4139" s="286"/>
    </row>
    <row r="4140">
      <c r="A4140" s="286"/>
      <c r="B4140" s="286"/>
      <c r="C4140" s="287"/>
      <c r="D4140" s="286"/>
      <c r="E4140" s="286"/>
    </row>
    <row r="4141">
      <c r="A4141" s="286"/>
      <c r="B4141" s="286"/>
      <c r="C4141" s="287"/>
      <c r="D4141" s="286"/>
      <c r="E4141" s="286"/>
    </row>
    <row r="4142">
      <c r="A4142" s="286"/>
      <c r="B4142" s="286"/>
      <c r="C4142" s="287"/>
      <c r="D4142" s="286"/>
      <c r="E4142" s="286"/>
    </row>
    <row r="4143">
      <c r="A4143" s="286"/>
      <c r="B4143" s="286"/>
      <c r="C4143" s="287"/>
      <c r="D4143" s="286"/>
      <c r="E4143" s="286"/>
    </row>
    <row r="4144">
      <c r="A4144" s="286"/>
      <c r="B4144" s="286"/>
      <c r="C4144" s="287"/>
      <c r="D4144" s="286"/>
      <c r="E4144" s="286"/>
    </row>
    <row r="4145">
      <c r="A4145" s="286"/>
      <c r="B4145" s="286"/>
      <c r="C4145" s="287"/>
      <c r="D4145" s="286"/>
      <c r="E4145" s="286"/>
    </row>
    <row r="4146">
      <c r="A4146" s="286"/>
      <c r="B4146" s="286"/>
      <c r="C4146" s="287"/>
      <c r="D4146" s="286"/>
      <c r="E4146" s="286"/>
    </row>
    <row r="4147">
      <c r="A4147" s="286"/>
      <c r="B4147" s="286"/>
      <c r="C4147" s="287"/>
      <c r="D4147" s="286"/>
      <c r="E4147" s="286"/>
    </row>
    <row r="4148">
      <c r="A4148" s="286"/>
      <c r="B4148" s="286"/>
      <c r="C4148" s="287"/>
      <c r="D4148" s="286"/>
      <c r="E4148" s="286"/>
    </row>
    <row r="4149">
      <c r="A4149" s="286"/>
      <c r="B4149" s="286"/>
      <c r="C4149" s="287"/>
      <c r="D4149" s="286"/>
      <c r="E4149" s="286"/>
    </row>
    <row r="4150">
      <c r="A4150" s="286"/>
      <c r="B4150" s="286"/>
      <c r="C4150" s="287"/>
      <c r="D4150" s="286"/>
      <c r="E4150" s="286"/>
    </row>
    <row r="4151">
      <c r="A4151" s="286"/>
      <c r="B4151" s="286"/>
      <c r="C4151" s="287"/>
      <c r="D4151" s="286"/>
      <c r="E4151" s="286"/>
    </row>
    <row r="4152">
      <c r="A4152" s="286"/>
      <c r="B4152" s="286"/>
      <c r="C4152" s="287"/>
      <c r="D4152" s="286"/>
      <c r="E4152" s="286"/>
    </row>
    <row r="4153">
      <c r="A4153" s="286"/>
      <c r="B4153" s="286"/>
      <c r="C4153" s="287"/>
      <c r="D4153" s="286"/>
      <c r="E4153" s="286"/>
    </row>
    <row r="4154">
      <c r="A4154" s="286"/>
      <c r="B4154" s="286"/>
      <c r="C4154" s="287"/>
      <c r="D4154" s="286"/>
      <c r="E4154" s="286"/>
    </row>
    <row r="4155">
      <c r="A4155" s="286"/>
      <c r="B4155" s="286"/>
      <c r="C4155" s="287"/>
      <c r="D4155" s="286"/>
      <c r="E4155" s="286"/>
    </row>
    <row r="4156">
      <c r="A4156" s="286"/>
      <c r="B4156" s="286"/>
      <c r="C4156" s="287"/>
      <c r="D4156" s="286"/>
      <c r="E4156" s="286"/>
    </row>
    <row r="4157">
      <c r="A4157" s="286"/>
      <c r="B4157" s="286"/>
      <c r="C4157" s="287"/>
      <c r="D4157" s="286"/>
      <c r="E4157" s="286"/>
    </row>
    <row r="4158">
      <c r="A4158" s="286"/>
      <c r="B4158" s="286"/>
      <c r="C4158" s="287"/>
      <c r="D4158" s="286"/>
      <c r="E4158" s="286"/>
    </row>
    <row r="4159">
      <c r="A4159" s="286"/>
      <c r="B4159" s="286"/>
      <c r="C4159" s="287"/>
      <c r="D4159" s="286"/>
      <c r="E4159" s="286"/>
    </row>
    <row r="4160">
      <c r="A4160" s="286"/>
      <c r="B4160" s="286"/>
      <c r="C4160" s="287"/>
      <c r="D4160" s="286"/>
      <c r="E4160" s="286"/>
    </row>
    <row r="4161">
      <c r="A4161" s="286"/>
      <c r="B4161" s="286"/>
      <c r="C4161" s="287"/>
      <c r="D4161" s="286"/>
      <c r="E4161" s="286"/>
    </row>
    <row r="4162">
      <c r="A4162" s="286"/>
      <c r="B4162" s="286"/>
      <c r="C4162" s="287"/>
      <c r="D4162" s="286"/>
      <c r="E4162" s="286"/>
    </row>
    <row r="4163">
      <c r="A4163" s="286"/>
      <c r="B4163" s="286"/>
      <c r="C4163" s="287"/>
      <c r="D4163" s="286"/>
      <c r="E4163" s="286"/>
    </row>
    <row r="4164">
      <c r="A4164" s="286"/>
      <c r="B4164" s="286"/>
      <c r="C4164" s="287"/>
      <c r="D4164" s="286"/>
      <c r="E4164" s="286"/>
    </row>
    <row r="4165">
      <c r="A4165" s="286"/>
      <c r="B4165" s="286"/>
      <c r="C4165" s="287"/>
      <c r="D4165" s="286"/>
      <c r="E4165" s="286"/>
    </row>
    <row r="4166">
      <c r="A4166" s="286"/>
      <c r="B4166" s="286"/>
      <c r="C4166" s="287"/>
      <c r="D4166" s="286"/>
      <c r="E4166" s="286"/>
    </row>
    <row r="4167">
      <c r="A4167" s="286"/>
      <c r="B4167" s="286"/>
      <c r="C4167" s="287"/>
      <c r="D4167" s="286"/>
      <c r="E4167" s="286"/>
    </row>
    <row r="4168">
      <c r="A4168" s="286"/>
      <c r="B4168" s="286"/>
      <c r="C4168" s="287"/>
      <c r="D4168" s="286"/>
      <c r="E4168" s="286"/>
    </row>
    <row r="4169">
      <c r="A4169" s="286"/>
      <c r="B4169" s="286"/>
      <c r="C4169" s="287"/>
      <c r="D4169" s="286"/>
      <c r="E4169" s="286"/>
    </row>
    <row r="4170">
      <c r="A4170" s="286"/>
      <c r="B4170" s="286"/>
      <c r="C4170" s="287"/>
      <c r="D4170" s="286"/>
      <c r="E4170" s="286"/>
    </row>
    <row r="4171">
      <c r="A4171" s="286"/>
      <c r="B4171" s="286"/>
      <c r="C4171" s="287"/>
      <c r="D4171" s="286"/>
      <c r="E4171" s="286"/>
    </row>
    <row r="4172">
      <c r="A4172" s="286"/>
      <c r="B4172" s="286"/>
      <c r="C4172" s="287"/>
      <c r="D4172" s="286"/>
      <c r="E4172" s="286"/>
    </row>
    <row r="4173">
      <c r="A4173" s="286"/>
      <c r="B4173" s="286"/>
      <c r="C4173" s="287"/>
      <c r="D4173" s="286"/>
      <c r="E4173" s="286"/>
    </row>
    <row r="4174">
      <c r="A4174" s="286"/>
      <c r="B4174" s="286"/>
      <c r="C4174" s="287"/>
      <c r="D4174" s="286"/>
      <c r="E4174" s="286"/>
    </row>
    <row r="4175">
      <c r="A4175" s="286"/>
      <c r="B4175" s="286"/>
      <c r="C4175" s="287"/>
      <c r="D4175" s="286"/>
      <c r="E4175" s="286"/>
    </row>
    <row r="4176">
      <c r="A4176" s="286"/>
      <c r="B4176" s="286"/>
      <c r="C4176" s="287"/>
      <c r="D4176" s="286"/>
      <c r="E4176" s="286"/>
    </row>
    <row r="4177">
      <c r="A4177" s="286"/>
      <c r="B4177" s="286"/>
      <c r="C4177" s="287"/>
      <c r="D4177" s="286"/>
      <c r="E4177" s="286"/>
    </row>
    <row r="4178">
      <c r="A4178" s="286"/>
      <c r="B4178" s="286"/>
      <c r="C4178" s="287"/>
      <c r="D4178" s="286"/>
      <c r="E4178" s="286"/>
    </row>
    <row r="4179">
      <c r="A4179" s="286"/>
      <c r="B4179" s="286"/>
      <c r="C4179" s="287"/>
      <c r="D4179" s="286"/>
      <c r="E4179" s="286"/>
    </row>
    <row r="4180">
      <c r="A4180" s="286"/>
      <c r="B4180" s="286"/>
      <c r="C4180" s="287"/>
      <c r="D4180" s="286"/>
      <c r="E4180" s="286"/>
    </row>
    <row r="4181">
      <c r="A4181" s="286"/>
      <c r="B4181" s="286"/>
      <c r="C4181" s="287"/>
      <c r="D4181" s="286"/>
      <c r="E4181" s="286"/>
    </row>
    <row r="4182">
      <c r="A4182" s="286"/>
      <c r="B4182" s="286"/>
      <c r="C4182" s="287"/>
      <c r="D4182" s="286"/>
      <c r="E4182" s="286"/>
    </row>
    <row r="4183">
      <c r="A4183" s="286"/>
      <c r="B4183" s="286"/>
      <c r="C4183" s="287"/>
      <c r="D4183" s="286"/>
      <c r="E4183" s="286"/>
    </row>
    <row r="4184">
      <c r="A4184" s="286"/>
      <c r="B4184" s="286"/>
      <c r="C4184" s="287"/>
      <c r="D4184" s="286"/>
      <c r="E4184" s="286"/>
    </row>
    <row r="4185">
      <c r="A4185" s="286"/>
      <c r="B4185" s="286"/>
      <c r="C4185" s="287"/>
      <c r="D4185" s="286"/>
      <c r="E4185" s="286"/>
    </row>
    <row r="4186">
      <c r="A4186" s="286"/>
      <c r="B4186" s="286"/>
      <c r="C4186" s="287"/>
      <c r="D4186" s="286"/>
      <c r="E4186" s="286"/>
    </row>
    <row r="4187">
      <c r="A4187" s="286"/>
      <c r="B4187" s="286"/>
      <c r="C4187" s="287"/>
      <c r="D4187" s="286"/>
      <c r="E4187" s="286"/>
    </row>
    <row r="4188">
      <c r="A4188" s="286"/>
      <c r="B4188" s="286"/>
      <c r="C4188" s="287"/>
      <c r="D4188" s="286"/>
      <c r="E4188" s="286"/>
    </row>
    <row r="4189">
      <c r="A4189" s="286"/>
      <c r="B4189" s="286"/>
      <c r="C4189" s="287"/>
      <c r="D4189" s="286"/>
      <c r="E4189" s="286"/>
    </row>
    <row r="4190">
      <c r="A4190" s="286"/>
      <c r="B4190" s="286"/>
      <c r="C4190" s="287"/>
      <c r="D4190" s="286"/>
      <c r="E4190" s="286"/>
    </row>
    <row r="4191">
      <c r="A4191" s="286"/>
      <c r="B4191" s="286"/>
      <c r="C4191" s="287"/>
      <c r="D4191" s="286"/>
      <c r="E4191" s="286"/>
    </row>
    <row r="4192">
      <c r="A4192" s="286"/>
      <c r="B4192" s="286"/>
      <c r="C4192" s="287"/>
      <c r="D4192" s="286"/>
      <c r="E4192" s="286"/>
    </row>
    <row r="4193">
      <c r="A4193" s="286"/>
      <c r="B4193" s="286"/>
      <c r="C4193" s="287"/>
      <c r="D4193" s="286"/>
      <c r="E4193" s="286"/>
    </row>
    <row r="4194">
      <c r="A4194" s="286"/>
      <c r="B4194" s="286"/>
      <c r="C4194" s="287"/>
      <c r="D4194" s="286"/>
      <c r="E4194" s="286"/>
    </row>
    <row r="4195">
      <c r="A4195" s="286"/>
      <c r="B4195" s="286"/>
      <c r="C4195" s="287"/>
      <c r="D4195" s="286"/>
      <c r="E4195" s="286"/>
    </row>
    <row r="4196">
      <c r="A4196" s="286"/>
      <c r="B4196" s="286"/>
      <c r="C4196" s="287"/>
      <c r="D4196" s="286"/>
      <c r="E4196" s="286"/>
    </row>
    <row r="4197">
      <c r="A4197" s="286"/>
      <c r="B4197" s="286"/>
      <c r="C4197" s="287"/>
      <c r="D4197" s="286"/>
      <c r="E4197" s="286"/>
    </row>
    <row r="4198">
      <c r="A4198" s="286"/>
      <c r="B4198" s="286"/>
      <c r="C4198" s="287"/>
      <c r="D4198" s="286"/>
      <c r="E4198" s="286"/>
    </row>
    <row r="4199">
      <c r="A4199" s="286"/>
      <c r="B4199" s="286"/>
      <c r="C4199" s="287"/>
      <c r="D4199" s="286"/>
      <c r="E4199" s="286"/>
    </row>
    <row r="4200">
      <c r="A4200" s="286"/>
      <c r="B4200" s="286"/>
      <c r="C4200" s="287"/>
      <c r="D4200" s="286"/>
      <c r="E4200" s="286"/>
    </row>
    <row r="4201">
      <c r="A4201" s="286"/>
      <c r="B4201" s="286"/>
      <c r="C4201" s="287"/>
      <c r="D4201" s="286"/>
      <c r="E4201" s="286"/>
    </row>
    <row r="4202">
      <c r="A4202" s="286"/>
      <c r="B4202" s="286"/>
      <c r="C4202" s="287"/>
      <c r="D4202" s="286"/>
      <c r="E4202" s="286"/>
    </row>
    <row r="4203">
      <c r="A4203" s="286"/>
      <c r="B4203" s="286"/>
      <c r="C4203" s="287"/>
      <c r="D4203" s="286"/>
      <c r="E4203" s="286"/>
    </row>
    <row r="4204">
      <c r="A4204" s="286"/>
      <c r="B4204" s="286"/>
      <c r="C4204" s="287"/>
      <c r="D4204" s="286"/>
      <c r="E4204" s="286"/>
    </row>
    <row r="4205">
      <c r="A4205" s="286"/>
      <c r="B4205" s="286"/>
      <c r="C4205" s="287"/>
      <c r="D4205" s="286"/>
      <c r="E4205" s="286"/>
    </row>
    <row r="4206">
      <c r="A4206" s="286"/>
      <c r="B4206" s="286"/>
      <c r="C4206" s="287"/>
      <c r="D4206" s="286"/>
      <c r="E4206" s="286"/>
    </row>
    <row r="4207">
      <c r="A4207" s="286"/>
      <c r="B4207" s="286"/>
      <c r="C4207" s="287"/>
      <c r="D4207" s="286"/>
      <c r="E4207" s="286"/>
    </row>
    <row r="4208">
      <c r="A4208" s="286"/>
      <c r="B4208" s="286"/>
      <c r="C4208" s="287"/>
      <c r="D4208" s="286"/>
      <c r="E4208" s="286"/>
    </row>
    <row r="4209">
      <c r="A4209" s="286"/>
      <c r="B4209" s="286"/>
      <c r="C4209" s="287"/>
      <c r="D4209" s="286"/>
      <c r="E4209" s="286"/>
    </row>
    <row r="4210">
      <c r="A4210" s="286"/>
      <c r="B4210" s="286"/>
      <c r="C4210" s="287"/>
      <c r="D4210" s="286"/>
      <c r="E4210" s="286"/>
    </row>
    <row r="4211">
      <c r="A4211" s="286"/>
      <c r="B4211" s="286"/>
      <c r="C4211" s="287"/>
      <c r="D4211" s="286"/>
      <c r="E4211" s="286"/>
    </row>
    <row r="4212">
      <c r="A4212" s="286"/>
      <c r="B4212" s="286"/>
      <c r="C4212" s="287"/>
      <c r="D4212" s="286"/>
      <c r="E4212" s="286"/>
    </row>
    <row r="4213">
      <c r="A4213" s="286"/>
      <c r="B4213" s="286"/>
      <c r="C4213" s="287"/>
      <c r="D4213" s="286"/>
      <c r="E4213" s="286"/>
    </row>
    <row r="4214">
      <c r="A4214" s="286"/>
      <c r="B4214" s="286"/>
      <c r="C4214" s="287"/>
      <c r="D4214" s="286"/>
      <c r="E4214" s="286"/>
    </row>
    <row r="4215">
      <c r="A4215" s="286"/>
      <c r="B4215" s="286"/>
      <c r="C4215" s="287"/>
      <c r="D4215" s="286"/>
      <c r="E4215" s="286"/>
    </row>
    <row r="4216">
      <c r="A4216" s="286"/>
      <c r="B4216" s="286"/>
      <c r="C4216" s="287"/>
      <c r="D4216" s="286"/>
      <c r="E4216" s="286"/>
    </row>
    <row r="4217">
      <c r="A4217" s="286"/>
      <c r="B4217" s="286"/>
      <c r="C4217" s="287"/>
      <c r="D4217" s="286"/>
      <c r="E4217" s="286"/>
    </row>
    <row r="4218">
      <c r="A4218" s="286"/>
      <c r="B4218" s="286"/>
      <c r="C4218" s="287"/>
      <c r="D4218" s="286"/>
      <c r="E4218" s="286"/>
    </row>
    <row r="4219">
      <c r="A4219" s="286"/>
      <c r="B4219" s="286"/>
      <c r="C4219" s="287"/>
      <c r="D4219" s="286"/>
      <c r="E4219" s="286"/>
    </row>
    <row r="4220">
      <c r="A4220" s="286"/>
      <c r="B4220" s="286"/>
      <c r="C4220" s="287"/>
      <c r="D4220" s="286"/>
      <c r="E4220" s="286"/>
    </row>
    <row r="4221">
      <c r="A4221" s="286"/>
      <c r="B4221" s="286"/>
      <c r="C4221" s="287"/>
      <c r="D4221" s="286"/>
      <c r="E4221" s="286"/>
    </row>
    <row r="4222">
      <c r="A4222" s="286"/>
      <c r="B4222" s="286"/>
      <c r="C4222" s="287"/>
      <c r="D4222" s="286"/>
      <c r="E4222" s="286"/>
    </row>
    <row r="4223">
      <c r="A4223" s="286"/>
      <c r="B4223" s="286"/>
      <c r="C4223" s="287"/>
      <c r="D4223" s="286"/>
      <c r="E4223" s="286"/>
    </row>
    <row r="4224">
      <c r="A4224" s="286"/>
      <c r="B4224" s="286"/>
      <c r="C4224" s="287"/>
      <c r="D4224" s="286"/>
      <c r="E4224" s="286"/>
    </row>
    <row r="4225">
      <c r="A4225" s="286"/>
      <c r="B4225" s="286"/>
      <c r="C4225" s="287"/>
      <c r="D4225" s="286"/>
      <c r="E4225" s="286"/>
    </row>
    <row r="4226">
      <c r="A4226" s="286"/>
      <c r="B4226" s="286"/>
      <c r="C4226" s="287"/>
      <c r="D4226" s="286"/>
      <c r="E4226" s="286"/>
    </row>
    <row r="4227">
      <c r="A4227" s="286"/>
      <c r="B4227" s="286"/>
      <c r="C4227" s="287"/>
      <c r="D4227" s="286"/>
      <c r="E4227" s="286"/>
    </row>
    <row r="4228">
      <c r="A4228" s="286"/>
      <c r="B4228" s="286"/>
      <c r="C4228" s="287"/>
      <c r="D4228" s="286"/>
      <c r="E4228" s="286"/>
    </row>
    <row r="4229">
      <c r="A4229" s="286"/>
      <c r="B4229" s="286"/>
      <c r="C4229" s="287"/>
      <c r="D4229" s="286"/>
      <c r="E4229" s="286"/>
    </row>
    <row r="4230">
      <c r="A4230" s="286"/>
      <c r="B4230" s="286"/>
      <c r="C4230" s="287"/>
      <c r="D4230" s="286"/>
      <c r="E4230" s="286"/>
    </row>
    <row r="4231">
      <c r="A4231" s="286"/>
      <c r="B4231" s="286"/>
      <c r="C4231" s="287"/>
      <c r="D4231" s="286"/>
      <c r="E4231" s="286"/>
    </row>
    <row r="4232">
      <c r="A4232" s="286"/>
      <c r="B4232" s="286"/>
      <c r="C4232" s="287"/>
      <c r="D4232" s="286"/>
      <c r="E4232" s="286"/>
    </row>
    <row r="4233">
      <c r="A4233" s="286"/>
      <c r="B4233" s="286"/>
      <c r="C4233" s="287"/>
      <c r="D4233" s="286"/>
      <c r="E4233" s="286"/>
    </row>
    <row r="4234">
      <c r="A4234" s="286"/>
      <c r="B4234" s="286"/>
      <c r="C4234" s="287"/>
      <c r="D4234" s="286"/>
      <c r="E4234" s="286"/>
    </row>
    <row r="4235">
      <c r="A4235" s="286"/>
      <c r="B4235" s="286"/>
      <c r="C4235" s="287"/>
      <c r="D4235" s="286"/>
      <c r="E4235" s="286"/>
    </row>
    <row r="4236">
      <c r="A4236" s="286"/>
      <c r="B4236" s="286"/>
      <c r="C4236" s="287"/>
      <c r="D4236" s="286"/>
      <c r="E4236" s="286"/>
    </row>
    <row r="4237">
      <c r="A4237" s="286"/>
      <c r="B4237" s="286"/>
      <c r="C4237" s="287"/>
      <c r="D4237" s="286"/>
      <c r="E4237" s="286"/>
    </row>
    <row r="4238">
      <c r="A4238" s="286"/>
      <c r="B4238" s="286"/>
      <c r="C4238" s="287"/>
      <c r="D4238" s="286"/>
      <c r="E4238" s="286"/>
    </row>
    <row r="4239">
      <c r="A4239" s="286"/>
      <c r="B4239" s="286"/>
      <c r="C4239" s="287"/>
      <c r="D4239" s="286"/>
      <c r="E4239" s="286"/>
    </row>
    <row r="4240">
      <c r="A4240" s="286"/>
      <c r="B4240" s="286"/>
      <c r="C4240" s="287"/>
      <c r="D4240" s="286"/>
      <c r="E4240" s="286"/>
    </row>
    <row r="4241">
      <c r="A4241" s="286"/>
      <c r="B4241" s="286"/>
      <c r="C4241" s="287"/>
      <c r="D4241" s="286"/>
      <c r="E4241" s="286"/>
    </row>
    <row r="4242">
      <c r="A4242" s="286"/>
      <c r="B4242" s="286"/>
      <c r="C4242" s="287"/>
      <c r="D4242" s="286"/>
      <c r="E4242" s="286"/>
    </row>
    <row r="4243">
      <c r="A4243" s="286"/>
      <c r="B4243" s="286"/>
      <c r="C4243" s="287"/>
      <c r="D4243" s="286"/>
      <c r="E4243" s="286"/>
    </row>
    <row r="4244">
      <c r="A4244" s="286"/>
      <c r="B4244" s="286"/>
      <c r="C4244" s="287"/>
      <c r="D4244" s="286"/>
      <c r="E4244" s="286"/>
    </row>
    <row r="4245">
      <c r="A4245" s="286"/>
      <c r="B4245" s="286"/>
      <c r="C4245" s="287"/>
      <c r="D4245" s="286"/>
      <c r="E4245" s="286"/>
    </row>
    <row r="4246">
      <c r="A4246" s="286"/>
      <c r="B4246" s="286"/>
      <c r="C4246" s="287"/>
      <c r="D4246" s="286"/>
      <c r="E4246" s="286"/>
    </row>
    <row r="4247">
      <c r="A4247" s="286"/>
      <c r="B4247" s="286"/>
      <c r="C4247" s="287"/>
      <c r="D4247" s="286"/>
      <c r="E4247" s="286"/>
    </row>
    <row r="4248">
      <c r="A4248" s="286"/>
      <c r="B4248" s="286"/>
      <c r="C4248" s="287"/>
      <c r="D4248" s="286"/>
      <c r="E4248" s="286"/>
    </row>
    <row r="4249">
      <c r="A4249" s="286"/>
      <c r="B4249" s="286"/>
      <c r="C4249" s="287"/>
      <c r="D4249" s="286"/>
      <c r="E4249" s="286"/>
    </row>
    <row r="4250">
      <c r="A4250" s="286"/>
      <c r="B4250" s="286"/>
      <c r="C4250" s="287"/>
      <c r="D4250" s="286"/>
      <c r="E4250" s="286"/>
    </row>
    <row r="4251">
      <c r="A4251" s="286"/>
      <c r="B4251" s="286"/>
      <c r="C4251" s="287"/>
      <c r="D4251" s="286"/>
      <c r="E4251" s="286"/>
    </row>
    <row r="4252">
      <c r="A4252" s="286"/>
      <c r="B4252" s="286"/>
      <c r="C4252" s="287"/>
      <c r="D4252" s="286"/>
      <c r="E4252" s="286"/>
    </row>
    <row r="4253">
      <c r="A4253" s="286"/>
      <c r="B4253" s="286"/>
      <c r="C4253" s="287"/>
      <c r="D4253" s="286"/>
      <c r="E4253" s="286"/>
    </row>
    <row r="4254">
      <c r="A4254" s="286"/>
      <c r="B4254" s="286"/>
      <c r="C4254" s="287"/>
      <c r="D4254" s="286"/>
      <c r="E4254" s="286"/>
    </row>
    <row r="4255">
      <c r="A4255" s="286"/>
      <c r="B4255" s="286"/>
      <c r="C4255" s="287"/>
      <c r="D4255" s="286"/>
      <c r="E4255" s="286"/>
    </row>
    <row r="4256">
      <c r="A4256" s="286"/>
      <c r="B4256" s="286"/>
      <c r="C4256" s="287"/>
      <c r="D4256" s="286"/>
      <c r="E4256" s="286"/>
    </row>
    <row r="4257">
      <c r="A4257" s="286"/>
      <c r="B4257" s="286"/>
      <c r="C4257" s="287"/>
      <c r="D4257" s="286"/>
      <c r="E4257" s="286"/>
    </row>
    <row r="4258">
      <c r="A4258" s="286"/>
      <c r="B4258" s="286"/>
      <c r="C4258" s="287"/>
      <c r="D4258" s="286"/>
      <c r="E4258" s="286"/>
    </row>
    <row r="4259">
      <c r="A4259" s="286"/>
      <c r="B4259" s="286"/>
      <c r="C4259" s="287"/>
      <c r="D4259" s="286"/>
      <c r="E4259" s="286"/>
    </row>
    <row r="4260">
      <c r="A4260" s="286"/>
      <c r="B4260" s="286"/>
      <c r="C4260" s="287"/>
      <c r="D4260" s="286"/>
      <c r="E4260" s="286"/>
    </row>
    <row r="4261">
      <c r="A4261" s="286"/>
      <c r="B4261" s="286"/>
      <c r="C4261" s="287"/>
      <c r="D4261" s="286"/>
      <c r="E4261" s="286"/>
    </row>
    <row r="4262">
      <c r="A4262" s="286"/>
      <c r="B4262" s="286"/>
      <c r="C4262" s="287"/>
      <c r="D4262" s="286"/>
      <c r="E4262" s="286"/>
    </row>
    <row r="4263">
      <c r="A4263" s="286"/>
      <c r="B4263" s="286"/>
      <c r="C4263" s="287"/>
      <c r="D4263" s="286"/>
      <c r="E4263" s="286"/>
    </row>
    <row r="4264">
      <c r="A4264" s="286"/>
      <c r="B4264" s="286"/>
      <c r="C4264" s="287"/>
      <c r="D4264" s="286"/>
      <c r="E4264" s="286"/>
    </row>
    <row r="4265">
      <c r="A4265" s="286"/>
      <c r="B4265" s="286"/>
      <c r="C4265" s="287"/>
      <c r="D4265" s="286"/>
      <c r="E4265" s="286"/>
    </row>
    <row r="4266">
      <c r="A4266" s="286"/>
      <c r="B4266" s="286"/>
      <c r="C4266" s="287"/>
      <c r="D4266" s="286"/>
      <c r="E4266" s="286"/>
    </row>
    <row r="4267">
      <c r="A4267" s="286"/>
      <c r="B4267" s="286"/>
      <c r="C4267" s="287"/>
      <c r="D4267" s="286"/>
      <c r="E4267" s="286"/>
    </row>
    <row r="4268">
      <c r="A4268" s="286"/>
      <c r="B4268" s="286"/>
      <c r="C4268" s="287"/>
      <c r="D4268" s="286"/>
      <c r="E4268" s="286"/>
    </row>
    <row r="4269">
      <c r="A4269" s="286"/>
      <c r="B4269" s="286"/>
      <c r="C4269" s="287"/>
      <c r="D4269" s="286"/>
      <c r="E4269" s="286"/>
    </row>
    <row r="4270">
      <c r="A4270" s="286"/>
      <c r="B4270" s="286"/>
      <c r="C4270" s="287"/>
      <c r="D4270" s="286"/>
      <c r="E4270" s="286"/>
    </row>
    <row r="4271">
      <c r="A4271" s="286"/>
      <c r="B4271" s="286"/>
      <c r="C4271" s="287"/>
      <c r="D4271" s="286"/>
      <c r="E4271" s="286"/>
    </row>
    <row r="4272">
      <c r="A4272" s="286"/>
      <c r="B4272" s="286"/>
      <c r="C4272" s="287"/>
      <c r="D4272" s="286"/>
      <c r="E4272" s="286"/>
    </row>
    <row r="4273">
      <c r="A4273" s="286"/>
      <c r="B4273" s="286"/>
      <c r="C4273" s="287"/>
      <c r="D4273" s="286"/>
      <c r="E4273" s="286"/>
    </row>
    <row r="4274">
      <c r="A4274" s="286"/>
      <c r="B4274" s="286"/>
      <c r="C4274" s="287"/>
      <c r="D4274" s="286"/>
      <c r="E4274" s="286"/>
    </row>
    <row r="4275">
      <c r="A4275" s="286"/>
      <c r="B4275" s="286"/>
      <c r="C4275" s="287"/>
      <c r="D4275" s="286"/>
      <c r="E4275" s="286"/>
    </row>
    <row r="4276">
      <c r="A4276" s="286"/>
      <c r="B4276" s="286"/>
      <c r="C4276" s="287"/>
      <c r="D4276" s="286"/>
      <c r="E4276" s="286"/>
    </row>
    <row r="4277">
      <c r="A4277" s="286"/>
      <c r="B4277" s="286"/>
      <c r="C4277" s="287"/>
      <c r="D4277" s="286"/>
      <c r="E4277" s="286"/>
    </row>
    <row r="4278">
      <c r="A4278" s="286"/>
      <c r="B4278" s="286"/>
      <c r="C4278" s="287"/>
      <c r="D4278" s="286"/>
      <c r="E4278" s="286"/>
    </row>
    <row r="4279">
      <c r="A4279" s="286"/>
      <c r="B4279" s="286"/>
      <c r="C4279" s="287"/>
      <c r="D4279" s="286"/>
      <c r="E4279" s="286"/>
    </row>
    <row r="4280">
      <c r="A4280" s="286"/>
      <c r="B4280" s="286"/>
      <c r="C4280" s="287"/>
      <c r="D4280" s="286"/>
      <c r="E4280" s="286"/>
    </row>
    <row r="4281">
      <c r="A4281" s="286"/>
      <c r="B4281" s="286"/>
      <c r="C4281" s="287"/>
      <c r="D4281" s="286"/>
      <c r="E4281" s="286"/>
    </row>
    <row r="4282">
      <c r="A4282" s="286"/>
      <c r="B4282" s="286"/>
      <c r="C4282" s="287"/>
      <c r="D4282" s="286"/>
      <c r="E4282" s="286"/>
    </row>
    <row r="4283">
      <c r="A4283" s="286"/>
      <c r="B4283" s="286"/>
      <c r="C4283" s="287"/>
      <c r="D4283" s="286"/>
      <c r="E4283" s="286"/>
    </row>
    <row r="4284">
      <c r="A4284" s="286"/>
      <c r="B4284" s="286"/>
      <c r="C4284" s="287"/>
      <c r="D4284" s="286"/>
      <c r="E4284" s="286"/>
    </row>
    <row r="4285">
      <c r="A4285" s="286"/>
      <c r="B4285" s="286"/>
      <c r="C4285" s="287"/>
      <c r="D4285" s="286"/>
      <c r="E4285" s="286"/>
    </row>
    <row r="4286">
      <c r="A4286" s="286"/>
      <c r="B4286" s="286"/>
      <c r="C4286" s="287"/>
      <c r="D4286" s="286"/>
      <c r="E4286" s="286"/>
    </row>
    <row r="4287">
      <c r="A4287" s="286"/>
      <c r="B4287" s="286"/>
      <c r="C4287" s="287"/>
      <c r="D4287" s="286"/>
      <c r="E4287" s="286"/>
    </row>
    <row r="4288">
      <c r="A4288" s="286"/>
      <c r="B4288" s="286"/>
      <c r="C4288" s="287"/>
      <c r="D4288" s="286"/>
      <c r="E4288" s="286"/>
    </row>
    <row r="4289">
      <c r="A4289" s="286"/>
      <c r="B4289" s="286"/>
      <c r="C4289" s="287"/>
      <c r="D4289" s="286"/>
      <c r="E4289" s="286"/>
    </row>
    <row r="4290">
      <c r="A4290" s="286"/>
      <c r="B4290" s="286"/>
      <c r="C4290" s="287"/>
      <c r="D4290" s="286"/>
      <c r="E4290" s="286"/>
    </row>
    <row r="4291">
      <c r="A4291" s="286"/>
      <c r="B4291" s="286"/>
      <c r="C4291" s="287"/>
      <c r="D4291" s="286"/>
      <c r="E4291" s="286"/>
    </row>
    <row r="4292">
      <c r="A4292" s="286"/>
      <c r="B4292" s="286"/>
      <c r="C4292" s="287"/>
      <c r="D4292" s="286"/>
      <c r="E4292" s="286"/>
    </row>
    <row r="4293">
      <c r="A4293" s="286"/>
      <c r="B4293" s="286"/>
      <c r="C4293" s="287"/>
      <c r="D4293" s="286"/>
      <c r="E4293" s="286"/>
    </row>
    <row r="4294">
      <c r="A4294" s="286"/>
      <c r="B4294" s="286"/>
      <c r="C4294" s="287"/>
      <c r="D4294" s="286"/>
      <c r="E4294" s="286"/>
    </row>
    <row r="4295">
      <c r="A4295" s="286"/>
      <c r="B4295" s="286"/>
      <c r="C4295" s="287"/>
      <c r="D4295" s="286"/>
      <c r="E4295" s="286"/>
    </row>
    <row r="4296">
      <c r="A4296" s="286"/>
      <c r="B4296" s="286"/>
      <c r="C4296" s="287"/>
      <c r="D4296" s="286"/>
      <c r="E4296" s="286"/>
    </row>
    <row r="4297">
      <c r="A4297" s="286"/>
      <c r="B4297" s="286"/>
      <c r="C4297" s="287"/>
      <c r="D4297" s="286"/>
      <c r="E4297" s="286"/>
    </row>
    <row r="4298">
      <c r="A4298" s="286"/>
      <c r="B4298" s="286"/>
      <c r="C4298" s="287"/>
      <c r="D4298" s="286"/>
      <c r="E4298" s="286"/>
    </row>
    <row r="4299">
      <c r="A4299" s="286"/>
      <c r="B4299" s="286"/>
      <c r="C4299" s="287"/>
      <c r="D4299" s="286"/>
      <c r="E4299" s="286"/>
    </row>
    <row r="4300">
      <c r="A4300" s="286"/>
      <c r="B4300" s="286"/>
      <c r="C4300" s="287"/>
      <c r="D4300" s="286"/>
      <c r="E4300" s="286"/>
    </row>
    <row r="4301">
      <c r="A4301" s="286"/>
      <c r="B4301" s="286"/>
      <c r="C4301" s="287"/>
      <c r="D4301" s="286"/>
      <c r="E4301" s="286"/>
    </row>
    <row r="4302">
      <c r="A4302" s="286"/>
      <c r="B4302" s="286"/>
      <c r="C4302" s="287"/>
      <c r="D4302" s="286"/>
      <c r="E4302" s="286"/>
    </row>
    <row r="4303">
      <c r="A4303" s="286"/>
      <c r="B4303" s="286"/>
      <c r="C4303" s="287"/>
      <c r="D4303" s="286"/>
      <c r="E4303" s="286"/>
    </row>
    <row r="4304">
      <c r="A4304" s="286"/>
      <c r="B4304" s="286"/>
      <c r="C4304" s="287"/>
      <c r="D4304" s="286"/>
      <c r="E4304" s="286"/>
    </row>
    <row r="4305">
      <c r="A4305" s="286"/>
      <c r="B4305" s="286"/>
      <c r="C4305" s="287"/>
      <c r="D4305" s="286"/>
      <c r="E4305" s="286"/>
    </row>
    <row r="4306">
      <c r="A4306" s="286"/>
      <c r="B4306" s="286"/>
      <c r="C4306" s="287"/>
      <c r="D4306" s="286"/>
      <c r="E4306" s="286"/>
    </row>
    <row r="4307">
      <c r="A4307" s="286"/>
      <c r="B4307" s="286"/>
      <c r="C4307" s="287"/>
      <c r="D4307" s="286"/>
      <c r="E4307" s="286"/>
    </row>
    <row r="4308">
      <c r="A4308" s="286"/>
      <c r="B4308" s="286"/>
      <c r="C4308" s="287"/>
      <c r="D4308" s="286"/>
      <c r="E4308" s="286"/>
    </row>
    <row r="4309">
      <c r="A4309" s="286"/>
      <c r="B4309" s="286"/>
      <c r="C4309" s="287"/>
      <c r="D4309" s="286"/>
      <c r="E4309" s="286"/>
    </row>
    <row r="4310">
      <c r="A4310" s="286"/>
      <c r="B4310" s="286"/>
      <c r="C4310" s="287"/>
      <c r="D4310" s="286"/>
      <c r="E4310" s="286"/>
    </row>
    <row r="4311">
      <c r="A4311" s="286"/>
      <c r="B4311" s="286"/>
      <c r="C4311" s="287"/>
      <c r="D4311" s="286"/>
      <c r="E4311" s="286"/>
    </row>
    <row r="4312">
      <c r="A4312" s="286"/>
      <c r="B4312" s="286"/>
      <c r="C4312" s="287"/>
      <c r="D4312" s="286"/>
      <c r="E4312" s="286"/>
    </row>
    <row r="4313">
      <c r="A4313" s="286"/>
      <c r="B4313" s="286"/>
      <c r="C4313" s="287"/>
      <c r="D4313" s="286"/>
      <c r="E4313" s="286"/>
    </row>
    <row r="4314">
      <c r="A4314" s="286"/>
      <c r="B4314" s="286"/>
      <c r="C4314" s="287"/>
      <c r="D4314" s="286"/>
      <c r="E4314" s="286"/>
    </row>
    <row r="4315">
      <c r="A4315" s="286"/>
      <c r="B4315" s="286"/>
      <c r="C4315" s="287"/>
      <c r="D4315" s="286"/>
      <c r="E4315" s="286"/>
    </row>
    <row r="4316">
      <c r="A4316" s="286"/>
      <c r="B4316" s="286"/>
      <c r="C4316" s="287"/>
      <c r="D4316" s="286"/>
      <c r="E4316" s="286"/>
    </row>
    <row r="4317">
      <c r="A4317" s="286"/>
      <c r="B4317" s="286"/>
      <c r="C4317" s="287"/>
      <c r="D4317" s="286"/>
      <c r="E4317" s="286"/>
    </row>
    <row r="4318">
      <c r="A4318" s="286"/>
      <c r="B4318" s="286"/>
      <c r="C4318" s="287"/>
      <c r="D4318" s="286"/>
      <c r="E4318" s="286"/>
    </row>
    <row r="4319">
      <c r="A4319" s="286"/>
      <c r="B4319" s="286"/>
      <c r="C4319" s="287"/>
      <c r="D4319" s="286"/>
      <c r="E4319" s="286"/>
    </row>
    <row r="4320">
      <c r="A4320" s="286"/>
      <c r="B4320" s="286"/>
      <c r="C4320" s="287"/>
      <c r="D4320" s="286"/>
      <c r="E4320" s="286"/>
    </row>
    <row r="4321">
      <c r="A4321" s="286"/>
      <c r="B4321" s="286"/>
      <c r="C4321" s="287"/>
      <c r="D4321" s="286"/>
      <c r="E4321" s="286"/>
    </row>
    <row r="4322">
      <c r="A4322" s="286"/>
      <c r="B4322" s="286"/>
      <c r="C4322" s="287"/>
      <c r="D4322" s="286"/>
      <c r="E4322" s="286"/>
    </row>
    <row r="4323">
      <c r="A4323" s="286"/>
      <c r="B4323" s="286"/>
      <c r="C4323" s="287"/>
      <c r="D4323" s="286"/>
      <c r="E4323" s="286"/>
    </row>
    <row r="4324">
      <c r="A4324" s="286"/>
      <c r="B4324" s="286"/>
      <c r="C4324" s="287"/>
      <c r="D4324" s="286"/>
      <c r="E4324" s="286"/>
    </row>
    <row r="4325">
      <c r="A4325" s="286"/>
      <c r="B4325" s="286"/>
      <c r="C4325" s="287"/>
      <c r="D4325" s="286"/>
      <c r="E4325" s="286"/>
    </row>
    <row r="4326">
      <c r="A4326" s="286"/>
      <c r="B4326" s="286"/>
      <c r="C4326" s="287"/>
      <c r="D4326" s="286"/>
      <c r="E4326" s="286"/>
    </row>
    <row r="4327">
      <c r="A4327" s="286"/>
      <c r="B4327" s="286"/>
      <c r="C4327" s="287"/>
      <c r="D4327" s="286"/>
      <c r="E4327" s="286"/>
    </row>
    <row r="4328">
      <c r="A4328" s="286"/>
      <c r="B4328" s="286"/>
      <c r="C4328" s="287"/>
      <c r="D4328" s="286"/>
      <c r="E4328" s="286"/>
    </row>
    <row r="4329">
      <c r="A4329" s="286"/>
      <c r="B4329" s="286"/>
      <c r="C4329" s="287"/>
      <c r="D4329" s="286"/>
      <c r="E4329" s="286"/>
    </row>
    <row r="4330">
      <c r="A4330" s="286"/>
      <c r="B4330" s="286"/>
      <c r="C4330" s="287"/>
      <c r="D4330" s="286"/>
      <c r="E4330" s="286"/>
    </row>
    <row r="4331">
      <c r="A4331" s="286"/>
      <c r="B4331" s="286"/>
      <c r="C4331" s="287"/>
      <c r="D4331" s="286"/>
      <c r="E4331" s="286"/>
    </row>
    <row r="4332">
      <c r="A4332" s="286"/>
      <c r="B4332" s="286"/>
      <c r="C4332" s="287"/>
      <c r="D4332" s="286"/>
      <c r="E4332" s="286"/>
    </row>
    <row r="4333">
      <c r="A4333" s="286"/>
      <c r="B4333" s="286"/>
      <c r="C4333" s="287"/>
      <c r="D4333" s="286"/>
      <c r="E4333" s="286"/>
    </row>
    <row r="4334">
      <c r="A4334" s="286"/>
      <c r="B4334" s="286"/>
      <c r="C4334" s="287"/>
      <c r="D4334" s="286"/>
      <c r="E4334" s="286"/>
    </row>
    <row r="4335">
      <c r="A4335" s="286"/>
      <c r="B4335" s="286"/>
      <c r="C4335" s="287"/>
      <c r="D4335" s="286"/>
      <c r="E4335" s="286"/>
    </row>
    <row r="4336">
      <c r="A4336" s="286"/>
      <c r="B4336" s="286"/>
      <c r="C4336" s="287"/>
      <c r="D4336" s="286"/>
      <c r="E4336" s="286"/>
    </row>
    <row r="4337">
      <c r="A4337" s="286"/>
      <c r="B4337" s="286"/>
      <c r="C4337" s="287"/>
      <c r="D4337" s="286"/>
      <c r="E4337" s="286"/>
    </row>
    <row r="4338">
      <c r="A4338" s="286"/>
      <c r="B4338" s="286"/>
      <c r="C4338" s="287"/>
      <c r="D4338" s="286"/>
      <c r="E4338" s="286"/>
    </row>
    <row r="4339">
      <c r="A4339" s="286"/>
      <c r="B4339" s="286"/>
      <c r="C4339" s="287"/>
      <c r="D4339" s="286"/>
      <c r="E4339" s="286"/>
    </row>
    <row r="4340">
      <c r="A4340" s="286"/>
      <c r="B4340" s="286"/>
      <c r="C4340" s="287"/>
      <c r="D4340" s="286"/>
      <c r="E4340" s="286"/>
    </row>
    <row r="4341">
      <c r="A4341" s="286"/>
      <c r="B4341" s="286"/>
      <c r="C4341" s="287"/>
      <c r="D4341" s="286"/>
      <c r="E4341" s="286"/>
    </row>
    <row r="4342">
      <c r="A4342" s="286"/>
      <c r="B4342" s="286"/>
      <c r="C4342" s="287"/>
      <c r="D4342" s="286"/>
      <c r="E4342" s="286"/>
    </row>
    <row r="4343">
      <c r="A4343" s="286"/>
      <c r="B4343" s="286"/>
      <c r="C4343" s="287"/>
      <c r="D4343" s="286"/>
      <c r="E4343" s="286"/>
    </row>
    <row r="4344">
      <c r="A4344" s="286"/>
      <c r="B4344" s="286"/>
      <c r="C4344" s="287"/>
      <c r="D4344" s="286"/>
      <c r="E4344" s="286"/>
    </row>
    <row r="4345">
      <c r="A4345" s="286"/>
      <c r="B4345" s="286"/>
      <c r="C4345" s="287"/>
      <c r="D4345" s="286"/>
      <c r="E4345" s="286"/>
    </row>
    <row r="4346">
      <c r="A4346" s="286"/>
      <c r="B4346" s="286"/>
      <c r="C4346" s="287"/>
      <c r="D4346" s="286"/>
      <c r="E4346" s="286"/>
    </row>
    <row r="4347">
      <c r="A4347" s="286"/>
      <c r="B4347" s="286"/>
      <c r="C4347" s="287"/>
      <c r="D4347" s="286"/>
      <c r="E4347" s="286"/>
    </row>
    <row r="4348">
      <c r="A4348" s="286"/>
      <c r="B4348" s="286"/>
      <c r="C4348" s="287"/>
      <c r="D4348" s="286"/>
      <c r="E4348" s="286"/>
    </row>
    <row r="4349">
      <c r="A4349" s="286"/>
      <c r="B4349" s="286"/>
      <c r="C4349" s="287"/>
      <c r="D4349" s="286"/>
      <c r="E4349" s="286"/>
    </row>
    <row r="4350">
      <c r="A4350" s="286"/>
      <c r="B4350" s="286"/>
      <c r="C4350" s="287"/>
      <c r="D4350" s="286"/>
      <c r="E4350" s="286"/>
    </row>
    <row r="4351">
      <c r="A4351" s="286"/>
      <c r="B4351" s="286"/>
      <c r="C4351" s="287"/>
      <c r="D4351" s="286"/>
      <c r="E4351" s="286"/>
    </row>
    <row r="4352">
      <c r="A4352" s="286"/>
      <c r="B4352" s="286"/>
      <c r="C4352" s="287"/>
      <c r="D4352" s="286"/>
      <c r="E4352" s="286"/>
    </row>
    <row r="4353">
      <c r="A4353" s="286"/>
      <c r="B4353" s="286"/>
      <c r="C4353" s="287"/>
      <c r="D4353" s="286"/>
      <c r="E4353" s="286"/>
    </row>
    <row r="4354">
      <c r="A4354" s="286"/>
      <c r="B4354" s="286"/>
      <c r="C4354" s="287"/>
      <c r="D4354" s="286"/>
      <c r="E4354" s="286"/>
    </row>
    <row r="4355">
      <c r="A4355" s="286"/>
      <c r="B4355" s="286"/>
      <c r="C4355" s="287"/>
      <c r="D4355" s="286"/>
      <c r="E4355" s="286"/>
    </row>
    <row r="4356">
      <c r="A4356" s="286"/>
      <c r="B4356" s="286"/>
      <c r="C4356" s="287"/>
      <c r="D4356" s="286"/>
      <c r="E4356" s="286"/>
    </row>
    <row r="4357">
      <c r="A4357" s="286"/>
      <c r="B4357" s="286"/>
      <c r="C4357" s="287"/>
      <c r="D4357" s="286"/>
      <c r="E4357" s="286"/>
    </row>
    <row r="4358">
      <c r="A4358" s="286"/>
      <c r="B4358" s="286"/>
      <c r="C4358" s="287"/>
      <c r="D4358" s="286"/>
      <c r="E4358" s="286"/>
    </row>
    <row r="4359">
      <c r="A4359" s="286"/>
      <c r="B4359" s="286"/>
      <c r="C4359" s="287"/>
      <c r="D4359" s="286"/>
      <c r="E4359" s="286"/>
    </row>
    <row r="4360">
      <c r="A4360" s="286"/>
      <c r="B4360" s="286"/>
      <c r="C4360" s="287"/>
      <c r="D4360" s="286"/>
      <c r="E4360" s="286"/>
    </row>
    <row r="4361">
      <c r="A4361" s="286"/>
      <c r="B4361" s="286"/>
      <c r="C4361" s="287"/>
      <c r="D4361" s="286"/>
      <c r="E4361" s="286"/>
    </row>
    <row r="4362">
      <c r="A4362" s="286"/>
      <c r="B4362" s="286"/>
      <c r="C4362" s="287"/>
      <c r="D4362" s="286"/>
      <c r="E4362" s="286"/>
    </row>
    <row r="4363">
      <c r="A4363" s="286"/>
      <c r="B4363" s="286"/>
      <c r="C4363" s="287"/>
      <c r="D4363" s="286"/>
      <c r="E4363" s="286"/>
    </row>
    <row r="4364">
      <c r="A4364" s="286"/>
      <c r="B4364" s="286"/>
      <c r="C4364" s="287"/>
      <c r="D4364" s="286"/>
      <c r="E4364" s="286"/>
    </row>
    <row r="4365">
      <c r="A4365" s="286"/>
      <c r="B4365" s="286"/>
      <c r="C4365" s="287"/>
      <c r="D4365" s="286"/>
      <c r="E4365" s="286"/>
    </row>
    <row r="4366">
      <c r="A4366" s="286"/>
      <c r="B4366" s="286"/>
      <c r="C4366" s="287"/>
      <c r="D4366" s="286"/>
      <c r="E4366" s="286"/>
    </row>
    <row r="4367">
      <c r="A4367" s="286"/>
      <c r="B4367" s="286"/>
      <c r="C4367" s="287"/>
      <c r="D4367" s="286"/>
      <c r="E4367" s="286"/>
    </row>
    <row r="4368">
      <c r="A4368" s="286"/>
      <c r="B4368" s="286"/>
      <c r="C4368" s="287"/>
      <c r="D4368" s="286"/>
      <c r="E4368" s="286"/>
    </row>
    <row r="4369">
      <c r="A4369" s="286"/>
      <c r="B4369" s="286"/>
      <c r="C4369" s="287"/>
      <c r="D4369" s="286"/>
      <c r="E4369" s="286"/>
    </row>
    <row r="4370">
      <c r="A4370" s="286"/>
      <c r="B4370" s="286"/>
      <c r="C4370" s="287"/>
      <c r="D4370" s="286"/>
      <c r="E4370" s="286"/>
    </row>
    <row r="4371">
      <c r="A4371" s="286"/>
      <c r="B4371" s="286"/>
      <c r="C4371" s="287"/>
      <c r="D4371" s="286"/>
      <c r="E4371" s="286"/>
    </row>
    <row r="4372">
      <c r="A4372" s="286"/>
      <c r="B4372" s="286"/>
      <c r="C4372" s="287"/>
      <c r="D4372" s="286"/>
      <c r="E4372" s="286"/>
    </row>
    <row r="4373">
      <c r="A4373" s="286"/>
      <c r="B4373" s="286"/>
      <c r="C4373" s="287"/>
      <c r="D4373" s="286"/>
      <c r="E4373" s="286"/>
    </row>
    <row r="4374">
      <c r="A4374" s="286"/>
      <c r="B4374" s="286"/>
      <c r="C4374" s="287"/>
      <c r="D4374" s="286"/>
      <c r="E4374" s="286"/>
    </row>
    <row r="4375">
      <c r="A4375" s="286"/>
      <c r="B4375" s="286"/>
      <c r="C4375" s="287"/>
      <c r="D4375" s="286"/>
      <c r="E4375" s="286"/>
    </row>
    <row r="4376">
      <c r="A4376" s="286"/>
      <c r="B4376" s="286"/>
      <c r="C4376" s="287"/>
      <c r="D4376" s="286"/>
      <c r="E4376" s="286"/>
    </row>
    <row r="4377">
      <c r="A4377" s="286"/>
      <c r="B4377" s="286"/>
      <c r="C4377" s="287"/>
      <c r="D4377" s="286"/>
      <c r="E4377" s="286"/>
    </row>
    <row r="4378">
      <c r="A4378" s="286"/>
      <c r="B4378" s="286"/>
      <c r="C4378" s="287"/>
      <c r="D4378" s="286"/>
      <c r="E4378" s="286"/>
    </row>
    <row r="4379">
      <c r="A4379" s="286"/>
      <c r="B4379" s="286"/>
      <c r="C4379" s="287"/>
      <c r="D4379" s="286"/>
      <c r="E4379" s="286"/>
    </row>
    <row r="4380">
      <c r="A4380" s="286"/>
      <c r="B4380" s="286"/>
      <c r="C4380" s="287"/>
      <c r="D4380" s="286"/>
      <c r="E4380" s="286"/>
    </row>
    <row r="4381">
      <c r="A4381" s="286"/>
      <c r="B4381" s="286"/>
      <c r="C4381" s="287"/>
      <c r="D4381" s="286"/>
      <c r="E4381" s="286"/>
    </row>
    <row r="4382">
      <c r="A4382" s="286"/>
      <c r="B4382" s="286"/>
      <c r="C4382" s="287"/>
      <c r="D4382" s="286"/>
      <c r="E4382" s="286"/>
    </row>
    <row r="4383">
      <c r="A4383" s="286"/>
      <c r="B4383" s="286"/>
      <c r="C4383" s="287"/>
      <c r="D4383" s="286"/>
      <c r="E4383" s="286"/>
    </row>
    <row r="4384">
      <c r="A4384" s="286"/>
      <c r="B4384" s="286"/>
      <c r="C4384" s="287"/>
      <c r="D4384" s="286"/>
      <c r="E4384" s="286"/>
    </row>
    <row r="4385">
      <c r="A4385" s="286"/>
      <c r="B4385" s="286"/>
      <c r="C4385" s="287"/>
      <c r="D4385" s="286"/>
      <c r="E4385" s="286"/>
    </row>
    <row r="4386">
      <c r="A4386" s="286"/>
      <c r="B4386" s="286"/>
      <c r="C4386" s="287"/>
      <c r="D4386" s="286"/>
      <c r="E4386" s="286"/>
    </row>
    <row r="4387">
      <c r="A4387" s="286"/>
      <c r="B4387" s="286"/>
      <c r="C4387" s="287"/>
      <c r="D4387" s="286"/>
      <c r="E4387" s="286"/>
    </row>
    <row r="4388">
      <c r="A4388" s="286"/>
      <c r="B4388" s="286"/>
      <c r="C4388" s="287"/>
      <c r="D4388" s="286"/>
      <c r="E4388" s="286"/>
    </row>
    <row r="4389">
      <c r="A4389" s="286"/>
      <c r="B4389" s="286"/>
      <c r="C4389" s="287"/>
      <c r="D4389" s="286"/>
      <c r="E4389" s="286"/>
    </row>
    <row r="4390">
      <c r="A4390" s="286"/>
      <c r="B4390" s="286"/>
      <c r="C4390" s="287"/>
      <c r="D4390" s="286"/>
      <c r="E4390" s="286"/>
    </row>
    <row r="4391">
      <c r="A4391" s="286"/>
      <c r="B4391" s="286"/>
      <c r="C4391" s="287"/>
      <c r="D4391" s="286"/>
      <c r="E4391" s="286"/>
    </row>
    <row r="4392">
      <c r="A4392" s="286"/>
      <c r="B4392" s="286"/>
      <c r="C4392" s="287"/>
      <c r="D4392" s="286"/>
      <c r="E4392" s="286"/>
    </row>
    <row r="4393">
      <c r="A4393" s="286"/>
      <c r="B4393" s="286"/>
      <c r="C4393" s="287"/>
      <c r="D4393" s="286"/>
      <c r="E4393" s="286"/>
    </row>
    <row r="4394">
      <c r="A4394" s="286"/>
      <c r="B4394" s="286"/>
      <c r="C4394" s="287"/>
      <c r="D4394" s="286"/>
      <c r="E4394" s="286"/>
    </row>
    <row r="4395">
      <c r="A4395" s="286"/>
      <c r="B4395" s="286"/>
      <c r="C4395" s="287"/>
      <c r="D4395" s="286"/>
      <c r="E4395" s="286"/>
    </row>
    <row r="4396">
      <c r="A4396" s="286"/>
      <c r="B4396" s="286"/>
      <c r="C4396" s="287"/>
      <c r="D4396" s="286"/>
      <c r="E4396" s="286"/>
    </row>
    <row r="4397">
      <c r="A4397" s="286"/>
      <c r="B4397" s="286"/>
      <c r="C4397" s="287"/>
      <c r="D4397" s="286"/>
      <c r="E4397" s="286"/>
    </row>
    <row r="4398">
      <c r="A4398" s="286"/>
      <c r="B4398" s="286"/>
      <c r="C4398" s="287"/>
      <c r="D4398" s="286"/>
      <c r="E4398" s="286"/>
    </row>
    <row r="4399">
      <c r="A4399" s="286"/>
      <c r="B4399" s="286"/>
      <c r="C4399" s="287"/>
      <c r="D4399" s="286"/>
      <c r="E4399" s="286"/>
    </row>
    <row r="4400">
      <c r="A4400" s="286"/>
      <c r="B4400" s="286"/>
      <c r="C4400" s="287"/>
      <c r="D4400" s="286"/>
      <c r="E4400" s="286"/>
    </row>
    <row r="4401">
      <c r="A4401" s="286"/>
      <c r="B4401" s="286"/>
      <c r="C4401" s="287"/>
      <c r="D4401" s="286"/>
      <c r="E4401" s="286"/>
    </row>
    <row r="4402">
      <c r="A4402" s="286"/>
      <c r="B4402" s="286"/>
      <c r="C4402" s="287"/>
      <c r="D4402" s="286"/>
      <c r="E4402" s="286"/>
    </row>
    <row r="4403">
      <c r="A4403" s="286"/>
      <c r="B4403" s="286"/>
      <c r="C4403" s="287"/>
      <c r="D4403" s="286"/>
      <c r="E4403" s="286"/>
    </row>
    <row r="4404">
      <c r="A4404" s="286"/>
      <c r="B4404" s="286"/>
      <c r="C4404" s="287"/>
      <c r="D4404" s="286"/>
      <c r="E4404" s="286"/>
    </row>
    <row r="4405">
      <c r="A4405" s="286"/>
      <c r="B4405" s="286"/>
      <c r="C4405" s="287"/>
      <c r="D4405" s="286"/>
      <c r="E4405" s="286"/>
    </row>
    <row r="4406">
      <c r="A4406" s="286"/>
      <c r="B4406" s="286"/>
      <c r="C4406" s="287"/>
      <c r="D4406" s="286"/>
      <c r="E4406" s="286"/>
    </row>
    <row r="4407">
      <c r="A4407" s="286"/>
      <c r="B4407" s="286"/>
      <c r="C4407" s="287"/>
      <c r="D4407" s="286"/>
      <c r="E4407" s="286"/>
    </row>
    <row r="4408">
      <c r="A4408" s="286"/>
      <c r="B4408" s="286"/>
      <c r="C4408" s="287"/>
      <c r="D4408" s="286"/>
      <c r="E4408" s="286"/>
    </row>
    <row r="4409">
      <c r="A4409" s="286"/>
      <c r="B4409" s="286"/>
      <c r="C4409" s="287"/>
      <c r="D4409" s="286"/>
      <c r="E4409" s="286"/>
    </row>
    <row r="4410">
      <c r="A4410" s="286"/>
      <c r="B4410" s="286"/>
      <c r="C4410" s="287"/>
      <c r="D4410" s="286"/>
      <c r="E4410" s="286"/>
    </row>
    <row r="4411">
      <c r="A4411" s="286"/>
      <c r="B4411" s="286"/>
      <c r="C4411" s="287"/>
      <c r="D4411" s="286"/>
      <c r="E4411" s="286"/>
    </row>
    <row r="4412">
      <c r="A4412" s="286"/>
      <c r="B4412" s="286"/>
      <c r="C4412" s="287"/>
      <c r="D4412" s="286"/>
      <c r="E4412" s="286"/>
    </row>
    <row r="4413">
      <c r="A4413" s="286"/>
      <c r="B4413" s="286"/>
      <c r="C4413" s="287"/>
      <c r="D4413" s="286"/>
      <c r="E4413" s="286"/>
    </row>
    <row r="4414">
      <c r="A4414" s="286"/>
      <c r="B4414" s="286"/>
      <c r="C4414" s="287"/>
      <c r="D4414" s="286"/>
      <c r="E4414" s="286"/>
    </row>
    <row r="4415">
      <c r="A4415" s="286"/>
      <c r="B4415" s="286"/>
      <c r="C4415" s="287"/>
      <c r="D4415" s="286"/>
      <c r="E4415" s="286"/>
    </row>
    <row r="4416">
      <c r="A4416" s="286"/>
      <c r="B4416" s="286"/>
      <c r="C4416" s="287"/>
      <c r="D4416" s="286"/>
      <c r="E4416" s="286"/>
    </row>
    <row r="4417">
      <c r="A4417" s="286"/>
      <c r="B4417" s="286"/>
      <c r="C4417" s="287"/>
      <c r="D4417" s="286"/>
      <c r="E4417" s="286"/>
    </row>
    <row r="4418">
      <c r="A4418" s="286"/>
      <c r="B4418" s="286"/>
      <c r="C4418" s="287"/>
      <c r="D4418" s="286"/>
      <c r="E4418" s="286"/>
    </row>
    <row r="4419">
      <c r="A4419" s="286"/>
      <c r="B4419" s="286"/>
      <c r="C4419" s="287"/>
      <c r="D4419" s="286"/>
      <c r="E4419" s="286"/>
    </row>
    <row r="4420">
      <c r="A4420" s="286"/>
      <c r="B4420" s="286"/>
      <c r="C4420" s="287"/>
      <c r="D4420" s="286"/>
      <c r="E4420" s="286"/>
    </row>
    <row r="4421">
      <c r="A4421" s="286"/>
      <c r="B4421" s="286"/>
      <c r="C4421" s="287"/>
      <c r="D4421" s="286"/>
      <c r="E4421" s="286"/>
    </row>
    <row r="4422">
      <c r="A4422" s="286"/>
      <c r="B4422" s="286"/>
      <c r="C4422" s="287"/>
      <c r="D4422" s="286"/>
      <c r="E4422" s="286"/>
    </row>
    <row r="4423">
      <c r="A4423" s="286"/>
      <c r="B4423" s="286"/>
      <c r="C4423" s="287"/>
      <c r="D4423" s="286"/>
      <c r="E4423" s="286"/>
    </row>
    <row r="4424">
      <c r="A4424" s="286"/>
      <c r="B4424" s="286"/>
      <c r="C4424" s="287"/>
      <c r="D4424" s="286"/>
      <c r="E4424" s="286"/>
    </row>
    <row r="4425">
      <c r="A4425" s="286"/>
      <c r="B4425" s="286"/>
      <c r="C4425" s="287"/>
      <c r="D4425" s="286"/>
      <c r="E4425" s="286"/>
    </row>
    <row r="4426">
      <c r="A4426" s="286"/>
      <c r="B4426" s="286"/>
      <c r="C4426" s="287"/>
      <c r="D4426" s="286"/>
      <c r="E4426" s="286"/>
    </row>
    <row r="4427">
      <c r="A4427" s="286"/>
      <c r="B4427" s="286"/>
      <c r="C4427" s="287"/>
      <c r="D4427" s="286"/>
      <c r="E4427" s="286"/>
    </row>
    <row r="4428">
      <c r="A4428" s="286"/>
      <c r="B4428" s="286"/>
      <c r="C4428" s="287"/>
      <c r="D4428" s="286"/>
      <c r="E4428" s="286"/>
    </row>
    <row r="4429">
      <c r="A4429" s="286"/>
      <c r="B4429" s="286"/>
      <c r="C4429" s="287"/>
      <c r="D4429" s="286"/>
      <c r="E4429" s="286"/>
    </row>
    <row r="4430">
      <c r="A4430" s="286"/>
      <c r="B4430" s="286"/>
      <c r="C4430" s="287"/>
      <c r="D4430" s="286"/>
      <c r="E4430" s="286"/>
    </row>
    <row r="4431">
      <c r="A4431" s="286"/>
      <c r="B4431" s="286"/>
      <c r="C4431" s="287"/>
      <c r="D4431" s="286"/>
      <c r="E4431" s="286"/>
    </row>
    <row r="4432">
      <c r="A4432" s="286"/>
      <c r="B4432" s="286"/>
      <c r="C4432" s="287"/>
      <c r="D4432" s="286"/>
      <c r="E4432" s="286"/>
    </row>
    <row r="4433">
      <c r="A4433" s="286"/>
      <c r="B4433" s="286"/>
      <c r="C4433" s="287"/>
      <c r="D4433" s="286"/>
      <c r="E4433" s="286"/>
    </row>
    <row r="4434">
      <c r="A4434" s="286"/>
      <c r="B4434" s="286"/>
      <c r="C4434" s="287"/>
      <c r="D4434" s="286"/>
      <c r="E4434" s="286"/>
    </row>
    <row r="4435">
      <c r="A4435" s="286"/>
      <c r="B4435" s="286"/>
      <c r="C4435" s="287"/>
      <c r="D4435" s="286"/>
      <c r="E4435" s="286"/>
    </row>
    <row r="4436">
      <c r="A4436" s="286"/>
      <c r="B4436" s="286"/>
      <c r="C4436" s="287"/>
      <c r="D4436" s="286"/>
      <c r="E4436" s="286"/>
    </row>
    <row r="4437">
      <c r="A4437" s="286"/>
      <c r="B4437" s="286"/>
      <c r="C4437" s="287"/>
      <c r="D4437" s="286"/>
      <c r="E4437" s="286"/>
    </row>
    <row r="4438">
      <c r="A4438" s="286"/>
      <c r="B4438" s="286"/>
      <c r="C4438" s="287"/>
      <c r="D4438" s="286"/>
      <c r="E4438" s="286"/>
    </row>
    <row r="4439">
      <c r="A4439" s="286"/>
      <c r="B4439" s="286"/>
      <c r="C4439" s="287"/>
      <c r="D4439" s="286"/>
      <c r="E4439" s="286"/>
    </row>
    <row r="4440">
      <c r="A4440" s="286"/>
      <c r="B4440" s="286"/>
      <c r="C4440" s="287"/>
      <c r="D4440" s="286"/>
      <c r="E4440" s="286"/>
    </row>
    <row r="4441">
      <c r="A4441" s="286"/>
      <c r="B4441" s="286"/>
      <c r="C4441" s="287"/>
      <c r="D4441" s="286"/>
      <c r="E4441" s="286"/>
    </row>
    <row r="4442">
      <c r="A4442" s="286"/>
      <c r="B4442" s="286"/>
      <c r="C4442" s="287"/>
      <c r="D4442" s="286"/>
      <c r="E4442" s="286"/>
    </row>
    <row r="4443">
      <c r="A4443" s="286"/>
      <c r="B4443" s="286"/>
      <c r="C4443" s="287"/>
      <c r="D4443" s="286"/>
      <c r="E4443" s="286"/>
    </row>
    <row r="4444">
      <c r="A4444" s="286"/>
      <c r="B4444" s="286"/>
      <c r="C4444" s="287"/>
      <c r="D4444" s="286"/>
      <c r="E4444" s="286"/>
    </row>
    <row r="4445">
      <c r="A4445" s="286"/>
      <c r="B4445" s="286"/>
      <c r="C4445" s="287"/>
      <c r="D4445" s="286"/>
      <c r="E4445" s="286"/>
    </row>
    <row r="4446">
      <c r="A4446" s="286"/>
      <c r="B4446" s="286"/>
      <c r="C4446" s="287"/>
      <c r="D4446" s="286"/>
      <c r="E4446" s="286"/>
    </row>
    <row r="4447">
      <c r="A4447" s="286"/>
      <c r="B4447" s="286"/>
      <c r="C4447" s="287"/>
      <c r="D4447" s="286"/>
      <c r="E4447" s="286"/>
    </row>
    <row r="4448">
      <c r="A4448" s="286"/>
      <c r="B4448" s="286"/>
      <c r="C4448" s="287"/>
      <c r="D4448" s="286"/>
      <c r="E4448" s="286"/>
    </row>
    <row r="4449">
      <c r="A4449" s="286"/>
      <c r="B4449" s="286"/>
      <c r="C4449" s="287"/>
      <c r="D4449" s="286"/>
      <c r="E4449" s="286"/>
    </row>
    <row r="4450">
      <c r="A4450" s="286"/>
      <c r="B4450" s="286"/>
      <c r="C4450" s="287"/>
      <c r="D4450" s="286"/>
      <c r="E4450" s="286"/>
    </row>
    <row r="4451">
      <c r="A4451" s="286"/>
      <c r="B4451" s="286"/>
      <c r="C4451" s="287"/>
      <c r="D4451" s="286"/>
      <c r="E4451" s="286"/>
    </row>
    <row r="4452">
      <c r="A4452" s="286"/>
      <c r="B4452" s="286"/>
      <c r="C4452" s="287"/>
      <c r="D4452" s="286"/>
      <c r="E4452" s="286"/>
    </row>
    <row r="4453">
      <c r="A4453" s="286"/>
      <c r="B4453" s="286"/>
      <c r="C4453" s="287"/>
      <c r="D4453" s="286"/>
      <c r="E4453" s="286"/>
    </row>
    <row r="4454">
      <c r="A4454" s="286"/>
      <c r="B4454" s="286"/>
      <c r="C4454" s="287"/>
      <c r="D4454" s="286"/>
      <c r="E4454" s="286"/>
    </row>
    <row r="4455">
      <c r="A4455" s="286"/>
      <c r="B4455" s="286"/>
      <c r="C4455" s="287"/>
      <c r="D4455" s="286"/>
      <c r="E4455" s="286"/>
    </row>
    <row r="4456">
      <c r="A4456" s="286"/>
      <c r="B4456" s="286"/>
      <c r="C4456" s="287"/>
      <c r="D4456" s="286"/>
      <c r="E4456" s="286"/>
    </row>
    <row r="4457">
      <c r="A4457" s="286"/>
      <c r="B4457" s="286"/>
      <c r="C4457" s="287"/>
      <c r="D4457" s="286"/>
      <c r="E4457" s="286"/>
    </row>
    <row r="4458">
      <c r="A4458" s="286"/>
      <c r="B4458" s="286"/>
      <c r="C4458" s="287"/>
      <c r="D4458" s="286"/>
      <c r="E4458" s="286"/>
    </row>
    <row r="4459">
      <c r="A4459" s="286"/>
      <c r="B4459" s="286"/>
      <c r="C4459" s="287"/>
      <c r="D4459" s="286"/>
      <c r="E4459" s="286"/>
    </row>
    <row r="4460">
      <c r="A4460" s="286"/>
      <c r="B4460" s="286"/>
      <c r="C4460" s="287"/>
      <c r="D4460" s="286"/>
      <c r="E4460" s="286"/>
    </row>
    <row r="4461">
      <c r="A4461" s="286"/>
      <c r="B4461" s="286"/>
      <c r="C4461" s="287"/>
      <c r="D4461" s="286"/>
      <c r="E4461" s="286"/>
    </row>
    <row r="4462">
      <c r="A4462" s="286"/>
      <c r="B4462" s="286"/>
      <c r="C4462" s="287"/>
      <c r="D4462" s="286"/>
      <c r="E4462" s="286"/>
    </row>
    <row r="4463">
      <c r="A4463" s="286"/>
      <c r="B4463" s="286"/>
      <c r="C4463" s="287"/>
      <c r="D4463" s="286"/>
      <c r="E4463" s="286"/>
    </row>
    <row r="4464">
      <c r="A4464" s="286"/>
      <c r="B4464" s="286"/>
      <c r="C4464" s="287"/>
      <c r="D4464" s="286"/>
      <c r="E4464" s="286"/>
    </row>
    <row r="4465">
      <c r="A4465" s="286"/>
      <c r="B4465" s="286"/>
      <c r="C4465" s="287"/>
      <c r="D4465" s="286"/>
      <c r="E4465" s="286"/>
    </row>
    <row r="4466">
      <c r="A4466" s="286"/>
      <c r="B4466" s="286"/>
      <c r="C4466" s="287"/>
      <c r="D4466" s="286"/>
      <c r="E4466" s="286"/>
    </row>
    <row r="4467">
      <c r="A4467" s="286"/>
      <c r="B4467" s="286"/>
      <c r="C4467" s="287"/>
      <c r="D4467" s="286"/>
      <c r="E4467" s="286"/>
    </row>
    <row r="4468">
      <c r="A4468" s="286"/>
      <c r="B4468" s="286"/>
      <c r="C4468" s="287"/>
      <c r="D4468" s="286"/>
      <c r="E4468" s="286"/>
    </row>
    <row r="4469">
      <c r="A4469" s="286"/>
      <c r="B4469" s="286"/>
      <c r="C4469" s="287"/>
      <c r="D4469" s="286"/>
      <c r="E4469" s="286"/>
    </row>
    <row r="4470">
      <c r="A4470" s="286"/>
      <c r="B4470" s="286"/>
      <c r="C4470" s="287"/>
      <c r="D4470" s="286"/>
      <c r="E4470" s="286"/>
    </row>
    <row r="4471">
      <c r="A4471" s="286"/>
      <c r="B4471" s="286"/>
      <c r="C4471" s="287"/>
      <c r="D4471" s="286"/>
      <c r="E4471" s="286"/>
    </row>
    <row r="4472">
      <c r="A4472" s="286"/>
      <c r="B4472" s="286"/>
      <c r="C4472" s="287"/>
      <c r="D4472" s="286"/>
      <c r="E4472" s="286"/>
    </row>
    <row r="4473">
      <c r="A4473" s="286"/>
      <c r="B4473" s="286"/>
      <c r="C4473" s="287"/>
      <c r="D4473" s="286"/>
      <c r="E4473" s="286"/>
    </row>
    <row r="4474">
      <c r="A4474" s="286"/>
      <c r="B4474" s="286"/>
      <c r="C4474" s="287"/>
      <c r="D4474" s="286"/>
      <c r="E4474" s="286"/>
    </row>
    <row r="4475">
      <c r="A4475" s="286"/>
      <c r="B4475" s="286"/>
      <c r="C4475" s="287"/>
      <c r="D4475" s="286"/>
      <c r="E4475" s="286"/>
    </row>
    <row r="4476">
      <c r="A4476" s="286"/>
      <c r="B4476" s="286"/>
      <c r="C4476" s="287"/>
      <c r="D4476" s="286"/>
      <c r="E4476" s="286"/>
    </row>
    <row r="4477">
      <c r="A4477" s="286"/>
      <c r="B4477" s="286"/>
      <c r="C4477" s="287"/>
      <c r="D4477" s="286"/>
      <c r="E4477" s="286"/>
    </row>
    <row r="4478">
      <c r="A4478" s="286"/>
      <c r="B4478" s="286"/>
      <c r="C4478" s="287"/>
      <c r="D4478" s="286"/>
      <c r="E4478" s="286"/>
    </row>
    <row r="4479">
      <c r="A4479" s="286"/>
      <c r="B4479" s="286"/>
      <c r="C4479" s="287"/>
      <c r="D4479" s="286"/>
      <c r="E4479" s="286"/>
    </row>
    <row r="4480">
      <c r="A4480" s="286"/>
      <c r="B4480" s="286"/>
      <c r="C4480" s="287"/>
      <c r="D4480" s="286"/>
      <c r="E4480" s="286"/>
    </row>
    <row r="4481">
      <c r="A4481" s="286"/>
      <c r="B4481" s="286"/>
      <c r="C4481" s="287"/>
      <c r="D4481" s="286"/>
      <c r="E4481" s="286"/>
    </row>
    <row r="4482">
      <c r="A4482" s="286"/>
      <c r="B4482" s="286"/>
      <c r="C4482" s="287"/>
      <c r="D4482" s="286"/>
      <c r="E4482" s="286"/>
    </row>
    <row r="4483">
      <c r="A4483" s="286"/>
      <c r="B4483" s="286"/>
      <c r="C4483" s="287"/>
      <c r="D4483" s="286"/>
      <c r="E4483" s="286"/>
    </row>
    <row r="4484">
      <c r="A4484" s="286"/>
      <c r="B4484" s="286"/>
      <c r="C4484" s="287"/>
      <c r="D4484" s="286"/>
      <c r="E4484" s="286"/>
    </row>
    <row r="4485">
      <c r="A4485" s="286"/>
      <c r="B4485" s="286"/>
      <c r="C4485" s="287"/>
      <c r="D4485" s="286"/>
      <c r="E4485" s="286"/>
    </row>
    <row r="4486">
      <c r="A4486" s="286"/>
      <c r="B4486" s="286"/>
      <c r="C4486" s="287"/>
      <c r="D4486" s="286"/>
      <c r="E4486" s="286"/>
    </row>
    <row r="4487">
      <c r="A4487" s="286"/>
      <c r="B4487" s="286"/>
      <c r="C4487" s="287"/>
      <c r="D4487" s="286"/>
      <c r="E4487" s="286"/>
    </row>
    <row r="4488">
      <c r="A4488" s="286"/>
      <c r="B4488" s="286"/>
      <c r="C4488" s="287"/>
      <c r="D4488" s="286"/>
      <c r="E4488" s="286"/>
    </row>
    <row r="4489">
      <c r="A4489" s="286"/>
      <c r="B4489" s="286"/>
      <c r="C4489" s="287"/>
      <c r="D4489" s="286"/>
      <c r="E4489" s="286"/>
    </row>
    <row r="4490">
      <c r="A4490" s="286"/>
      <c r="B4490" s="286"/>
      <c r="C4490" s="287"/>
      <c r="D4490" s="286"/>
      <c r="E4490" s="286"/>
    </row>
    <row r="4491">
      <c r="A4491" s="286"/>
      <c r="B4491" s="286"/>
      <c r="C4491" s="287"/>
      <c r="D4491" s="286"/>
      <c r="E4491" s="286"/>
    </row>
    <row r="4492">
      <c r="A4492" s="286"/>
      <c r="B4492" s="286"/>
      <c r="C4492" s="287"/>
      <c r="D4492" s="286"/>
      <c r="E4492" s="286"/>
    </row>
    <row r="4493">
      <c r="A4493" s="286"/>
      <c r="B4493" s="286"/>
      <c r="C4493" s="287"/>
      <c r="D4493" s="286"/>
      <c r="E4493" s="286"/>
    </row>
    <row r="4494">
      <c r="A4494" s="286"/>
      <c r="B4494" s="286"/>
      <c r="C4494" s="287"/>
      <c r="D4494" s="286"/>
      <c r="E4494" s="286"/>
    </row>
    <row r="4495">
      <c r="A4495" s="286"/>
      <c r="B4495" s="286"/>
      <c r="C4495" s="287"/>
      <c r="D4495" s="286"/>
      <c r="E4495" s="286"/>
    </row>
    <row r="4496">
      <c r="A4496" s="286"/>
      <c r="B4496" s="286"/>
      <c r="C4496" s="287"/>
      <c r="D4496" s="286"/>
      <c r="E4496" s="286"/>
    </row>
    <row r="4497">
      <c r="A4497" s="286"/>
      <c r="B4497" s="286"/>
      <c r="C4497" s="287"/>
      <c r="D4497" s="286"/>
      <c r="E4497" s="286"/>
    </row>
    <row r="4498">
      <c r="A4498" s="286"/>
      <c r="B4498" s="286"/>
      <c r="C4498" s="287"/>
      <c r="D4498" s="286"/>
      <c r="E4498" s="286"/>
    </row>
    <row r="4499">
      <c r="A4499" s="286"/>
      <c r="B4499" s="286"/>
      <c r="C4499" s="287"/>
      <c r="D4499" s="286"/>
      <c r="E4499" s="286"/>
    </row>
    <row r="4500">
      <c r="A4500" s="286"/>
      <c r="B4500" s="286"/>
      <c r="C4500" s="287"/>
      <c r="D4500" s="286"/>
      <c r="E4500" s="286"/>
    </row>
    <row r="4501">
      <c r="A4501" s="286"/>
      <c r="B4501" s="286"/>
      <c r="C4501" s="287"/>
      <c r="D4501" s="286"/>
      <c r="E4501" s="286"/>
    </row>
    <row r="4502">
      <c r="A4502" s="286"/>
      <c r="B4502" s="286"/>
      <c r="C4502" s="287"/>
      <c r="D4502" s="286"/>
      <c r="E4502" s="286"/>
    </row>
    <row r="4503">
      <c r="A4503" s="286"/>
      <c r="B4503" s="286"/>
      <c r="C4503" s="287"/>
      <c r="D4503" s="286"/>
      <c r="E4503" s="286"/>
    </row>
    <row r="4504">
      <c r="A4504" s="286"/>
      <c r="B4504" s="286"/>
      <c r="C4504" s="287"/>
      <c r="D4504" s="286"/>
      <c r="E4504" s="286"/>
    </row>
    <row r="4505">
      <c r="A4505" s="286"/>
      <c r="B4505" s="286"/>
      <c r="C4505" s="287"/>
      <c r="D4505" s="286"/>
      <c r="E4505" s="286"/>
    </row>
    <row r="4506">
      <c r="A4506" s="286"/>
      <c r="B4506" s="286"/>
      <c r="C4506" s="287"/>
      <c r="D4506" s="286"/>
      <c r="E4506" s="286"/>
    </row>
    <row r="4507">
      <c r="A4507" s="286"/>
      <c r="B4507" s="286"/>
      <c r="C4507" s="287"/>
      <c r="D4507" s="286"/>
      <c r="E4507" s="286"/>
    </row>
    <row r="4508">
      <c r="A4508" s="286"/>
      <c r="B4508" s="286"/>
      <c r="C4508" s="287"/>
      <c r="D4508" s="286"/>
      <c r="E4508" s="286"/>
    </row>
    <row r="4509">
      <c r="A4509" s="286"/>
      <c r="B4509" s="286"/>
      <c r="C4509" s="287"/>
      <c r="D4509" s="286"/>
      <c r="E4509" s="286"/>
    </row>
    <row r="4510">
      <c r="A4510" s="286"/>
      <c r="B4510" s="286"/>
      <c r="C4510" s="287"/>
      <c r="D4510" s="286"/>
      <c r="E4510" s="286"/>
    </row>
    <row r="4511">
      <c r="A4511" s="286"/>
      <c r="B4511" s="286"/>
      <c r="C4511" s="287"/>
      <c r="D4511" s="286"/>
      <c r="E4511" s="286"/>
    </row>
    <row r="4512">
      <c r="A4512" s="286"/>
      <c r="B4512" s="286"/>
      <c r="C4512" s="287"/>
      <c r="D4512" s="286"/>
      <c r="E4512" s="286"/>
    </row>
    <row r="4513">
      <c r="A4513" s="286"/>
      <c r="B4513" s="286"/>
      <c r="C4513" s="287"/>
      <c r="D4513" s="286"/>
      <c r="E4513" s="286"/>
    </row>
    <row r="4514">
      <c r="A4514" s="286"/>
      <c r="B4514" s="286"/>
      <c r="C4514" s="287"/>
      <c r="D4514" s="286"/>
      <c r="E4514" s="286"/>
    </row>
    <row r="4515">
      <c r="A4515" s="286"/>
      <c r="B4515" s="286"/>
      <c r="C4515" s="287"/>
      <c r="D4515" s="286"/>
      <c r="E4515" s="286"/>
    </row>
    <row r="4516">
      <c r="A4516" s="286"/>
      <c r="B4516" s="286"/>
      <c r="C4516" s="287"/>
      <c r="D4516" s="286"/>
      <c r="E4516" s="286"/>
    </row>
    <row r="4517">
      <c r="A4517" s="286"/>
      <c r="B4517" s="286"/>
      <c r="C4517" s="287"/>
      <c r="D4517" s="286"/>
      <c r="E4517" s="286"/>
    </row>
    <row r="4518">
      <c r="A4518" s="286"/>
      <c r="B4518" s="286"/>
      <c r="C4518" s="287"/>
      <c r="D4518" s="286"/>
      <c r="E4518" s="286"/>
    </row>
    <row r="4519">
      <c r="A4519" s="286"/>
      <c r="B4519" s="286"/>
      <c r="C4519" s="287"/>
      <c r="D4519" s="286"/>
      <c r="E4519" s="286"/>
    </row>
    <row r="4520">
      <c r="A4520" s="286"/>
      <c r="B4520" s="286"/>
      <c r="C4520" s="287"/>
      <c r="D4520" s="286"/>
      <c r="E4520" s="286"/>
    </row>
    <row r="4521">
      <c r="A4521" s="286"/>
      <c r="B4521" s="286"/>
      <c r="C4521" s="287"/>
      <c r="D4521" s="286"/>
      <c r="E4521" s="286"/>
    </row>
    <row r="4522">
      <c r="A4522" s="286"/>
      <c r="B4522" s="286"/>
      <c r="C4522" s="287"/>
      <c r="D4522" s="286"/>
      <c r="E4522" s="286"/>
    </row>
    <row r="4523">
      <c r="A4523" s="286"/>
      <c r="B4523" s="286"/>
      <c r="C4523" s="287"/>
      <c r="D4523" s="286"/>
      <c r="E4523" s="286"/>
    </row>
    <row r="4524">
      <c r="A4524" s="286"/>
      <c r="B4524" s="286"/>
      <c r="C4524" s="287"/>
      <c r="D4524" s="286"/>
      <c r="E4524" s="286"/>
    </row>
    <row r="4525">
      <c r="A4525" s="286"/>
      <c r="B4525" s="286"/>
      <c r="C4525" s="287"/>
      <c r="D4525" s="286"/>
      <c r="E4525" s="286"/>
    </row>
    <row r="4526">
      <c r="A4526" s="286"/>
      <c r="B4526" s="286"/>
      <c r="C4526" s="287"/>
      <c r="D4526" s="286"/>
      <c r="E4526" s="286"/>
    </row>
    <row r="4527">
      <c r="A4527" s="286"/>
      <c r="B4527" s="286"/>
      <c r="C4527" s="287"/>
      <c r="D4527" s="286"/>
      <c r="E4527" s="286"/>
    </row>
    <row r="4528">
      <c r="A4528" s="286"/>
      <c r="B4528" s="286"/>
      <c r="C4528" s="287"/>
      <c r="D4528" s="286"/>
      <c r="E4528" s="286"/>
    </row>
    <row r="4529">
      <c r="A4529" s="286"/>
      <c r="B4529" s="286"/>
      <c r="C4529" s="287"/>
      <c r="D4529" s="286"/>
      <c r="E4529" s="286"/>
    </row>
    <row r="4530">
      <c r="A4530" s="286"/>
      <c r="B4530" s="286"/>
      <c r="C4530" s="287"/>
      <c r="D4530" s="286"/>
      <c r="E4530" s="286"/>
    </row>
    <row r="4531">
      <c r="A4531" s="286"/>
      <c r="B4531" s="286"/>
      <c r="C4531" s="287"/>
      <c r="D4531" s="286"/>
      <c r="E4531" s="286"/>
    </row>
    <row r="4532">
      <c r="A4532" s="286"/>
      <c r="B4532" s="286"/>
      <c r="C4532" s="287"/>
      <c r="D4532" s="286"/>
      <c r="E4532" s="286"/>
    </row>
    <row r="4533">
      <c r="A4533" s="286"/>
      <c r="B4533" s="286"/>
      <c r="C4533" s="287"/>
      <c r="D4533" s="286"/>
      <c r="E4533" s="286"/>
    </row>
    <row r="4534">
      <c r="A4534" s="286"/>
      <c r="B4534" s="286"/>
      <c r="C4534" s="287"/>
      <c r="D4534" s="286"/>
      <c r="E4534" s="286"/>
    </row>
    <row r="4535">
      <c r="A4535" s="286"/>
      <c r="B4535" s="286"/>
      <c r="C4535" s="287"/>
      <c r="D4535" s="286"/>
      <c r="E4535" s="286"/>
    </row>
    <row r="4536">
      <c r="A4536" s="286"/>
      <c r="B4536" s="286"/>
      <c r="C4536" s="287"/>
      <c r="D4536" s="286"/>
      <c r="E4536" s="286"/>
    </row>
    <row r="4537">
      <c r="A4537" s="286"/>
      <c r="B4537" s="286"/>
      <c r="C4537" s="287"/>
      <c r="D4537" s="286"/>
      <c r="E4537" s="286"/>
    </row>
    <row r="4538">
      <c r="A4538" s="286"/>
      <c r="B4538" s="286"/>
      <c r="C4538" s="287"/>
      <c r="D4538" s="286"/>
      <c r="E4538" s="286"/>
    </row>
    <row r="4539">
      <c r="A4539" s="286"/>
      <c r="B4539" s="286"/>
      <c r="C4539" s="287"/>
      <c r="D4539" s="286"/>
      <c r="E4539" s="286"/>
    </row>
    <row r="4540">
      <c r="A4540" s="286"/>
      <c r="B4540" s="286"/>
      <c r="C4540" s="287"/>
      <c r="D4540" s="286"/>
      <c r="E4540" s="286"/>
    </row>
    <row r="4541">
      <c r="A4541" s="286"/>
      <c r="B4541" s="286"/>
      <c r="C4541" s="287"/>
      <c r="D4541" s="286"/>
      <c r="E4541" s="286"/>
    </row>
    <row r="4542">
      <c r="A4542" s="286"/>
      <c r="B4542" s="286"/>
      <c r="C4542" s="287"/>
      <c r="D4542" s="286"/>
      <c r="E4542" s="286"/>
    </row>
    <row r="4543">
      <c r="A4543" s="286"/>
      <c r="B4543" s="286"/>
      <c r="C4543" s="287"/>
      <c r="D4543" s="286"/>
      <c r="E4543" s="286"/>
    </row>
    <row r="4544">
      <c r="A4544" s="286"/>
      <c r="B4544" s="286"/>
      <c r="C4544" s="287"/>
      <c r="D4544" s="286"/>
      <c r="E4544" s="286"/>
    </row>
    <row r="4545">
      <c r="A4545" s="286"/>
      <c r="B4545" s="286"/>
      <c r="C4545" s="287"/>
      <c r="D4545" s="286"/>
      <c r="E4545" s="286"/>
    </row>
    <row r="4546">
      <c r="A4546" s="286"/>
      <c r="B4546" s="286"/>
      <c r="C4546" s="287"/>
      <c r="D4546" s="286"/>
      <c r="E4546" s="286"/>
    </row>
    <row r="4547">
      <c r="A4547" s="286"/>
      <c r="B4547" s="286"/>
      <c r="C4547" s="287"/>
      <c r="D4547" s="286"/>
      <c r="E4547" s="286"/>
    </row>
    <row r="4548">
      <c r="A4548" s="286"/>
      <c r="B4548" s="286"/>
      <c r="C4548" s="287"/>
      <c r="D4548" s="286"/>
      <c r="E4548" s="286"/>
    </row>
    <row r="4549">
      <c r="A4549" s="286"/>
      <c r="B4549" s="286"/>
      <c r="C4549" s="287"/>
      <c r="D4549" s="286"/>
      <c r="E4549" s="286"/>
    </row>
    <row r="4550">
      <c r="A4550" s="286"/>
      <c r="B4550" s="286"/>
      <c r="C4550" s="287"/>
      <c r="D4550" s="286"/>
      <c r="E4550" s="286"/>
    </row>
    <row r="4551">
      <c r="A4551" s="286"/>
      <c r="B4551" s="286"/>
      <c r="C4551" s="287"/>
      <c r="D4551" s="286"/>
      <c r="E4551" s="286"/>
    </row>
    <row r="4552">
      <c r="A4552" s="286"/>
      <c r="B4552" s="286"/>
      <c r="C4552" s="287"/>
      <c r="D4552" s="286"/>
      <c r="E4552" s="286"/>
    </row>
    <row r="4553">
      <c r="A4553" s="286"/>
      <c r="B4553" s="286"/>
      <c r="C4553" s="287"/>
      <c r="D4553" s="286"/>
      <c r="E4553" s="286"/>
    </row>
    <row r="4554">
      <c r="A4554" s="286"/>
      <c r="B4554" s="286"/>
      <c r="C4554" s="287"/>
      <c r="D4554" s="286"/>
      <c r="E4554" s="286"/>
    </row>
    <row r="4555">
      <c r="A4555" s="286"/>
      <c r="B4555" s="286"/>
      <c r="C4555" s="287"/>
      <c r="D4555" s="286"/>
      <c r="E4555" s="286"/>
    </row>
    <row r="4556">
      <c r="A4556" s="286"/>
      <c r="B4556" s="286"/>
      <c r="C4556" s="287"/>
      <c r="D4556" s="286"/>
      <c r="E4556" s="286"/>
    </row>
    <row r="4557">
      <c r="A4557" s="286"/>
      <c r="B4557" s="286"/>
      <c r="C4557" s="287"/>
      <c r="D4557" s="286"/>
      <c r="E4557" s="286"/>
    </row>
    <row r="4558">
      <c r="A4558" s="286"/>
      <c r="B4558" s="286"/>
      <c r="C4558" s="287"/>
      <c r="D4558" s="286"/>
      <c r="E4558" s="286"/>
    </row>
    <row r="4559">
      <c r="A4559" s="286"/>
      <c r="B4559" s="286"/>
      <c r="C4559" s="287"/>
      <c r="D4559" s="286"/>
      <c r="E4559" s="286"/>
    </row>
    <row r="4560">
      <c r="A4560" s="286"/>
      <c r="B4560" s="286"/>
      <c r="C4560" s="287"/>
      <c r="D4560" s="286"/>
      <c r="E4560" s="286"/>
    </row>
    <row r="4561">
      <c r="A4561" s="286"/>
      <c r="B4561" s="286"/>
      <c r="C4561" s="287"/>
      <c r="D4561" s="286"/>
      <c r="E4561" s="286"/>
    </row>
    <row r="4562">
      <c r="A4562" s="286"/>
      <c r="B4562" s="286"/>
      <c r="C4562" s="287"/>
      <c r="D4562" s="286"/>
      <c r="E4562" s="286"/>
    </row>
    <row r="4563">
      <c r="A4563" s="286"/>
      <c r="B4563" s="286"/>
      <c r="C4563" s="287"/>
      <c r="D4563" s="286"/>
      <c r="E4563" s="286"/>
    </row>
    <row r="4564">
      <c r="A4564" s="286"/>
      <c r="B4564" s="286"/>
      <c r="C4564" s="287"/>
      <c r="D4564" s="286"/>
      <c r="E4564" s="286"/>
    </row>
    <row r="4565">
      <c r="A4565" s="286"/>
      <c r="B4565" s="286"/>
      <c r="C4565" s="287"/>
      <c r="D4565" s="286"/>
      <c r="E4565" s="286"/>
    </row>
    <row r="4566">
      <c r="A4566" s="286"/>
      <c r="B4566" s="286"/>
      <c r="C4566" s="287"/>
      <c r="D4566" s="286"/>
      <c r="E4566" s="286"/>
    </row>
    <row r="4567">
      <c r="A4567" s="286"/>
      <c r="B4567" s="286"/>
      <c r="C4567" s="287"/>
      <c r="D4567" s="286"/>
      <c r="E4567" s="286"/>
    </row>
    <row r="4568">
      <c r="A4568" s="286"/>
      <c r="B4568" s="286"/>
      <c r="C4568" s="287"/>
      <c r="D4568" s="286"/>
      <c r="E4568" s="286"/>
    </row>
    <row r="4569">
      <c r="A4569" s="286"/>
      <c r="B4569" s="286"/>
      <c r="C4569" s="287"/>
      <c r="D4569" s="286"/>
      <c r="E4569" s="286"/>
    </row>
    <row r="4570">
      <c r="A4570" s="286"/>
      <c r="B4570" s="286"/>
      <c r="C4570" s="287"/>
      <c r="D4570" s="286"/>
      <c r="E4570" s="286"/>
    </row>
    <row r="4571">
      <c r="A4571" s="286"/>
      <c r="B4571" s="286"/>
      <c r="C4571" s="287"/>
      <c r="D4571" s="286"/>
      <c r="E4571" s="286"/>
    </row>
    <row r="4572">
      <c r="A4572" s="286"/>
      <c r="B4572" s="286"/>
      <c r="C4572" s="287"/>
      <c r="D4572" s="286"/>
      <c r="E4572" s="286"/>
    </row>
    <row r="4573">
      <c r="A4573" s="286"/>
      <c r="B4573" s="286"/>
      <c r="C4573" s="287"/>
      <c r="D4573" s="286"/>
      <c r="E4573" s="286"/>
    </row>
    <row r="4574">
      <c r="A4574" s="286"/>
      <c r="B4574" s="286"/>
      <c r="C4574" s="287"/>
      <c r="D4574" s="286"/>
      <c r="E4574" s="286"/>
    </row>
    <row r="4575">
      <c r="A4575" s="286"/>
      <c r="B4575" s="286"/>
      <c r="C4575" s="287"/>
      <c r="D4575" s="286"/>
      <c r="E4575" s="286"/>
    </row>
    <row r="4576">
      <c r="A4576" s="286"/>
      <c r="B4576" s="286"/>
      <c r="C4576" s="287"/>
      <c r="D4576" s="286"/>
      <c r="E4576" s="286"/>
    </row>
    <row r="4577">
      <c r="A4577" s="286"/>
      <c r="B4577" s="286"/>
      <c r="C4577" s="287"/>
      <c r="D4577" s="286"/>
      <c r="E4577" s="286"/>
    </row>
    <row r="4578">
      <c r="A4578" s="286"/>
      <c r="B4578" s="286"/>
      <c r="C4578" s="287"/>
      <c r="D4578" s="286"/>
      <c r="E4578" s="286"/>
    </row>
    <row r="4579">
      <c r="A4579" s="286"/>
      <c r="B4579" s="286"/>
      <c r="C4579" s="287"/>
      <c r="D4579" s="286"/>
      <c r="E4579" s="286"/>
    </row>
    <row r="4580">
      <c r="A4580" s="286"/>
      <c r="B4580" s="286"/>
      <c r="C4580" s="287"/>
      <c r="D4580" s="286"/>
      <c r="E4580" s="286"/>
    </row>
    <row r="4581">
      <c r="A4581" s="286"/>
      <c r="B4581" s="286"/>
      <c r="C4581" s="287"/>
      <c r="D4581" s="286"/>
      <c r="E4581" s="286"/>
    </row>
    <row r="4582">
      <c r="A4582" s="286"/>
      <c r="B4582" s="286"/>
      <c r="C4582" s="287"/>
      <c r="D4582" s="286"/>
      <c r="E4582" s="286"/>
    </row>
    <row r="4583">
      <c r="A4583" s="286"/>
      <c r="B4583" s="286"/>
      <c r="C4583" s="287"/>
      <c r="D4583" s="286"/>
      <c r="E4583" s="286"/>
    </row>
    <row r="4584">
      <c r="A4584" s="286"/>
      <c r="B4584" s="286"/>
      <c r="C4584" s="287"/>
      <c r="D4584" s="286"/>
      <c r="E4584" s="286"/>
    </row>
    <row r="4585">
      <c r="A4585" s="286"/>
      <c r="B4585" s="286"/>
      <c r="C4585" s="287"/>
      <c r="D4585" s="286"/>
      <c r="E4585" s="286"/>
    </row>
    <row r="4586">
      <c r="A4586" s="286"/>
      <c r="B4586" s="286"/>
      <c r="C4586" s="287"/>
      <c r="D4586" s="286"/>
      <c r="E4586" s="286"/>
    </row>
    <row r="4587">
      <c r="A4587" s="286"/>
      <c r="B4587" s="286"/>
      <c r="C4587" s="287"/>
      <c r="D4587" s="286"/>
      <c r="E4587" s="286"/>
    </row>
    <row r="4588">
      <c r="A4588" s="286"/>
      <c r="B4588" s="286"/>
      <c r="C4588" s="287"/>
      <c r="D4588" s="286"/>
      <c r="E4588" s="286"/>
    </row>
    <row r="4589">
      <c r="A4589" s="286"/>
      <c r="B4589" s="286"/>
      <c r="C4589" s="287"/>
      <c r="D4589" s="286"/>
      <c r="E4589" s="286"/>
    </row>
    <row r="4590">
      <c r="A4590" s="286"/>
      <c r="B4590" s="286"/>
      <c r="C4590" s="287"/>
      <c r="D4590" s="286"/>
      <c r="E4590" s="286"/>
    </row>
    <row r="4591">
      <c r="A4591" s="286"/>
      <c r="B4591" s="286"/>
      <c r="C4591" s="287"/>
      <c r="D4591" s="286"/>
      <c r="E4591" s="286"/>
    </row>
    <row r="4592">
      <c r="A4592" s="286"/>
      <c r="B4592" s="286"/>
      <c r="C4592" s="287"/>
      <c r="D4592" s="286"/>
      <c r="E4592" s="286"/>
    </row>
    <row r="4593">
      <c r="A4593" s="286"/>
      <c r="B4593" s="286"/>
      <c r="C4593" s="287"/>
      <c r="D4593" s="286"/>
      <c r="E4593" s="286"/>
    </row>
    <row r="4594">
      <c r="A4594" s="286"/>
      <c r="B4594" s="286"/>
      <c r="C4594" s="287"/>
      <c r="D4594" s="286"/>
      <c r="E4594" s="286"/>
    </row>
    <row r="4595">
      <c r="A4595" s="286"/>
      <c r="B4595" s="286"/>
      <c r="C4595" s="287"/>
      <c r="D4595" s="286"/>
      <c r="E4595" s="286"/>
    </row>
    <row r="4596">
      <c r="A4596" s="286"/>
      <c r="B4596" s="286"/>
      <c r="C4596" s="287"/>
      <c r="D4596" s="286"/>
      <c r="E4596" s="286"/>
    </row>
    <row r="4597">
      <c r="A4597" s="286"/>
      <c r="B4597" s="286"/>
      <c r="C4597" s="287"/>
      <c r="D4597" s="286"/>
      <c r="E4597" s="286"/>
    </row>
    <row r="4598">
      <c r="A4598" s="286"/>
      <c r="B4598" s="286"/>
      <c r="C4598" s="287"/>
      <c r="D4598" s="286"/>
      <c r="E4598" s="286"/>
    </row>
    <row r="4599">
      <c r="A4599" s="286"/>
      <c r="B4599" s="286"/>
      <c r="C4599" s="287"/>
      <c r="D4599" s="286"/>
      <c r="E4599" s="286"/>
    </row>
    <row r="4600">
      <c r="A4600" s="286"/>
      <c r="B4600" s="286"/>
      <c r="C4600" s="287"/>
      <c r="D4600" s="286"/>
      <c r="E4600" s="286"/>
    </row>
    <row r="4601">
      <c r="A4601" s="286"/>
      <c r="B4601" s="286"/>
      <c r="C4601" s="287"/>
      <c r="D4601" s="286"/>
      <c r="E4601" s="286"/>
    </row>
    <row r="4602">
      <c r="A4602" s="286"/>
      <c r="B4602" s="286"/>
      <c r="C4602" s="287"/>
      <c r="D4602" s="286"/>
      <c r="E4602" s="286"/>
    </row>
    <row r="4603">
      <c r="A4603" s="286"/>
      <c r="B4603" s="286"/>
      <c r="C4603" s="287"/>
      <c r="D4603" s="286"/>
      <c r="E4603" s="286"/>
    </row>
    <row r="4604">
      <c r="A4604" s="286"/>
      <c r="B4604" s="286"/>
      <c r="C4604" s="287"/>
      <c r="D4604" s="286"/>
      <c r="E4604" s="286"/>
    </row>
    <row r="4605">
      <c r="A4605" s="286"/>
      <c r="B4605" s="286"/>
      <c r="C4605" s="287"/>
      <c r="D4605" s="286"/>
      <c r="E4605" s="286"/>
    </row>
    <row r="4606">
      <c r="A4606" s="286"/>
      <c r="B4606" s="286"/>
      <c r="C4606" s="287"/>
      <c r="D4606" s="286"/>
      <c r="E4606" s="286"/>
    </row>
    <row r="4607">
      <c r="A4607" s="286"/>
      <c r="B4607" s="286"/>
      <c r="C4607" s="287"/>
      <c r="D4607" s="286"/>
      <c r="E4607" s="286"/>
    </row>
    <row r="4608">
      <c r="A4608" s="286"/>
      <c r="B4608" s="286"/>
      <c r="C4608" s="287"/>
      <c r="D4608" s="286"/>
      <c r="E4608" s="286"/>
    </row>
    <row r="4609">
      <c r="A4609" s="286"/>
      <c r="B4609" s="286"/>
      <c r="C4609" s="287"/>
      <c r="D4609" s="286"/>
      <c r="E4609" s="286"/>
    </row>
    <row r="4610">
      <c r="A4610" s="286"/>
      <c r="B4610" s="286"/>
      <c r="C4610" s="287"/>
      <c r="D4610" s="286"/>
      <c r="E4610" s="286"/>
    </row>
    <row r="4611">
      <c r="A4611" s="286"/>
      <c r="B4611" s="286"/>
      <c r="C4611" s="287"/>
      <c r="D4611" s="286"/>
      <c r="E4611" s="286"/>
    </row>
    <row r="4612">
      <c r="A4612" s="286"/>
      <c r="B4612" s="286"/>
      <c r="C4612" s="287"/>
      <c r="D4612" s="286"/>
      <c r="E4612" s="286"/>
    </row>
    <row r="4613">
      <c r="A4613" s="286"/>
      <c r="B4613" s="286"/>
      <c r="C4613" s="287"/>
      <c r="D4613" s="286"/>
      <c r="E4613" s="286"/>
    </row>
    <row r="4614">
      <c r="A4614" s="286"/>
      <c r="B4614" s="286"/>
      <c r="C4614" s="287"/>
      <c r="D4614" s="286"/>
      <c r="E4614" s="286"/>
    </row>
    <row r="4615">
      <c r="A4615" s="286"/>
      <c r="B4615" s="286"/>
      <c r="C4615" s="287"/>
      <c r="D4615" s="286"/>
      <c r="E4615" s="286"/>
    </row>
    <row r="4616">
      <c r="A4616" s="286"/>
      <c r="B4616" s="286"/>
      <c r="C4616" s="287"/>
      <c r="D4616" s="286"/>
      <c r="E4616" s="286"/>
    </row>
    <row r="4617">
      <c r="A4617" s="286"/>
      <c r="B4617" s="286"/>
      <c r="C4617" s="287"/>
      <c r="D4617" s="286"/>
      <c r="E4617" s="286"/>
    </row>
    <row r="4618">
      <c r="A4618" s="286"/>
      <c r="B4618" s="286"/>
      <c r="C4618" s="287"/>
      <c r="D4618" s="286"/>
      <c r="E4618" s="286"/>
    </row>
    <row r="4619">
      <c r="A4619" s="286"/>
      <c r="B4619" s="286"/>
      <c r="C4619" s="287"/>
      <c r="D4619" s="286"/>
      <c r="E4619" s="286"/>
    </row>
    <row r="4620">
      <c r="A4620" s="286"/>
      <c r="B4620" s="286"/>
      <c r="C4620" s="287"/>
      <c r="D4620" s="286"/>
      <c r="E4620" s="286"/>
    </row>
    <row r="4621">
      <c r="A4621" s="286"/>
      <c r="B4621" s="286"/>
      <c r="C4621" s="287"/>
      <c r="D4621" s="286"/>
      <c r="E4621" s="286"/>
    </row>
    <row r="4622">
      <c r="A4622" s="286"/>
      <c r="B4622" s="286"/>
      <c r="C4622" s="287"/>
      <c r="D4622" s="286"/>
      <c r="E4622" s="286"/>
    </row>
    <row r="4623">
      <c r="A4623" s="286"/>
      <c r="B4623" s="286"/>
      <c r="C4623" s="287"/>
      <c r="D4623" s="286"/>
      <c r="E4623" s="286"/>
    </row>
    <row r="4624">
      <c r="A4624" s="286"/>
      <c r="B4624" s="286"/>
      <c r="C4624" s="287"/>
      <c r="D4624" s="286"/>
      <c r="E4624" s="286"/>
    </row>
    <row r="4625">
      <c r="A4625" s="286"/>
      <c r="B4625" s="286"/>
      <c r="C4625" s="287"/>
      <c r="D4625" s="286"/>
      <c r="E4625" s="286"/>
    </row>
    <row r="4626">
      <c r="A4626" s="286"/>
      <c r="B4626" s="286"/>
      <c r="C4626" s="287"/>
      <c r="D4626" s="286"/>
      <c r="E4626" s="286"/>
    </row>
    <row r="4627">
      <c r="A4627" s="286"/>
      <c r="B4627" s="286"/>
      <c r="C4627" s="287"/>
      <c r="D4627" s="286"/>
      <c r="E4627" s="286"/>
    </row>
    <row r="4628">
      <c r="A4628" s="286"/>
      <c r="B4628" s="286"/>
      <c r="C4628" s="287"/>
      <c r="D4628" s="286"/>
      <c r="E4628" s="286"/>
    </row>
    <row r="4629">
      <c r="A4629" s="286"/>
      <c r="B4629" s="286"/>
      <c r="C4629" s="287"/>
      <c r="D4629" s="286"/>
      <c r="E4629" s="286"/>
    </row>
    <row r="4630">
      <c r="A4630" s="286"/>
      <c r="B4630" s="286"/>
      <c r="C4630" s="287"/>
      <c r="D4630" s="286"/>
      <c r="E4630" s="286"/>
    </row>
    <row r="4631">
      <c r="A4631" s="286"/>
      <c r="B4631" s="286"/>
      <c r="C4631" s="287"/>
      <c r="D4631" s="286"/>
      <c r="E4631" s="286"/>
    </row>
    <row r="4632">
      <c r="A4632" s="286"/>
      <c r="B4632" s="286"/>
      <c r="C4632" s="287"/>
      <c r="D4632" s="286"/>
      <c r="E4632" s="286"/>
    </row>
    <row r="4633">
      <c r="A4633" s="286"/>
      <c r="B4633" s="286"/>
      <c r="C4633" s="287"/>
      <c r="D4633" s="286"/>
      <c r="E4633" s="286"/>
    </row>
    <row r="4634">
      <c r="A4634" s="286"/>
      <c r="B4634" s="286"/>
      <c r="C4634" s="287"/>
      <c r="D4634" s="286"/>
      <c r="E4634" s="286"/>
    </row>
    <row r="4635">
      <c r="A4635" s="286"/>
      <c r="B4635" s="286"/>
      <c r="C4635" s="287"/>
      <c r="D4635" s="286"/>
      <c r="E4635" s="286"/>
    </row>
    <row r="4636">
      <c r="A4636" s="286"/>
      <c r="B4636" s="286"/>
      <c r="C4636" s="287"/>
      <c r="D4636" s="286"/>
      <c r="E4636" s="286"/>
    </row>
    <row r="4637">
      <c r="A4637" s="286"/>
      <c r="B4637" s="286"/>
      <c r="C4637" s="287"/>
      <c r="D4637" s="286"/>
      <c r="E4637" s="286"/>
    </row>
    <row r="4638">
      <c r="A4638" s="286"/>
      <c r="B4638" s="286"/>
      <c r="C4638" s="287"/>
      <c r="D4638" s="286"/>
      <c r="E4638" s="286"/>
    </row>
    <row r="4639">
      <c r="A4639" s="286"/>
      <c r="B4639" s="286"/>
      <c r="C4639" s="287"/>
      <c r="D4639" s="286"/>
      <c r="E4639" s="286"/>
    </row>
    <row r="4640">
      <c r="A4640" s="286"/>
      <c r="B4640" s="286"/>
      <c r="C4640" s="287"/>
      <c r="D4640" s="286"/>
      <c r="E4640" s="286"/>
    </row>
    <row r="4641">
      <c r="A4641" s="286"/>
      <c r="B4641" s="286"/>
      <c r="C4641" s="287"/>
      <c r="D4641" s="286"/>
      <c r="E4641" s="286"/>
    </row>
    <row r="4642">
      <c r="A4642" s="286"/>
      <c r="B4642" s="286"/>
      <c r="C4642" s="287"/>
      <c r="D4642" s="286"/>
      <c r="E4642" s="286"/>
    </row>
    <row r="4643">
      <c r="A4643" s="286"/>
      <c r="B4643" s="286"/>
      <c r="C4643" s="287"/>
      <c r="D4643" s="286"/>
      <c r="E4643" s="286"/>
    </row>
    <row r="4644">
      <c r="A4644" s="286"/>
      <c r="B4644" s="286"/>
      <c r="C4644" s="287"/>
      <c r="D4644" s="286"/>
      <c r="E4644" s="286"/>
    </row>
    <row r="4645">
      <c r="A4645" s="286"/>
      <c r="B4645" s="286"/>
      <c r="C4645" s="287"/>
      <c r="D4645" s="286"/>
      <c r="E4645" s="286"/>
    </row>
    <row r="4646">
      <c r="A4646" s="286"/>
      <c r="B4646" s="286"/>
      <c r="C4646" s="287"/>
      <c r="D4646" s="286"/>
      <c r="E4646" s="286"/>
    </row>
    <row r="4647">
      <c r="A4647" s="286"/>
      <c r="B4647" s="286"/>
      <c r="C4647" s="287"/>
      <c r="D4647" s="286"/>
      <c r="E4647" s="286"/>
    </row>
    <row r="4648">
      <c r="A4648" s="286"/>
      <c r="B4648" s="286"/>
      <c r="C4648" s="287"/>
      <c r="D4648" s="286"/>
      <c r="E4648" s="286"/>
    </row>
    <row r="4649">
      <c r="A4649" s="286"/>
      <c r="B4649" s="286"/>
      <c r="C4649" s="287"/>
      <c r="D4649" s="286"/>
      <c r="E4649" s="286"/>
    </row>
    <row r="4650">
      <c r="A4650" s="286"/>
      <c r="B4650" s="286"/>
      <c r="C4650" s="287"/>
      <c r="D4650" s="286"/>
      <c r="E4650" s="286"/>
    </row>
    <row r="4651">
      <c r="A4651" s="286"/>
      <c r="B4651" s="286"/>
      <c r="C4651" s="287"/>
      <c r="D4651" s="286"/>
      <c r="E4651" s="286"/>
    </row>
    <row r="4652">
      <c r="A4652" s="286"/>
      <c r="B4652" s="286"/>
      <c r="C4652" s="287"/>
      <c r="D4652" s="286"/>
      <c r="E4652" s="286"/>
    </row>
    <row r="4653">
      <c r="A4653" s="286"/>
      <c r="B4653" s="286"/>
      <c r="C4653" s="287"/>
      <c r="D4653" s="286"/>
      <c r="E4653" s="286"/>
    </row>
    <row r="4654">
      <c r="A4654" s="286"/>
      <c r="B4654" s="286"/>
      <c r="C4654" s="287"/>
      <c r="D4654" s="286"/>
      <c r="E4654" s="286"/>
    </row>
    <row r="4655">
      <c r="A4655" s="286"/>
      <c r="B4655" s="286"/>
      <c r="C4655" s="287"/>
      <c r="D4655" s="286"/>
      <c r="E4655" s="286"/>
    </row>
    <row r="4656">
      <c r="A4656" s="286"/>
      <c r="B4656" s="286"/>
      <c r="C4656" s="287"/>
      <c r="D4656" s="286"/>
      <c r="E4656" s="286"/>
    </row>
    <row r="4657">
      <c r="A4657" s="286"/>
      <c r="B4657" s="286"/>
      <c r="C4657" s="287"/>
      <c r="D4657" s="286"/>
      <c r="E4657" s="286"/>
    </row>
    <row r="4658">
      <c r="A4658" s="286"/>
      <c r="B4658" s="286"/>
      <c r="C4658" s="287"/>
      <c r="D4658" s="286"/>
      <c r="E4658" s="286"/>
    </row>
    <row r="4659">
      <c r="A4659" s="286"/>
      <c r="B4659" s="286"/>
      <c r="C4659" s="287"/>
      <c r="D4659" s="286"/>
      <c r="E4659" s="286"/>
    </row>
    <row r="4660">
      <c r="A4660" s="286"/>
      <c r="B4660" s="286"/>
      <c r="C4660" s="287"/>
      <c r="D4660" s="286"/>
      <c r="E4660" s="286"/>
    </row>
    <row r="4661">
      <c r="A4661" s="286"/>
      <c r="B4661" s="286"/>
      <c r="C4661" s="287"/>
      <c r="D4661" s="286"/>
      <c r="E4661" s="286"/>
    </row>
    <row r="4662">
      <c r="A4662" s="286"/>
      <c r="B4662" s="286"/>
      <c r="C4662" s="287"/>
      <c r="D4662" s="286"/>
      <c r="E4662" s="286"/>
    </row>
    <row r="4663">
      <c r="A4663" s="286"/>
      <c r="B4663" s="286"/>
      <c r="C4663" s="287"/>
      <c r="D4663" s="286"/>
      <c r="E4663" s="286"/>
    </row>
    <row r="4664">
      <c r="A4664" s="286"/>
      <c r="B4664" s="286"/>
      <c r="C4664" s="287"/>
      <c r="D4664" s="286"/>
      <c r="E4664" s="286"/>
    </row>
    <row r="4665">
      <c r="A4665" s="286"/>
      <c r="B4665" s="286"/>
      <c r="C4665" s="287"/>
      <c r="D4665" s="286"/>
      <c r="E4665" s="286"/>
    </row>
    <row r="4666">
      <c r="A4666" s="286"/>
      <c r="B4666" s="286"/>
      <c r="C4666" s="287"/>
      <c r="D4666" s="286"/>
      <c r="E4666" s="286"/>
    </row>
    <row r="4667">
      <c r="A4667" s="286"/>
      <c r="B4667" s="286"/>
      <c r="C4667" s="287"/>
      <c r="D4667" s="286"/>
      <c r="E4667" s="286"/>
    </row>
    <row r="4668">
      <c r="A4668" s="286"/>
      <c r="B4668" s="286"/>
      <c r="C4668" s="287"/>
      <c r="D4668" s="286"/>
      <c r="E4668" s="286"/>
    </row>
    <row r="4669">
      <c r="A4669" s="286"/>
      <c r="B4669" s="286"/>
      <c r="C4669" s="287"/>
      <c r="D4669" s="286"/>
      <c r="E4669" s="286"/>
    </row>
    <row r="4670">
      <c r="A4670" s="286"/>
      <c r="B4670" s="286"/>
      <c r="C4670" s="287"/>
      <c r="D4670" s="286"/>
      <c r="E4670" s="286"/>
    </row>
    <row r="4671">
      <c r="A4671" s="286"/>
      <c r="B4671" s="286"/>
      <c r="C4671" s="287"/>
      <c r="D4671" s="286"/>
      <c r="E4671" s="286"/>
    </row>
    <row r="4672">
      <c r="A4672" s="286"/>
      <c r="B4672" s="286"/>
      <c r="C4672" s="287"/>
      <c r="D4672" s="286"/>
      <c r="E4672" s="286"/>
    </row>
    <row r="4673">
      <c r="A4673" s="286"/>
      <c r="B4673" s="286"/>
      <c r="C4673" s="287"/>
      <c r="D4673" s="286"/>
      <c r="E4673" s="286"/>
    </row>
    <row r="4674">
      <c r="A4674" s="286"/>
      <c r="B4674" s="286"/>
      <c r="C4674" s="287"/>
      <c r="D4674" s="286"/>
      <c r="E4674" s="286"/>
    </row>
    <row r="4675">
      <c r="A4675" s="286"/>
      <c r="B4675" s="286"/>
      <c r="C4675" s="287"/>
      <c r="D4675" s="286"/>
      <c r="E4675" s="286"/>
    </row>
    <row r="4676">
      <c r="A4676" s="286"/>
      <c r="B4676" s="286"/>
      <c r="C4676" s="287"/>
      <c r="D4676" s="286"/>
      <c r="E4676" s="286"/>
    </row>
    <row r="4677">
      <c r="A4677" s="286"/>
      <c r="B4677" s="286"/>
      <c r="C4677" s="287"/>
      <c r="D4677" s="286"/>
      <c r="E4677" s="286"/>
    </row>
    <row r="4678">
      <c r="A4678" s="286"/>
      <c r="B4678" s="286"/>
      <c r="C4678" s="287"/>
      <c r="D4678" s="286"/>
      <c r="E4678" s="286"/>
    </row>
    <row r="4679">
      <c r="A4679" s="286"/>
      <c r="B4679" s="286"/>
      <c r="C4679" s="287"/>
      <c r="D4679" s="286"/>
      <c r="E4679" s="286"/>
    </row>
    <row r="4680">
      <c r="A4680" s="286"/>
      <c r="B4680" s="286"/>
      <c r="C4680" s="287"/>
      <c r="D4680" s="286"/>
      <c r="E4680" s="286"/>
    </row>
    <row r="4681">
      <c r="A4681" s="286"/>
      <c r="B4681" s="286"/>
      <c r="C4681" s="287"/>
      <c r="D4681" s="286"/>
      <c r="E4681" s="286"/>
    </row>
    <row r="4682">
      <c r="A4682" s="286"/>
      <c r="B4682" s="286"/>
      <c r="C4682" s="287"/>
      <c r="D4682" s="286"/>
      <c r="E4682" s="286"/>
    </row>
    <row r="4683">
      <c r="A4683" s="286"/>
      <c r="B4683" s="286"/>
      <c r="C4683" s="287"/>
      <c r="D4683" s="286"/>
      <c r="E4683" s="286"/>
    </row>
    <row r="4684">
      <c r="A4684" s="286"/>
      <c r="B4684" s="286"/>
      <c r="C4684" s="287"/>
      <c r="D4684" s="286"/>
      <c r="E4684" s="286"/>
    </row>
    <row r="4685">
      <c r="A4685" s="286"/>
      <c r="B4685" s="286"/>
      <c r="C4685" s="287"/>
      <c r="D4685" s="286"/>
      <c r="E4685" s="286"/>
    </row>
    <row r="4686">
      <c r="A4686" s="286"/>
      <c r="B4686" s="286"/>
      <c r="C4686" s="287"/>
      <c r="D4686" s="286"/>
      <c r="E4686" s="286"/>
    </row>
    <row r="4687">
      <c r="A4687" s="286"/>
      <c r="B4687" s="286"/>
      <c r="C4687" s="287"/>
      <c r="D4687" s="286"/>
      <c r="E4687" s="286"/>
    </row>
    <row r="4688">
      <c r="A4688" s="286"/>
      <c r="B4688" s="286"/>
      <c r="C4688" s="287"/>
      <c r="D4688" s="286"/>
      <c r="E4688" s="286"/>
    </row>
    <row r="4689">
      <c r="A4689" s="286"/>
      <c r="B4689" s="286"/>
      <c r="C4689" s="287"/>
      <c r="D4689" s="286"/>
      <c r="E4689" s="286"/>
    </row>
    <row r="4690">
      <c r="A4690" s="286"/>
      <c r="B4690" s="286"/>
      <c r="C4690" s="287"/>
      <c r="D4690" s="286"/>
      <c r="E4690" s="286"/>
    </row>
    <row r="4691">
      <c r="A4691" s="286"/>
      <c r="B4691" s="286"/>
      <c r="C4691" s="287"/>
      <c r="D4691" s="286"/>
      <c r="E4691" s="286"/>
    </row>
    <row r="4692">
      <c r="A4692" s="286"/>
      <c r="B4692" s="286"/>
      <c r="C4692" s="287"/>
      <c r="D4692" s="286"/>
      <c r="E4692" s="286"/>
    </row>
    <row r="4693">
      <c r="A4693" s="286"/>
      <c r="B4693" s="286"/>
      <c r="C4693" s="287"/>
      <c r="D4693" s="286"/>
      <c r="E4693" s="286"/>
    </row>
    <row r="4694">
      <c r="A4694" s="286"/>
      <c r="B4694" s="286"/>
      <c r="C4694" s="287"/>
      <c r="D4694" s="286"/>
      <c r="E4694" s="286"/>
    </row>
    <row r="4695">
      <c r="A4695" s="286"/>
      <c r="B4695" s="286"/>
      <c r="C4695" s="287"/>
      <c r="D4695" s="286"/>
      <c r="E4695" s="286"/>
    </row>
    <row r="4696">
      <c r="A4696" s="286"/>
      <c r="B4696" s="286"/>
      <c r="C4696" s="287"/>
      <c r="D4696" s="286"/>
      <c r="E4696" s="286"/>
    </row>
    <row r="4697">
      <c r="A4697" s="286"/>
      <c r="B4697" s="286"/>
      <c r="C4697" s="287"/>
      <c r="D4697" s="286"/>
      <c r="E4697" s="286"/>
    </row>
    <row r="4698">
      <c r="A4698" s="286"/>
      <c r="B4698" s="286"/>
      <c r="C4698" s="287"/>
      <c r="D4698" s="286"/>
      <c r="E4698" s="286"/>
    </row>
    <row r="4699">
      <c r="A4699" s="286"/>
      <c r="B4699" s="286"/>
      <c r="C4699" s="287"/>
      <c r="D4699" s="286"/>
      <c r="E4699" s="286"/>
    </row>
    <row r="4700">
      <c r="A4700" s="286"/>
      <c r="B4700" s="286"/>
      <c r="C4700" s="287"/>
      <c r="D4700" s="286"/>
      <c r="E4700" s="286"/>
    </row>
    <row r="4701">
      <c r="A4701" s="286"/>
      <c r="B4701" s="286"/>
      <c r="C4701" s="287"/>
      <c r="D4701" s="286"/>
      <c r="E4701" s="286"/>
    </row>
    <row r="4702">
      <c r="A4702" s="286"/>
      <c r="B4702" s="286"/>
      <c r="C4702" s="287"/>
      <c r="D4702" s="286"/>
      <c r="E4702" s="286"/>
    </row>
    <row r="4703">
      <c r="A4703" s="286"/>
      <c r="B4703" s="286"/>
      <c r="C4703" s="287"/>
      <c r="D4703" s="286"/>
      <c r="E4703" s="286"/>
    </row>
    <row r="4704">
      <c r="A4704" s="286"/>
      <c r="B4704" s="286"/>
      <c r="C4704" s="287"/>
      <c r="D4704" s="286"/>
      <c r="E4704" s="286"/>
    </row>
    <row r="4705">
      <c r="A4705" s="286"/>
      <c r="B4705" s="286"/>
      <c r="C4705" s="287"/>
      <c r="D4705" s="286"/>
      <c r="E4705" s="286"/>
    </row>
    <row r="4706">
      <c r="A4706" s="286"/>
      <c r="B4706" s="286"/>
      <c r="C4706" s="287"/>
      <c r="D4706" s="286"/>
      <c r="E4706" s="286"/>
    </row>
    <row r="4707">
      <c r="A4707" s="286"/>
      <c r="B4707" s="286"/>
      <c r="C4707" s="287"/>
      <c r="D4707" s="286"/>
      <c r="E4707" s="286"/>
    </row>
    <row r="4708">
      <c r="A4708" s="286"/>
      <c r="B4708" s="286"/>
      <c r="C4708" s="287"/>
      <c r="D4708" s="286"/>
      <c r="E4708" s="286"/>
    </row>
    <row r="4709">
      <c r="A4709" s="286"/>
      <c r="B4709" s="286"/>
      <c r="C4709" s="287"/>
      <c r="D4709" s="286"/>
      <c r="E4709" s="286"/>
    </row>
    <row r="4710">
      <c r="A4710" s="286"/>
      <c r="B4710" s="286"/>
      <c r="C4710" s="287"/>
      <c r="D4710" s="286"/>
      <c r="E4710" s="286"/>
    </row>
    <row r="4711">
      <c r="A4711" s="286"/>
      <c r="B4711" s="286"/>
      <c r="C4711" s="287"/>
      <c r="D4711" s="286"/>
      <c r="E4711" s="286"/>
    </row>
    <row r="4712">
      <c r="A4712" s="286"/>
      <c r="B4712" s="286"/>
      <c r="C4712" s="287"/>
      <c r="D4712" s="286"/>
      <c r="E4712" s="286"/>
    </row>
    <row r="4713">
      <c r="A4713" s="286"/>
      <c r="B4713" s="286"/>
      <c r="C4713" s="287"/>
      <c r="D4713" s="286"/>
      <c r="E4713" s="286"/>
    </row>
    <row r="4714">
      <c r="A4714" s="286"/>
      <c r="B4714" s="286"/>
      <c r="C4714" s="287"/>
      <c r="D4714" s="286"/>
      <c r="E4714" s="286"/>
    </row>
    <row r="4715">
      <c r="A4715" s="286"/>
      <c r="B4715" s="286"/>
      <c r="C4715" s="287"/>
      <c r="D4715" s="286"/>
      <c r="E4715" s="286"/>
    </row>
    <row r="4716">
      <c r="A4716" s="286"/>
      <c r="B4716" s="286"/>
      <c r="C4716" s="287"/>
      <c r="D4716" s="286"/>
      <c r="E4716" s="286"/>
    </row>
    <row r="4717">
      <c r="A4717" s="286"/>
      <c r="B4717" s="286"/>
      <c r="C4717" s="287"/>
      <c r="D4717" s="286"/>
      <c r="E4717" s="286"/>
    </row>
    <row r="4718">
      <c r="A4718" s="286"/>
      <c r="B4718" s="286"/>
      <c r="C4718" s="287"/>
      <c r="D4718" s="286"/>
      <c r="E4718" s="286"/>
    </row>
    <row r="4719">
      <c r="A4719" s="286"/>
      <c r="B4719" s="286"/>
      <c r="C4719" s="287"/>
      <c r="D4719" s="286"/>
      <c r="E4719" s="286"/>
    </row>
    <row r="4720">
      <c r="A4720" s="286"/>
      <c r="B4720" s="286"/>
      <c r="C4720" s="287"/>
      <c r="D4720" s="286"/>
      <c r="E4720" s="286"/>
    </row>
    <row r="4721">
      <c r="A4721" s="286"/>
      <c r="B4721" s="286"/>
      <c r="C4721" s="287"/>
      <c r="D4721" s="286"/>
      <c r="E4721" s="286"/>
    </row>
    <row r="4722">
      <c r="A4722" s="286"/>
      <c r="B4722" s="286"/>
      <c r="C4722" s="287"/>
      <c r="D4722" s="286"/>
      <c r="E4722" s="286"/>
    </row>
    <row r="4723">
      <c r="A4723" s="286"/>
      <c r="B4723" s="286"/>
      <c r="C4723" s="287"/>
      <c r="D4723" s="286"/>
      <c r="E4723" s="286"/>
    </row>
    <row r="4724">
      <c r="A4724" s="286"/>
      <c r="B4724" s="286"/>
      <c r="C4724" s="287"/>
      <c r="D4724" s="286"/>
      <c r="E4724" s="286"/>
    </row>
    <row r="4725">
      <c r="A4725" s="286"/>
      <c r="B4725" s="286"/>
      <c r="C4725" s="287"/>
      <c r="D4725" s="286"/>
      <c r="E4725" s="286"/>
    </row>
    <row r="4726">
      <c r="A4726" s="286"/>
      <c r="B4726" s="286"/>
      <c r="C4726" s="287"/>
      <c r="D4726" s="286"/>
      <c r="E4726" s="286"/>
    </row>
    <row r="4727">
      <c r="A4727" s="286"/>
      <c r="B4727" s="286"/>
      <c r="C4727" s="287"/>
      <c r="D4727" s="286"/>
      <c r="E4727" s="286"/>
    </row>
    <row r="4728">
      <c r="A4728" s="286"/>
      <c r="B4728" s="286"/>
      <c r="C4728" s="287"/>
      <c r="D4728" s="286"/>
      <c r="E4728" s="286"/>
    </row>
    <row r="4729">
      <c r="A4729" s="286"/>
      <c r="B4729" s="286"/>
      <c r="C4729" s="287"/>
      <c r="D4729" s="286"/>
      <c r="E4729" s="286"/>
    </row>
    <row r="4730">
      <c r="A4730" s="286"/>
      <c r="B4730" s="286"/>
      <c r="C4730" s="287"/>
      <c r="D4730" s="286"/>
      <c r="E4730" s="286"/>
    </row>
    <row r="4731">
      <c r="A4731" s="286"/>
      <c r="B4731" s="286"/>
      <c r="C4731" s="287"/>
      <c r="D4731" s="286"/>
      <c r="E4731" s="286"/>
    </row>
    <row r="4732">
      <c r="A4732" s="286"/>
      <c r="B4732" s="286"/>
      <c r="C4732" s="287"/>
      <c r="D4732" s="286"/>
      <c r="E4732" s="286"/>
    </row>
    <row r="4733">
      <c r="A4733" s="286"/>
      <c r="B4733" s="286"/>
      <c r="C4733" s="287"/>
      <c r="D4733" s="286"/>
      <c r="E4733" s="286"/>
    </row>
    <row r="4734">
      <c r="A4734" s="286"/>
      <c r="B4734" s="286"/>
      <c r="C4734" s="287"/>
      <c r="D4734" s="286"/>
      <c r="E4734" s="286"/>
    </row>
    <row r="4735">
      <c r="A4735" s="286"/>
      <c r="B4735" s="286"/>
      <c r="C4735" s="287"/>
      <c r="D4735" s="286"/>
      <c r="E4735" s="286"/>
    </row>
    <row r="4736">
      <c r="A4736" s="286"/>
      <c r="B4736" s="286"/>
      <c r="C4736" s="287"/>
      <c r="D4736" s="286"/>
      <c r="E4736" s="286"/>
    </row>
    <row r="4737">
      <c r="A4737" s="286"/>
      <c r="B4737" s="286"/>
      <c r="C4737" s="287"/>
      <c r="D4737" s="286"/>
      <c r="E4737" s="286"/>
    </row>
    <row r="4738">
      <c r="A4738" s="286"/>
      <c r="B4738" s="286"/>
      <c r="C4738" s="287"/>
      <c r="D4738" s="286"/>
      <c r="E4738" s="286"/>
    </row>
    <row r="4739">
      <c r="A4739" s="286"/>
      <c r="B4739" s="286"/>
      <c r="C4739" s="287"/>
      <c r="D4739" s="286"/>
      <c r="E4739" s="286"/>
    </row>
    <row r="4740">
      <c r="A4740" s="286"/>
      <c r="B4740" s="286"/>
      <c r="C4740" s="287"/>
      <c r="D4740" s="286"/>
      <c r="E4740" s="286"/>
    </row>
    <row r="4741">
      <c r="A4741" s="286"/>
      <c r="B4741" s="286"/>
      <c r="C4741" s="287"/>
      <c r="D4741" s="286"/>
      <c r="E4741" s="286"/>
    </row>
    <row r="4742">
      <c r="A4742" s="286"/>
      <c r="B4742" s="286"/>
      <c r="C4742" s="287"/>
      <c r="D4742" s="286"/>
      <c r="E4742" s="286"/>
    </row>
    <row r="4743">
      <c r="A4743" s="286"/>
      <c r="B4743" s="286"/>
      <c r="C4743" s="287"/>
      <c r="D4743" s="286"/>
      <c r="E4743" s="286"/>
    </row>
    <row r="4744">
      <c r="A4744" s="286"/>
      <c r="B4744" s="286"/>
      <c r="C4744" s="287"/>
      <c r="D4744" s="286"/>
      <c r="E4744" s="286"/>
    </row>
    <row r="4745">
      <c r="A4745" s="286"/>
      <c r="B4745" s="286"/>
      <c r="C4745" s="287"/>
      <c r="D4745" s="286"/>
      <c r="E4745" s="286"/>
    </row>
    <row r="4746">
      <c r="A4746" s="286"/>
      <c r="B4746" s="286"/>
      <c r="C4746" s="287"/>
      <c r="D4746" s="286"/>
      <c r="E4746" s="286"/>
    </row>
    <row r="4747">
      <c r="A4747" s="286"/>
      <c r="B4747" s="286"/>
      <c r="C4747" s="287"/>
      <c r="D4747" s="286"/>
      <c r="E4747" s="286"/>
    </row>
    <row r="4748">
      <c r="A4748" s="286"/>
      <c r="B4748" s="286"/>
      <c r="C4748" s="287"/>
      <c r="D4748" s="286"/>
      <c r="E4748" s="286"/>
    </row>
    <row r="4749">
      <c r="A4749" s="286"/>
      <c r="B4749" s="286"/>
      <c r="C4749" s="287"/>
      <c r="D4749" s="286"/>
      <c r="E4749" s="286"/>
    </row>
    <row r="4750">
      <c r="A4750" s="286"/>
      <c r="B4750" s="286"/>
      <c r="C4750" s="287"/>
      <c r="D4750" s="286"/>
      <c r="E4750" s="286"/>
    </row>
    <row r="4751">
      <c r="A4751" s="286"/>
      <c r="B4751" s="286"/>
      <c r="C4751" s="287"/>
      <c r="D4751" s="286"/>
      <c r="E4751" s="286"/>
    </row>
    <row r="4752">
      <c r="A4752" s="286"/>
      <c r="B4752" s="286"/>
      <c r="C4752" s="287"/>
      <c r="D4752" s="286"/>
      <c r="E4752" s="286"/>
    </row>
    <row r="4753">
      <c r="A4753" s="286"/>
      <c r="B4753" s="286"/>
      <c r="C4753" s="287"/>
      <c r="D4753" s="286"/>
      <c r="E4753" s="286"/>
    </row>
    <row r="4754">
      <c r="A4754" s="286"/>
      <c r="B4754" s="286"/>
      <c r="C4754" s="287"/>
      <c r="D4754" s="286"/>
      <c r="E4754" s="286"/>
    </row>
    <row r="4755">
      <c r="A4755" s="286"/>
      <c r="B4755" s="286"/>
      <c r="C4755" s="287"/>
      <c r="D4755" s="286"/>
      <c r="E4755" s="286"/>
    </row>
    <row r="4756">
      <c r="A4756" s="286"/>
      <c r="B4756" s="286"/>
      <c r="C4756" s="287"/>
      <c r="D4756" s="286"/>
      <c r="E4756" s="286"/>
    </row>
    <row r="4757">
      <c r="A4757" s="286"/>
      <c r="B4757" s="286"/>
      <c r="C4757" s="287"/>
      <c r="D4757" s="286"/>
      <c r="E4757" s="286"/>
    </row>
    <row r="4758">
      <c r="A4758" s="286"/>
      <c r="B4758" s="286"/>
      <c r="C4758" s="287"/>
      <c r="D4758" s="286"/>
      <c r="E4758" s="286"/>
    </row>
    <row r="4759">
      <c r="A4759" s="286"/>
      <c r="B4759" s="286"/>
      <c r="C4759" s="287"/>
      <c r="D4759" s="286"/>
      <c r="E4759" s="286"/>
    </row>
    <row r="4760">
      <c r="A4760" s="286"/>
      <c r="B4760" s="286"/>
      <c r="C4760" s="287"/>
      <c r="D4760" s="286"/>
      <c r="E4760" s="286"/>
    </row>
    <row r="4761">
      <c r="A4761" s="286"/>
      <c r="B4761" s="286"/>
      <c r="C4761" s="287"/>
      <c r="D4761" s="286"/>
      <c r="E4761" s="286"/>
    </row>
    <row r="4762">
      <c r="A4762" s="286"/>
      <c r="B4762" s="286"/>
      <c r="C4762" s="287"/>
      <c r="D4762" s="286"/>
      <c r="E4762" s="286"/>
    </row>
    <row r="4763">
      <c r="A4763" s="286"/>
      <c r="B4763" s="286"/>
      <c r="C4763" s="287"/>
      <c r="D4763" s="286"/>
      <c r="E4763" s="286"/>
    </row>
    <row r="4764">
      <c r="A4764" s="286"/>
      <c r="B4764" s="286"/>
      <c r="C4764" s="287"/>
      <c r="D4764" s="286"/>
      <c r="E4764" s="286"/>
    </row>
    <row r="4765">
      <c r="A4765" s="286"/>
      <c r="B4765" s="286"/>
      <c r="C4765" s="287"/>
      <c r="D4765" s="286"/>
      <c r="E4765" s="286"/>
    </row>
    <row r="4766">
      <c r="A4766" s="286"/>
      <c r="B4766" s="286"/>
      <c r="C4766" s="287"/>
      <c r="D4766" s="286"/>
      <c r="E4766" s="286"/>
    </row>
    <row r="4767">
      <c r="A4767" s="286"/>
      <c r="B4767" s="286"/>
      <c r="C4767" s="287"/>
      <c r="D4767" s="286"/>
      <c r="E4767" s="286"/>
    </row>
    <row r="4768">
      <c r="A4768" s="286"/>
      <c r="B4768" s="286"/>
      <c r="C4768" s="287"/>
      <c r="D4768" s="286"/>
      <c r="E4768" s="286"/>
    </row>
    <row r="4769">
      <c r="A4769" s="286"/>
      <c r="B4769" s="286"/>
      <c r="C4769" s="287"/>
      <c r="D4769" s="286"/>
      <c r="E4769" s="286"/>
    </row>
    <row r="4770">
      <c r="A4770" s="286"/>
      <c r="B4770" s="286"/>
      <c r="C4770" s="287"/>
      <c r="D4770" s="286"/>
      <c r="E4770" s="286"/>
    </row>
    <row r="4771">
      <c r="A4771" s="286"/>
      <c r="B4771" s="286"/>
      <c r="C4771" s="287"/>
      <c r="D4771" s="286"/>
      <c r="E4771" s="286"/>
    </row>
    <row r="4772">
      <c r="A4772" s="286"/>
      <c r="B4772" s="286"/>
      <c r="C4772" s="287"/>
      <c r="D4772" s="286"/>
      <c r="E4772" s="286"/>
    </row>
    <row r="4773">
      <c r="A4773" s="286"/>
      <c r="B4773" s="286"/>
      <c r="C4773" s="287"/>
      <c r="D4773" s="286"/>
      <c r="E4773" s="286"/>
    </row>
    <row r="4774">
      <c r="A4774" s="286"/>
      <c r="B4774" s="286"/>
      <c r="C4774" s="287"/>
      <c r="D4774" s="286"/>
      <c r="E4774" s="286"/>
    </row>
    <row r="4775">
      <c r="A4775" s="286"/>
      <c r="B4775" s="286"/>
      <c r="C4775" s="287"/>
      <c r="D4775" s="286"/>
      <c r="E4775" s="286"/>
    </row>
    <row r="4776">
      <c r="A4776" s="286"/>
      <c r="B4776" s="286"/>
      <c r="C4776" s="287"/>
      <c r="D4776" s="286"/>
      <c r="E4776" s="286"/>
    </row>
    <row r="4777">
      <c r="A4777" s="286"/>
      <c r="B4777" s="286"/>
      <c r="C4777" s="287"/>
      <c r="D4777" s="286"/>
      <c r="E4777" s="286"/>
    </row>
    <row r="4778">
      <c r="A4778" s="286"/>
      <c r="B4778" s="286"/>
      <c r="C4778" s="287"/>
      <c r="D4778" s="286"/>
      <c r="E4778" s="286"/>
    </row>
    <row r="4779">
      <c r="A4779" s="286"/>
      <c r="B4779" s="286"/>
      <c r="C4779" s="287"/>
      <c r="D4779" s="286"/>
      <c r="E4779" s="286"/>
    </row>
    <row r="4780">
      <c r="A4780" s="286"/>
      <c r="B4780" s="286"/>
      <c r="C4780" s="287"/>
      <c r="D4780" s="286"/>
      <c r="E4780" s="286"/>
    </row>
    <row r="4781">
      <c r="A4781" s="286"/>
      <c r="B4781" s="286"/>
      <c r="C4781" s="287"/>
      <c r="D4781" s="286"/>
      <c r="E4781" s="286"/>
    </row>
    <row r="4782">
      <c r="A4782" s="286"/>
      <c r="B4782" s="286"/>
      <c r="C4782" s="287"/>
      <c r="D4782" s="286"/>
      <c r="E4782" s="286"/>
    </row>
    <row r="4783">
      <c r="A4783" s="286"/>
      <c r="B4783" s="286"/>
      <c r="C4783" s="287"/>
      <c r="D4783" s="286"/>
      <c r="E4783" s="286"/>
    </row>
    <row r="4784">
      <c r="A4784" s="286"/>
      <c r="B4784" s="286"/>
      <c r="C4784" s="287"/>
      <c r="D4784" s="286"/>
      <c r="E4784" s="286"/>
    </row>
    <row r="4785">
      <c r="A4785" s="286"/>
      <c r="B4785" s="286"/>
      <c r="C4785" s="287"/>
      <c r="D4785" s="286"/>
      <c r="E4785" s="286"/>
    </row>
    <row r="4786">
      <c r="A4786" s="286"/>
      <c r="B4786" s="286"/>
      <c r="C4786" s="287"/>
      <c r="D4786" s="286"/>
      <c r="E4786" s="286"/>
    </row>
    <row r="4787">
      <c r="A4787" s="286"/>
      <c r="B4787" s="286"/>
      <c r="C4787" s="287"/>
      <c r="D4787" s="286"/>
      <c r="E4787" s="286"/>
    </row>
    <row r="4788">
      <c r="A4788" s="286"/>
      <c r="B4788" s="286"/>
      <c r="C4788" s="287"/>
      <c r="D4788" s="286"/>
      <c r="E4788" s="286"/>
    </row>
    <row r="4789">
      <c r="A4789" s="286"/>
      <c r="B4789" s="286"/>
      <c r="C4789" s="287"/>
      <c r="D4789" s="286"/>
      <c r="E4789" s="286"/>
    </row>
    <row r="4790">
      <c r="A4790" s="286"/>
      <c r="B4790" s="286"/>
      <c r="C4790" s="287"/>
      <c r="D4790" s="286"/>
      <c r="E4790" s="286"/>
    </row>
    <row r="4791">
      <c r="A4791" s="286"/>
      <c r="B4791" s="286"/>
      <c r="C4791" s="287"/>
      <c r="D4791" s="286"/>
      <c r="E4791" s="286"/>
    </row>
    <row r="4792">
      <c r="A4792" s="286"/>
      <c r="B4792" s="286"/>
      <c r="C4792" s="287"/>
      <c r="D4792" s="286"/>
      <c r="E4792" s="286"/>
    </row>
    <row r="4793">
      <c r="A4793" s="286"/>
      <c r="B4793" s="286"/>
      <c r="C4793" s="287"/>
      <c r="D4793" s="286"/>
      <c r="E4793" s="286"/>
    </row>
    <row r="4794">
      <c r="A4794" s="286"/>
      <c r="B4794" s="286"/>
      <c r="C4794" s="287"/>
      <c r="D4794" s="286"/>
      <c r="E4794" s="286"/>
    </row>
    <row r="4795">
      <c r="A4795" s="286"/>
      <c r="B4795" s="286"/>
      <c r="C4795" s="287"/>
      <c r="D4795" s="286"/>
      <c r="E4795" s="286"/>
    </row>
    <row r="4796">
      <c r="A4796" s="286"/>
      <c r="B4796" s="286"/>
      <c r="C4796" s="287"/>
      <c r="D4796" s="286"/>
      <c r="E4796" s="286"/>
    </row>
    <row r="4797">
      <c r="A4797" s="286"/>
      <c r="B4797" s="286"/>
      <c r="C4797" s="287"/>
      <c r="D4797" s="286"/>
      <c r="E4797" s="286"/>
    </row>
    <row r="4798">
      <c r="A4798" s="286"/>
      <c r="B4798" s="286"/>
      <c r="C4798" s="287"/>
      <c r="D4798" s="286"/>
      <c r="E4798" s="286"/>
    </row>
    <row r="4799">
      <c r="A4799" s="286"/>
      <c r="B4799" s="286"/>
      <c r="C4799" s="287"/>
      <c r="D4799" s="286"/>
      <c r="E4799" s="286"/>
    </row>
    <row r="4800">
      <c r="A4800" s="286"/>
      <c r="B4800" s="286"/>
      <c r="C4800" s="287"/>
      <c r="D4800" s="286"/>
      <c r="E4800" s="286"/>
    </row>
    <row r="4801">
      <c r="A4801" s="286"/>
      <c r="B4801" s="286"/>
      <c r="C4801" s="287"/>
      <c r="D4801" s="286"/>
      <c r="E4801" s="286"/>
    </row>
    <row r="4802">
      <c r="A4802" s="286"/>
      <c r="B4802" s="286"/>
      <c r="C4802" s="287"/>
      <c r="D4802" s="286"/>
      <c r="E4802" s="286"/>
    </row>
    <row r="4803">
      <c r="A4803" s="286"/>
      <c r="B4803" s="286"/>
      <c r="C4803" s="287"/>
      <c r="D4803" s="286"/>
      <c r="E4803" s="286"/>
    </row>
    <row r="4804">
      <c r="A4804" s="286"/>
      <c r="B4804" s="286"/>
      <c r="C4804" s="287"/>
      <c r="D4804" s="286"/>
      <c r="E4804" s="286"/>
    </row>
    <row r="4805">
      <c r="A4805" s="286"/>
      <c r="B4805" s="286"/>
      <c r="C4805" s="287"/>
      <c r="D4805" s="286"/>
      <c r="E4805" s="286"/>
    </row>
    <row r="4806">
      <c r="A4806" s="286"/>
      <c r="B4806" s="286"/>
      <c r="C4806" s="287"/>
      <c r="D4806" s="286"/>
      <c r="E4806" s="286"/>
    </row>
    <row r="4807">
      <c r="A4807" s="286"/>
      <c r="B4807" s="286"/>
      <c r="C4807" s="287"/>
      <c r="D4807" s="286"/>
      <c r="E4807" s="286"/>
    </row>
    <row r="4808">
      <c r="A4808" s="286"/>
      <c r="B4808" s="286"/>
      <c r="C4808" s="287"/>
      <c r="D4808" s="286"/>
      <c r="E4808" s="286"/>
    </row>
    <row r="4809">
      <c r="A4809" s="286"/>
      <c r="B4809" s="286"/>
      <c r="C4809" s="287"/>
      <c r="D4809" s="286"/>
      <c r="E4809" s="286"/>
    </row>
    <row r="4810">
      <c r="A4810" s="286"/>
      <c r="B4810" s="286"/>
      <c r="C4810" s="287"/>
      <c r="D4810" s="286"/>
      <c r="E4810" s="286"/>
    </row>
    <row r="4811">
      <c r="A4811" s="286"/>
      <c r="B4811" s="286"/>
      <c r="C4811" s="287"/>
      <c r="D4811" s="286"/>
      <c r="E4811" s="286"/>
    </row>
    <row r="4812">
      <c r="A4812" s="286"/>
      <c r="B4812" s="286"/>
      <c r="C4812" s="287"/>
      <c r="D4812" s="286"/>
      <c r="E4812" s="286"/>
    </row>
    <row r="4813">
      <c r="A4813" s="286"/>
      <c r="B4813" s="286"/>
      <c r="C4813" s="287"/>
      <c r="D4813" s="286"/>
      <c r="E4813" s="286"/>
    </row>
    <row r="4814">
      <c r="A4814" s="286"/>
      <c r="B4814" s="286"/>
      <c r="C4814" s="287"/>
      <c r="D4814" s="286"/>
      <c r="E4814" s="286"/>
    </row>
    <row r="4815">
      <c r="A4815" s="286"/>
      <c r="B4815" s="286"/>
      <c r="C4815" s="287"/>
      <c r="D4815" s="286"/>
      <c r="E4815" s="286"/>
    </row>
    <row r="4816">
      <c r="A4816" s="286"/>
      <c r="B4816" s="286"/>
      <c r="C4816" s="287"/>
      <c r="D4816" s="286"/>
      <c r="E4816" s="286"/>
    </row>
    <row r="4817">
      <c r="A4817" s="286"/>
      <c r="B4817" s="286"/>
      <c r="C4817" s="287"/>
      <c r="D4817" s="286"/>
      <c r="E4817" s="286"/>
    </row>
    <row r="4818">
      <c r="A4818" s="286"/>
      <c r="B4818" s="286"/>
      <c r="C4818" s="287"/>
      <c r="D4818" s="286"/>
      <c r="E4818" s="286"/>
    </row>
    <row r="4819">
      <c r="A4819" s="286"/>
      <c r="B4819" s="286"/>
      <c r="C4819" s="287"/>
      <c r="D4819" s="286"/>
      <c r="E4819" s="286"/>
    </row>
    <row r="4820">
      <c r="A4820" s="286"/>
      <c r="B4820" s="286"/>
      <c r="C4820" s="287"/>
      <c r="D4820" s="286"/>
      <c r="E4820" s="286"/>
    </row>
    <row r="4821">
      <c r="A4821" s="286"/>
      <c r="B4821" s="286"/>
      <c r="C4821" s="287"/>
      <c r="D4821" s="286"/>
      <c r="E4821" s="286"/>
    </row>
    <row r="4822">
      <c r="A4822" s="286"/>
      <c r="B4822" s="286"/>
      <c r="C4822" s="287"/>
      <c r="D4822" s="286"/>
      <c r="E4822" s="286"/>
    </row>
    <row r="4823">
      <c r="A4823" s="286"/>
      <c r="B4823" s="286"/>
      <c r="C4823" s="287"/>
      <c r="D4823" s="286"/>
      <c r="E4823" s="286"/>
    </row>
    <row r="4824">
      <c r="A4824" s="286"/>
      <c r="B4824" s="286"/>
      <c r="C4824" s="287"/>
      <c r="D4824" s="286"/>
      <c r="E4824" s="286"/>
    </row>
    <row r="4825">
      <c r="A4825" s="286"/>
      <c r="B4825" s="286"/>
      <c r="C4825" s="287"/>
      <c r="D4825" s="286"/>
      <c r="E4825" s="286"/>
    </row>
    <row r="4826">
      <c r="A4826" s="286"/>
      <c r="B4826" s="286"/>
      <c r="C4826" s="287"/>
      <c r="D4826" s="286"/>
      <c r="E4826" s="286"/>
    </row>
    <row r="4827">
      <c r="A4827" s="286"/>
      <c r="B4827" s="286"/>
      <c r="C4827" s="287"/>
      <c r="D4827" s="286"/>
      <c r="E4827" s="286"/>
    </row>
    <row r="4828">
      <c r="A4828" s="286"/>
      <c r="B4828" s="286"/>
      <c r="C4828" s="287"/>
      <c r="D4828" s="286"/>
      <c r="E4828" s="286"/>
    </row>
    <row r="4829">
      <c r="A4829" s="286"/>
      <c r="B4829" s="286"/>
      <c r="C4829" s="287"/>
      <c r="D4829" s="286"/>
      <c r="E4829" s="286"/>
    </row>
    <row r="4830">
      <c r="A4830" s="286"/>
      <c r="B4830" s="286"/>
      <c r="C4830" s="287"/>
      <c r="D4830" s="286"/>
      <c r="E4830" s="286"/>
    </row>
    <row r="4831">
      <c r="A4831" s="286"/>
      <c r="B4831" s="286"/>
      <c r="C4831" s="287"/>
      <c r="D4831" s="286"/>
      <c r="E4831" s="286"/>
    </row>
    <row r="4832">
      <c r="A4832" s="286"/>
      <c r="B4832" s="286"/>
      <c r="C4832" s="287"/>
      <c r="D4832" s="286"/>
      <c r="E4832" s="286"/>
    </row>
    <row r="4833">
      <c r="A4833" s="286"/>
      <c r="B4833" s="286"/>
      <c r="C4833" s="287"/>
      <c r="D4833" s="286"/>
      <c r="E4833" s="286"/>
    </row>
    <row r="4834">
      <c r="A4834" s="286"/>
      <c r="B4834" s="286"/>
      <c r="C4834" s="287"/>
      <c r="D4834" s="286"/>
      <c r="E4834" s="286"/>
    </row>
    <row r="4835">
      <c r="A4835" s="286"/>
      <c r="B4835" s="286"/>
      <c r="C4835" s="287"/>
      <c r="D4835" s="286"/>
      <c r="E4835" s="286"/>
    </row>
    <row r="4836">
      <c r="A4836" s="286"/>
      <c r="B4836" s="286"/>
      <c r="C4836" s="287"/>
      <c r="D4836" s="286"/>
      <c r="E4836" s="286"/>
    </row>
    <row r="4837">
      <c r="A4837" s="286"/>
      <c r="B4837" s="286"/>
      <c r="C4837" s="287"/>
      <c r="D4837" s="286"/>
      <c r="E4837" s="286"/>
    </row>
    <row r="4838">
      <c r="A4838" s="286"/>
      <c r="B4838" s="286"/>
      <c r="C4838" s="287"/>
      <c r="D4838" s="286"/>
      <c r="E4838" s="286"/>
    </row>
    <row r="4839">
      <c r="A4839" s="286"/>
      <c r="B4839" s="286"/>
      <c r="C4839" s="287"/>
      <c r="D4839" s="286"/>
      <c r="E4839" s="286"/>
    </row>
    <row r="4840">
      <c r="A4840" s="286"/>
      <c r="B4840" s="286"/>
      <c r="C4840" s="287"/>
      <c r="D4840" s="286"/>
      <c r="E4840" s="286"/>
    </row>
    <row r="4841">
      <c r="A4841" s="286"/>
      <c r="B4841" s="286"/>
      <c r="C4841" s="287"/>
      <c r="D4841" s="286"/>
      <c r="E4841" s="286"/>
    </row>
    <row r="4842">
      <c r="A4842" s="286"/>
      <c r="B4842" s="286"/>
      <c r="C4842" s="287"/>
      <c r="D4842" s="286"/>
      <c r="E4842" s="286"/>
    </row>
    <row r="4843">
      <c r="A4843" s="286"/>
      <c r="B4843" s="286"/>
      <c r="C4843" s="287"/>
      <c r="D4843" s="286"/>
      <c r="E4843" s="286"/>
    </row>
    <row r="4844">
      <c r="A4844" s="286"/>
      <c r="B4844" s="286"/>
      <c r="C4844" s="287"/>
      <c r="D4844" s="286"/>
      <c r="E4844" s="286"/>
    </row>
    <row r="4845">
      <c r="A4845" s="286"/>
      <c r="B4845" s="286"/>
      <c r="C4845" s="287"/>
      <c r="D4845" s="286"/>
      <c r="E4845" s="286"/>
    </row>
    <row r="4846">
      <c r="A4846" s="286"/>
      <c r="B4846" s="286"/>
      <c r="C4846" s="287"/>
      <c r="D4846" s="286"/>
      <c r="E4846" s="286"/>
    </row>
    <row r="4847">
      <c r="A4847" s="286"/>
      <c r="B4847" s="286"/>
      <c r="C4847" s="287"/>
      <c r="D4847" s="286"/>
      <c r="E4847" s="286"/>
    </row>
    <row r="4848">
      <c r="A4848" s="286"/>
      <c r="B4848" s="286"/>
      <c r="C4848" s="287"/>
      <c r="D4848" s="286"/>
      <c r="E4848" s="286"/>
    </row>
    <row r="4849">
      <c r="A4849" s="286"/>
      <c r="B4849" s="286"/>
      <c r="C4849" s="287"/>
      <c r="D4849" s="286"/>
      <c r="E4849" s="286"/>
    </row>
    <row r="4850">
      <c r="A4850" s="286"/>
      <c r="B4850" s="286"/>
      <c r="C4850" s="287"/>
      <c r="D4850" s="286"/>
      <c r="E4850" s="286"/>
    </row>
    <row r="4851">
      <c r="A4851" s="286"/>
      <c r="B4851" s="286"/>
      <c r="C4851" s="287"/>
      <c r="D4851" s="286"/>
      <c r="E4851" s="286"/>
    </row>
    <row r="4852">
      <c r="A4852" s="286"/>
      <c r="B4852" s="286"/>
      <c r="C4852" s="287"/>
      <c r="D4852" s="286"/>
      <c r="E4852" s="286"/>
    </row>
    <row r="4853">
      <c r="A4853" s="286"/>
      <c r="B4853" s="286"/>
      <c r="C4853" s="287"/>
      <c r="D4853" s="286"/>
      <c r="E4853" s="286"/>
    </row>
    <row r="4854">
      <c r="A4854" s="286"/>
      <c r="B4854" s="286"/>
      <c r="C4854" s="287"/>
      <c r="D4854" s="286"/>
      <c r="E4854" s="286"/>
    </row>
    <row r="4855">
      <c r="A4855" s="286"/>
      <c r="B4855" s="286"/>
      <c r="C4855" s="287"/>
      <c r="D4855" s="286"/>
      <c r="E4855" s="286"/>
    </row>
    <row r="4856">
      <c r="A4856" s="286"/>
      <c r="B4856" s="286"/>
      <c r="C4856" s="287"/>
      <c r="D4856" s="286"/>
      <c r="E4856" s="286"/>
    </row>
    <row r="4857">
      <c r="A4857" s="286"/>
      <c r="B4857" s="286"/>
      <c r="C4857" s="287"/>
      <c r="D4857" s="286"/>
      <c r="E4857" s="286"/>
    </row>
    <row r="4858">
      <c r="A4858" s="286"/>
      <c r="B4858" s="286"/>
      <c r="C4858" s="287"/>
      <c r="D4858" s="286"/>
      <c r="E4858" s="286"/>
    </row>
    <row r="4859">
      <c r="A4859" s="286"/>
      <c r="B4859" s="286"/>
      <c r="C4859" s="287"/>
      <c r="D4859" s="286"/>
      <c r="E4859" s="286"/>
    </row>
    <row r="4860">
      <c r="A4860" s="286"/>
      <c r="B4860" s="286"/>
      <c r="C4860" s="287"/>
      <c r="D4860" s="286"/>
      <c r="E4860" s="286"/>
    </row>
    <row r="4861">
      <c r="A4861" s="286"/>
      <c r="B4861" s="286"/>
      <c r="C4861" s="287"/>
      <c r="D4861" s="286"/>
      <c r="E4861" s="286"/>
    </row>
    <row r="4862">
      <c r="A4862" s="286"/>
      <c r="B4862" s="286"/>
      <c r="C4862" s="287"/>
      <c r="D4862" s="286"/>
      <c r="E4862" s="286"/>
    </row>
    <row r="4863">
      <c r="A4863" s="286"/>
      <c r="B4863" s="286"/>
      <c r="C4863" s="287"/>
      <c r="D4863" s="286"/>
      <c r="E4863" s="286"/>
    </row>
    <row r="4864">
      <c r="A4864" s="286"/>
      <c r="B4864" s="286"/>
      <c r="C4864" s="287"/>
      <c r="D4864" s="286"/>
      <c r="E4864" s="286"/>
    </row>
    <row r="4865">
      <c r="A4865" s="286"/>
      <c r="B4865" s="286"/>
      <c r="C4865" s="287"/>
      <c r="D4865" s="286"/>
      <c r="E4865" s="286"/>
    </row>
    <row r="4866">
      <c r="A4866" s="286"/>
      <c r="B4866" s="286"/>
      <c r="C4866" s="287"/>
      <c r="D4866" s="286"/>
      <c r="E4866" s="286"/>
    </row>
    <row r="4867">
      <c r="A4867" s="286"/>
      <c r="B4867" s="286"/>
      <c r="C4867" s="287"/>
      <c r="D4867" s="286"/>
      <c r="E4867" s="286"/>
    </row>
    <row r="4868">
      <c r="A4868" s="286"/>
      <c r="B4868" s="286"/>
      <c r="C4868" s="287"/>
      <c r="D4868" s="286"/>
      <c r="E4868" s="286"/>
    </row>
    <row r="4869">
      <c r="A4869" s="286"/>
      <c r="B4869" s="286"/>
      <c r="C4869" s="287"/>
      <c r="D4869" s="286"/>
      <c r="E4869" s="286"/>
    </row>
    <row r="4870">
      <c r="A4870" s="286"/>
      <c r="B4870" s="286"/>
      <c r="C4870" s="287"/>
      <c r="D4870" s="286"/>
      <c r="E4870" s="286"/>
    </row>
    <row r="4871">
      <c r="A4871" s="286"/>
      <c r="B4871" s="286"/>
      <c r="C4871" s="287"/>
      <c r="D4871" s="286"/>
      <c r="E4871" s="286"/>
    </row>
    <row r="4872">
      <c r="A4872" s="286"/>
      <c r="B4872" s="286"/>
      <c r="C4872" s="287"/>
      <c r="D4872" s="286"/>
      <c r="E4872" s="286"/>
    </row>
    <row r="4873">
      <c r="A4873" s="286"/>
      <c r="B4873" s="286"/>
      <c r="C4873" s="287"/>
      <c r="D4873" s="286"/>
      <c r="E4873" s="286"/>
    </row>
    <row r="4874">
      <c r="A4874" s="286"/>
      <c r="B4874" s="286"/>
      <c r="C4874" s="287"/>
      <c r="D4874" s="286"/>
      <c r="E4874" s="286"/>
    </row>
    <row r="4875">
      <c r="A4875" s="286"/>
      <c r="B4875" s="286"/>
      <c r="C4875" s="287"/>
      <c r="D4875" s="286"/>
      <c r="E4875" s="286"/>
    </row>
    <row r="4876">
      <c r="A4876" s="286"/>
      <c r="B4876" s="286"/>
      <c r="C4876" s="287"/>
      <c r="D4876" s="286"/>
      <c r="E4876" s="286"/>
    </row>
    <row r="4877">
      <c r="A4877" s="286"/>
      <c r="B4877" s="286"/>
      <c r="C4877" s="287"/>
      <c r="D4877" s="286"/>
      <c r="E4877" s="286"/>
    </row>
    <row r="4878">
      <c r="A4878" s="286"/>
      <c r="B4878" s="286"/>
      <c r="C4878" s="287"/>
      <c r="D4878" s="286"/>
      <c r="E4878" s="286"/>
    </row>
    <row r="4879">
      <c r="A4879" s="286"/>
      <c r="B4879" s="286"/>
      <c r="C4879" s="287"/>
      <c r="D4879" s="286"/>
      <c r="E4879" s="286"/>
    </row>
    <row r="4880">
      <c r="A4880" s="286"/>
      <c r="B4880" s="286"/>
      <c r="C4880" s="287"/>
      <c r="D4880" s="286"/>
      <c r="E4880" s="286"/>
    </row>
    <row r="4881">
      <c r="A4881" s="286"/>
      <c r="B4881" s="286"/>
      <c r="C4881" s="287"/>
      <c r="D4881" s="286"/>
      <c r="E4881" s="286"/>
    </row>
    <row r="4882">
      <c r="A4882" s="286"/>
      <c r="B4882" s="286"/>
      <c r="C4882" s="287"/>
      <c r="D4882" s="286"/>
      <c r="E4882" s="286"/>
    </row>
    <row r="4883">
      <c r="A4883" s="286"/>
      <c r="B4883" s="286"/>
      <c r="C4883" s="287"/>
      <c r="D4883" s="286"/>
      <c r="E4883" s="286"/>
    </row>
    <row r="4884">
      <c r="A4884" s="286"/>
      <c r="B4884" s="286"/>
      <c r="C4884" s="287"/>
      <c r="D4884" s="286"/>
      <c r="E4884" s="286"/>
    </row>
    <row r="4885">
      <c r="A4885" s="286"/>
      <c r="B4885" s="286"/>
      <c r="C4885" s="287"/>
      <c r="D4885" s="286"/>
      <c r="E4885" s="286"/>
    </row>
    <row r="4886">
      <c r="A4886" s="286"/>
      <c r="B4886" s="286"/>
      <c r="C4886" s="287"/>
      <c r="D4886" s="286"/>
      <c r="E4886" s="286"/>
    </row>
    <row r="4887">
      <c r="A4887" s="286"/>
      <c r="B4887" s="286"/>
      <c r="C4887" s="287"/>
      <c r="D4887" s="286"/>
      <c r="E4887" s="286"/>
    </row>
    <row r="4888">
      <c r="A4888" s="286"/>
      <c r="B4888" s="286"/>
      <c r="C4888" s="287"/>
      <c r="D4888" s="286"/>
      <c r="E4888" s="286"/>
    </row>
    <row r="4889">
      <c r="A4889" s="286"/>
      <c r="B4889" s="286"/>
      <c r="C4889" s="287"/>
      <c r="D4889" s="286"/>
      <c r="E4889" s="286"/>
    </row>
    <row r="4890">
      <c r="A4890" s="286"/>
      <c r="B4890" s="286"/>
      <c r="C4890" s="287"/>
      <c r="D4890" s="286"/>
      <c r="E4890" s="286"/>
    </row>
    <row r="4891">
      <c r="A4891" s="286"/>
      <c r="B4891" s="286"/>
      <c r="C4891" s="287"/>
      <c r="D4891" s="286"/>
      <c r="E4891" s="286"/>
    </row>
    <row r="4892">
      <c r="A4892" s="286"/>
      <c r="B4892" s="286"/>
      <c r="C4892" s="287"/>
      <c r="D4892" s="286"/>
      <c r="E4892" s="286"/>
    </row>
    <row r="4893">
      <c r="A4893" s="286"/>
      <c r="B4893" s="286"/>
      <c r="C4893" s="287"/>
      <c r="D4893" s="286"/>
      <c r="E4893" s="286"/>
    </row>
    <row r="4894">
      <c r="A4894" s="286"/>
      <c r="B4894" s="286"/>
      <c r="C4894" s="287"/>
      <c r="D4894" s="286"/>
      <c r="E4894" s="286"/>
    </row>
    <row r="4895">
      <c r="A4895" s="286"/>
      <c r="B4895" s="286"/>
      <c r="C4895" s="287"/>
      <c r="D4895" s="286"/>
      <c r="E4895" s="286"/>
    </row>
    <row r="4896">
      <c r="A4896" s="286"/>
      <c r="B4896" s="286"/>
      <c r="C4896" s="287"/>
      <c r="D4896" s="286"/>
      <c r="E4896" s="286"/>
    </row>
    <row r="4897">
      <c r="A4897" s="286"/>
      <c r="B4897" s="286"/>
      <c r="C4897" s="287"/>
      <c r="D4897" s="286"/>
      <c r="E4897" s="286"/>
    </row>
    <row r="4898">
      <c r="A4898" s="286"/>
      <c r="B4898" s="286"/>
      <c r="C4898" s="287"/>
      <c r="D4898" s="286"/>
      <c r="E4898" s="286"/>
    </row>
    <row r="4899">
      <c r="A4899" s="286"/>
      <c r="B4899" s="286"/>
      <c r="C4899" s="287"/>
      <c r="D4899" s="286"/>
      <c r="E4899" s="286"/>
    </row>
    <row r="4900">
      <c r="A4900" s="286"/>
      <c r="B4900" s="286"/>
      <c r="C4900" s="287"/>
      <c r="D4900" s="286"/>
      <c r="E4900" s="286"/>
    </row>
    <row r="4901">
      <c r="A4901" s="286"/>
      <c r="B4901" s="286"/>
      <c r="C4901" s="287"/>
      <c r="D4901" s="286"/>
      <c r="E4901" s="286"/>
    </row>
    <row r="4902">
      <c r="A4902" s="286"/>
      <c r="B4902" s="286"/>
      <c r="C4902" s="287"/>
      <c r="D4902" s="286"/>
      <c r="E4902" s="286"/>
    </row>
    <row r="4903">
      <c r="A4903" s="286"/>
      <c r="B4903" s="286"/>
      <c r="C4903" s="287"/>
      <c r="D4903" s="286"/>
      <c r="E4903" s="286"/>
    </row>
    <row r="4904">
      <c r="A4904" s="286"/>
      <c r="B4904" s="286"/>
      <c r="C4904" s="287"/>
      <c r="D4904" s="286"/>
      <c r="E4904" s="286"/>
    </row>
    <row r="4905">
      <c r="A4905" s="286"/>
      <c r="B4905" s="286"/>
      <c r="C4905" s="287"/>
      <c r="D4905" s="286"/>
      <c r="E4905" s="286"/>
    </row>
    <row r="4906">
      <c r="A4906" s="286"/>
      <c r="B4906" s="286"/>
      <c r="C4906" s="287"/>
      <c r="D4906" s="286"/>
      <c r="E4906" s="286"/>
    </row>
    <row r="4907">
      <c r="A4907" s="286"/>
      <c r="B4907" s="286"/>
      <c r="C4907" s="287"/>
      <c r="D4907" s="286"/>
      <c r="E4907" s="286"/>
    </row>
    <row r="4908">
      <c r="A4908" s="286"/>
      <c r="B4908" s="286"/>
      <c r="C4908" s="287"/>
      <c r="D4908" s="286"/>
      <c r="E4908" s="286"/>
    </row>
    <row r="4909">
      <c r="A4909" s="286"/>
      <c r="B4909" s="286"/>
      <c r="C4909" s="287"/>
      <c r="D4909" s="286"/>
      <c r="E4909" s="286"/>
    </row>
    <row r="4910">
      <c r="A4910" s="286"/>
      <c r="B4910" s="286"/>
      <c r="C4910" s="287"/>
      <c r="D4910" s="286"/>
      <c r="E4910" s="286"/>
    </row>
    <row r="4911">
      <c r="A4911" s="286"/>
      <c r="B4911" s="286"/>
      <c r="C4911" s="287"/>
      <c r="D4911" s="286"/>
      <c r="E4911" s="286"/>
    </row>
    <row r="4912">
      <c r="A4912" s="286"/>
      <c r="B4912" s="286"/>
      <c r="C4912" s="287"/>
      <c r="D4912" s="286"/>
      <c r="E4912" s="286"/>
    </row>
    <row r="4913">
      <c r="A4913" s="286"/>
      <c r="B4913" s="286"/>
      <c r="C4913" s="287"/>
      <c r="D4913" s="286"/>
      <c r="E4913" s="286"/>
    </row>
    <row r="4914">
      <c r="A4914" s="286"/>
      <c r="B4914" s="286"/>
      <c r="C4914" s="287"/>
      <c r="D4914" s="286"/>
      <c r="E4914" s="286"/>
    </row>
    <row r="4915">
      <c r="A4915" s="286"/>
      <c r="B4915" s="286"/>
      <c r="C4915" s="287"/>
      <c r="D4915" s="286"/>
      <c r="E4915" s="286"/>
    </row>
    <row r="4916">
      <c r="A4916" s="286"/>
      <c r="B4916" s="286"/>
      <c r="C4916" s="287"/>
      <c r="D4916" s="286"/>
      <c r="E4916" s="286"/>
    </row>
    <row r="4917">
      <c r="A4917" s="286"/>
      <c r="B4917" s="286"/>
      <c r="C4917" s="287"/>
      <c r="D4917" s="286"/>
      <c r="E4917" s="286"/>
    </row>
    <row r="4918">
      <c r="A4918" s="286"/>
      <c r="B4918" s="286"/>
      <c r="C4918" s="287"/>
      <c r="D4918" s="286"/>
      <c r="E4918" s="286"/>
    </row>
    <row r="4919">
      <c r="A4919" s="286"/>
      <c r="B4919" s="286"/>
      <c r="C4919" s="287"/>
      <c r="D4919" s="286"/>
      <c r="E4919" s="286"/>
    </row>
    <row r="4920">
      <c r="A4920" s="286"/>
      <c r="B4920" s="286"/>
      <c r="C4920" s="287"/>
      <c r="D4920" s="286"/>
      <c r="E4920" s="286"/>
    </row>
    <row r="4921">
      <c r="A4921" s="286"/>
      <c r="B4921" s="286"/>
      <c r="C4921" s="287"/>
      <c r="D4921" s="286"/>
      <c r="E4921" s="286"/>
    </row>
    <row r="4922">
      <c r="A4922" s="286"/>
      <c r="B4922" s="286"/>
      <c r="C4922" s="287"/>
      <c r="D4922" s="286"/>
      <c r="E4922" s="286"/>
    </row>
    <row r="4923">
      <c r="A4923" s="286"/>
      <c r="B4923" s="286"/>
      <c r="C4923" s="287"/>
      <c r="D4923" s="286"/>
      <c r="E4923" s="286"/>
    </row>
    <row r="4924">
      <c r="A4924" s="286"/>
      <c r="B4924" s="286"/>
      <c r="C4924" s="287"/>
      <c r="D4924" s="286"/>
      <c r="E4924" s="286"/>
    </row>
    <row r="4925">
      <c r="A4925" s="286"/>
      <c r="B4925" s="286"/>
      <c r="C4925" s="287"/>
      <c r="D4925" s="286"/>
      <c r="E4925" s="286"/>
    </row>
    <row r="4926">
      <c r="A4926" s="286"/>
      <c r="B4926" s="286"/>
      <c r="C4926" s="287"/>
      <c r="D4926" s="286"/>
      <c r="E4926" s="286"/>
    </row>
    <row r="4927">
      <c r="A4927" s="286"/>
      <c r="B4927" s="286"/>
      <c r="C4927" s="287"/>
      <c r="D4927" s="286"/>
      <c r="E4927" s="286"/>
    </row>
    <row r="4928">
      <c r="A4928" s="286"/>
      <c r="B4928" s="286"/>
      <c r="C4928" s="287"/>
      <c r="D4928" s="286"/>
      <c r="E4928" s="286"/>
    </row>
    <row r="4929">
      <c r="A4929" s="286"/>
      <c r="B4929" s="286"/>
      <c r="C4929" s="287"/>
      <c r="D4929" s="286"/>
      <c r="E4929" s="286"/>
    </row>
    <row r="4930">
      <c r="A4930" s="286"/>
      <c r="B4930" s="286"/>
      <c r="C4930" s="287"/>
      <c r="D4930" s="286"/>
      <c r="E4930" s="286"/>
    </row>
    <row r="4931">
      <c r="A4931" s="286"/>
      <c r="B4931" s="286"/>
      <c r="C4931" s="287"/>
      <c r="D4931" s="286"/>
      <c r="E4931" s="286"/>
    </row>
    <row r="4932">
      <c r="A4932" s="286"/>
      <c r="B4932" s="286"/>
      <c r="C4932" s="287"/>
      <c r="D4932" s="286"/>
      <c r="E4932" s="286"/>
    </row>
    <row r="4933">
      <c r="A4933" s="286"/>
      <c r="B4933" s="286"/>
      <c r="C4933" s="287"/>
      <c r="D4933" s="286"/>
      <c r="E4933" s="286"/>
    </row>
    <row r="4934">
      <c r="A4934" s="286"/>
      <c r="B4934" s="286"/>
      <c r="C4934" s="287"/>
      <c r="D4934" s="286"/>
      <c r="E4934" s="286"/>
    </row>
    <row r="4935">
      <c r="A4935" s="286"/>
      <c r="B4935" s="286"/>
      <c r="C4935" s="287"/>
      <c r="D4935" s="286"/>
      <c r="E4935" s="286"/>
    </row>
    <row r="4936">
      <c r="A4936" s="286"/>
      <c r="B4936" s="286"/>
      <c r="C4936" s="287"/>
      <c r="D4936" s="286"/>
      <c r="E4936" s="286"/>
    </row>
    <row r="4937">
      <c r="A4937" s="286"/>
      <c r="B4937" s="286"/>
      <c r="C4937" s="287"/>
      <c r="D4937" s="286"/>
      <c r="E4937" s="286"/>
    </row>
    <row r="4938">
      <c r="A4938" s="286"/>
      <c r="B4938" s="286"/>
      <c r="C4938" s="287"/>
      <c r="D4938" s="286"/>
      <c r="E4938" s="286"/>
    </row>
    <row r="4939">
      <c r="A4939" s="286"/>
      <c r="B4939" s="286"/>
      <c r="C4939" s="287"/>
      <c r="D4939" s="286"/>
      <c r="E4939" s="286"/>
    </row>
    <row r="4940">
      <c r="A4940" s="286"/>
      <c r="B4940" s="286"/>
      <c r="C4940" s="287"/>
      <c r="D4940" s="286"/>
      <c r="E4940" s="286"/>
    </row>
    <row r="4941">
      <c r="A4941" s="286"/>
      <c r="B4941" s="286"/>
      <c r="C4941" s="287"/>
      <c r="D4941" s="286"/>
      <c r="E4941" s="286"/>
    </row>
    <row r="4942">
      <c r="A4942" s="286"/>
      <c r="B4942" s="286"/>
      <c r="C4942" s="287"/>
      <c r="D4942" s="286"/>
      <c r="E4942" s="286"/>
    </row>
    <row r="4943">
      <c r="A4943" s="286"/>
      <c r="B4943" s="286"/>
      <c r="C4943" s="287"/>
      <c r="D4943" s="286"/>
      <c r="E4943" s="286"/>
    </row>
    <row r="4944">
      <c r="A4944" s="286"/>
      <c r="B4944" s="286"/>
      <c r="C4944" s="287"/>
      <c r="D4944" s="286"/>
      <c r="E4944" s="286"/>
    </row>
    <row r="4945">
      <c r="A4945" s="286"/>
      <c r="B4945" s="286"/>
      <c r="C4945" s="287"/>
      <c r="D4945" s="286"/>
      <c r="E4945" s="286"/>
    </row>
    <row r="4946">
      <c r="A4946" s="286"/>
      <c r="B4946" s="286"/>
      <c r="C4946" s="287"/>
      <c r="D4946" s="286"/>
      <c r="E4946" s="286"/>
    </row>
    <row r="4947">
      <c r="A4947" s="286"/>
      <c r="B4947" s="286"/>
      <c r="C4947" s="287"/>
      <c r="D4947" s="286"/>
      <c r="E4947" s="286"/>
    </row>
    <row r="4948">
      <c r="A4948" s="286"/>
      <c r="B4948" s="286"/>
      <c r="C4948" s="287"/>
      <c r="D4948" s="286"/>
      <c r="E4948" s="286"/>
    </row>
    <row r="4949">
      <c r="A4949" s="286"/>
      <c r="B4949" s="286"/>
      <c r="C4949" s="287"/>
      <c r="D4949" s="286"/>
      <c r="E4949" s="286"/>
    </row>
    <row r="4950">
      <c r="A4950" s="286"/>
      <c r="B4950" s="286"/>
      <c r="C4950" s="287"/>
      <c r="D4950" s="286"/>
      <c r="E4950" s="286"/>
    </row>
    <row r="4951">
      <c r="A4951" s="286"/>
      <c r="B4951" s="286"/>
      <c r="C4951" s="287"/>
      <c r="D4951" s="286"/>
      <c r="E4951" s="286"/>
    </row>
    <row r="4952">
      <c r="A4952" s="286"/>
      <c r="B4952" s="286"/>
      <c r="C4952" s="287"/>
      <c r="D4952" s="286"/>
      <c r="E4952" s="286"/>
    </row>
    <row r="4953">
      <c r="A4953" s="286"/>
      <c r="B4953" s="286"/>
      <c r="C4953" s="287"/>
      <c r="D4953" s="286"/>
      <c r="E4953" s="286"/>
    </row>
    <row r="4954">
      <c r="A4954" s="286"/>
      <c r="B4954" s="286"/>
      <c r="C4954" s="287"/>
      <c r="D4954" s="286"/>
      <c r="E4954" s="286"/>
    </row>
    <row r="4955">
      <c r="A4955" s="286"/>
      <c r="B4955" s="286"/>
      <c r="C4955" s="287"/>
      <c r="D4955" s="286"/>
      <c r="E4955" s="286"/>
    </row>
    <row r="4956">
      <c r="A4956" s="286"/>
      <c r="B4956" s="286"/>
      <c r="C4956" s="287"/>
      <c r="D4956" s="286"/>
      <c r="E4956" s="286"/>
    </row>
    <row r="4957">
      <c r="A4957" s="286"/>
      <c r="B4957" s="286"/>
      <c r="C4957" s="287"/>
      <c r="D4957" s="286"/>
      <c r="E4957" s="286"/>
    </row>
    <row r="4958">
      <c r="A4958" s="286"/>
      <c r="B4958" s="286"/>
      <c r="C4958" s="287"/>
      <c r="D4958" s="286"/>
      <c r="E4958" s="286"/>
    </row>
    <row r="4959">
      <c r="A4959" s="286"/>
      <c r="B4959" s="286"/>
      <c r="C4959" s="287"/>
      <c r="D4959" s="286"/>
      <c r="E4959" s="286"/>
    </row>
    <row r="4960">
      <c r="A4960" s="286"/>
      <c r="B4960" s="286"/>
      <c r="C4960" s="287"/>
      <c r="D4960" s="286"/>
      <c r="E4960" s="286"/>
    </row>
    <row r="4961">
      <c r="A4961" s="286"/>
      <c r="B4961" s="286"/>
      <c r="C4961" s="287"/>
      <c r="D4961" s="286"/>
      <c r="E4961" s="286"/>
    </row>
    <row r="4962">
      <c r="A4962" s="286"/>
      <c r="B4962" s="286"/>
      <c r="C4962" s="287"/>
      <c r="D4962" s="286"/>
      <c r="E4962" s="286"/>
    </row>
    <row r="4963">
      <c r="A4963" s="286"/>
      <c r="B4963" s="286"/>
      <c r="C4963" s="287"/>
      <c r="D4963" s="286"/>
      <c r="E4963" s="286"/>
    </row>
    <row r="4964">
      <c r="A4964" s="286"/>
      <c r="B4964" s="286"/>
      <c r="C4964" s="287"/>
      <c r="D4964" s="286"/>
      <c r="E4964" s="286"/>
    </row>
    <row r="4965">
      <c r="A4965" s="286"/>
      <c r="B4965" s="286"/>
      <c r="C4965" s="287"/>
      <c r="D4965" s="286"/>
      <c r="E4965" s="286"/>
    </row>
    <row r="4966">
      <c r="A4966" s="286"/>
      <c r="B4966" s="286"/>
      <c r="C4966" s="287"/>
      <c r="D4966" s="286"/>
      <c r="E4966" s="286"/>
    </row>
    <row r="4967">
      <c r="A4967" s="286"/>
      <c r="B4967" s="286"/>
      <c r="C4967" s="287"/>
      <c r="D4967" s="286"/>
      <c r="E4967" s="286"/>
    </row>
    <row r="4968">
      <c r="A4968" s="286"/>
      <c r="B4968" s="286"/>
      <c r="C4968" s="287"/>
      <c r="D4968" s="286"/>
      <c r="E4968" s="286"/>
    </row>
    <row r="4969">
      <c r="A4969" s="286"/>
      <c r="B4969" s="286"/>
      <c r="C4969" s="287"/>
      <c r="D4969" s="286"/>
      <c r="E4969" s="286"/>
    </row>
    <row r="4970">
      <c r="A4970" s="286"/>
      <c r="B4970" s="286"/>
      <c r="C4970" s="287"/>
      <c r="D4970" s="286"/>
      <c r="E4970" s="286"/>
    </row>
    <row r="4971">
      <c r="A4971" s="286"/>
      <c r="B4971" s="286"/>
      <c r="C4971" s="287"/>
      <c r="D4971" s="286"/>
      <c r="E4971" s="286"/>
    </row>
    <row r="4972">
      <c r="A4972" s="286"/>
      <c r="B4972" s="286"/>
      <c r="C4972" s="287"/>
      <c r="D4972" s="286"/>
      <c r="E4972" s="286"/>
    </row>
    <row r="4973">
      <c r="A4973" s="286"/>
      <c r="B4973" s="286"/>
      <c r="C4973" s="287"/>
      <c r="D4973" s="286"/>
      <c r="E4973" s="286"/>
    </row>
    <row r="4974">
      <c r="A4974" s="286"/>
      <c r="B4974" s="286"/>
      <c r="C4974" s="287"/>
      <c r="D4974" s="286"/>
      <c r="E4974" s="286"/>
    </row>
    <row r="4975">
      <c r="A4975" s="286"/>
      <c r="B4975" s="286"/>
      <c r="C4975" s="287"/>
      <c r="D4975" s="286"/>
      <c r="E4975" s="286"/>
    </row>
    <row r="4976">
      <c r="A4976" s="286"/>
      <c r="B4976" s="286"/>
      <c r="C4976" s="287"/>
      <c r="D4976" s="286"/>
      <c r="E4976" s="286"/>
    </row>
    <row r="4977">
      <c r="A4977" s="286"/>
      <c r="B4977" s="286"/>
      <c r="C4977" s="287"/>
      <c r="D4977" s="286"/>
      <c r="E4977" s="286"/>
    </row>
    <row r="4978">
      <c r="A4978" s="286"/>
      <c r="B4978" s="286"/>
      <c r="C4978" s="287"/>
      <c r="D4978" s="286"/>
      <c r="E4978" s="286"/>
    </row>
    <row r="4979">
      <c r="A4979" s="286"/>
      <c r="B4979" s="286"/>
      <c r="C4979" s="287"/>
      <c r="D4979" s="286"/>
      <c r="E4979" s="286"/>
    </row>
    <row r="4980">
      <c r="A4980" s="286"/>
      <c r="B4980" s="286"/>
      <c r="C4980" s="287"/>
      <c r="D4980" s="286"/>
      <c r="E4980" s="286"/>
    </row>
    <row r="4981">
      <c r="A4981" s="286"/>
      <c r="B4981" s="286"/>
      <c r="C4981" s="287"/>
      <c r="D4981" s="286"/>
      <c r="E4981" s="286"/>
    </row>
    <row r="4982">
      <c r="A4982" s="286"/>
      <c r="B4982" s="286"/>
      <c r="C4982" s="287"/>
      <c r="D4982" s="286"/>
      <c r="E4982" s="286"/>
    </row>
    <row r="4983">
      <c r="A4983" s="286"/>
      <c r="B4983" s="286"/>
      <c r="C4983" s="287"/>
      <c r="D4983" s="286"/>
      <c r="E4983" s="286"/>
    </row>
    <row r="4984">
      <c r="A4984" s="286"/>
      <c r="B4984" s="286"/>
      <c r="C4984" s="287"/>
      <c r="D4984" s="286"/>
      <c r="E4984" s="286"/>
    </row>
    <row r="4985">
      <c r="A4985" s="286"/>
      <c r="B4985" s="286"/>
      <c r="C4985" s="287"/>
      <c r="D4985" s="286"/>
      <c r="E4985" s="286"/>
    </row>
    <row r="4986">
      <c r="A4986" s="286"/>
      <c r="B4986" s="286"/>
      <c r="C4986" s="287"/>
      <c r="D4986" s="286"/>
      <c r="E4986" s="286"/>
    </row>
    <row r="4987">
      <c r="A4987" s="286"/>
      <c r="B4987" s="286"/>
      <c r="C4987" s="287"/>
      <c r="D4987" s="286"/>
      <c r="E4987" s="286"/>
    </row>
    <row r="4988">
      <c r="A4988" s="286"/>
      <c r="B4988" s="286"/>
      <c r="C4988" s="287"/>
      <c r="D4988" s="286"/>
      <c r="E4988" s="286"/>
    </row>
    <row r="4989">
      <c r="A4989" s="286"/>
      <c r="B4989" s="286"/>
      <c r="C4989" s="287"/>
      <c r="D4989" s="286"/>
      <c r="E4989" s="286"/>
    </row>
    <row r="4990">
      <c r="A4990" s="286"/>
      <c r="B4990" s="286"/>
      <c r="C4990" s="287"/>
      <c r="D4990" s="286"/>
      <c r="E4990" s="286"/>
    </row>
    <row r="4991">
      <c r="A4991" s="286"/>
      <c r="B4991" s="286"/>
      <c r="C4991" s="287"/>
      <c r="D4991" s="286"/>
      <c r="E4991" s="286"/>
    </row>
    <row r="4992">
      <c r="A4992" s="286"/>
      <c r="B4992" s="286"/>
      <c r="C4992" s="287"/>
      <c r="D4992" s="286"/>
      <c r="E4992" s="286"/>
    </row>
    <row r="4993">
      <c r="A4993" s="286"/>
      <c r="B4993" s="286"/>
      <c r="C4993" s="287"/>
      <c r="D4993" s="286"/>
      <c r="E4993" s="286"/>
    </row>
    <row r="4994">
      <c r="A4994" s="286"/>
      <c r="B4994" s="286"/>
      <c r="C4994" s="287"/>
      <c r="D4994" s="286"/>
      <c r="E4994" s="286"/>
    </row>
    <row r="4995">
      <c r="A4995" s="286"/>
      <c r="B4995" s="286"/>
      <c r="C4995" s="287"/>
      <c r="D4995" s="286"/>
      <c r="E4995" s="286"/>
    </row>
    <row r="4996">
      <c r="A4996" s="286"/>
      <c r="B4996" s="286"/>
      <c r="C4996" s="287"/>
      <c r="D4996" s="286"/>
      <c r="E4996" s="286"/>
    </row>
    <row r="4997">
      <c r="A4997" s="286"/>
      <c r="B4997" s="286"/>
      <c r="C4997" s="287"/>
      <c r="D4997" s="286"/>
      <c r="E4997" s="286"/>
    </row>
    <row r="4998">
      <c r="A4998" s="286"/>
      <c r="B4998" s="286"/>
      <c r="C4998" s="287"/>
      <c r="D4998" s="286"/>
      <c r="E4998" s="286"/>
    </row>
    <row r="4999">
      <c r="A4999" s="286"/>
      <c r="B4999" s="286"/>
      <c r="C4999" s="287"/>
      <c r="D4999" s="286"/>
      <c r="E4999" s="286"/>
    </row>
    <row r="5000">
      <c r="A5000" s="286"/>
      <c r="B5000" s="286"/>
      <c r="C5000" s="287"/>
      <c r="D5000" s="286"/>
      <c r="E5000" s="286"/>
    </row>
    <row r="5001">
      <c r="A5001" s="286"/>
      <c r="B5001" s="286"/>
      <c r="C5001" s="287"/>
      <c r="D5001" s="286"/>
      <c r="E5001" s="286"/>
    </row>
    <row r="5002">
      <c r="A5002" s="286"/>
      <c r="B5002" s="286"/>
      <c r="C5002" s="287"/>
      <c r="D5002" s="286"/>
      <c r="E5002" s="286"/>
    </row>
    <row r="5003">
      <c r="A5003" s="286"/>
      <c r="B5003" s="286"/>
      <c r="C5003" s="287"/>
      <c r="D5003" s="286"/>
      <c r="E5003" s="286"/>
    </row>
    <row r="5004">
      <c r="A5004" s="286"/>
      <c r="B5004" s="286"/>
      <c r="C5004" s="287"/>
      <c r="D5004" s="286"/>
      <c r="E5004" s="286"/>
    </row>
    <row r="5005">
      <c r="A5005" s="286"/>
      <c r="B5005" s="286"/>
      <c r="C5005" s="287"/>
      <c r="D5005" s="286"/>
      <c r="E5005" s="286"/>
    </row>
    <row r="5006">
      <c r="A5006" s="286"/>
      <c r="B5006" s="286"/>
      <c r="C5006" s="287"/>
      <c r="D5006" s="286"/>
      <c r="E5006" s="286"/>
    </row>
    <row r="5007">
      <c r="A5007" s="286"/>
      <c r="B5007" s="286"/>
      <c r="C5007" s="287"/>
      <c r="D5007" s="286"/>
      <c r="E5007" s="286"/>
    </row>
    <row r="5008">
      <c r="A5008" s="286"/>
      <c r="B5008" s="286"/>
      <c r="C5008" s="287"/>
      <c r="D5008" s="286"/>
      <c r="E5008" s="286"/>
    </row>
    <row r="5009">
      <c r="A5009" s="286"/>
      <c r="B5009" s="286"/>
      <c r="C5009" s="287"/>
      <c r="D5009" s="286"/>
      <c r="E5009" s="286"/>
    </row>
    <row r="5010">
      <c r="A5010" s="286"/>
      <c r="B5010" s="286"/>
      <c r="C5010" s="287"/>
      <c r="D5010" s="286"/>
      <c r="E5010" s="286"/>
    </row>
    <row r="5011">
      <c r="A5011" s="286"/>
      <c r="B5011" s="286"/>
      <c r="C5011" s="287"/>
      <c r="D5011" s="286"/>
      <c r="E5011" s="286"/>
    </row>
    <row r="5012">
      <c r="A5012" s="286"/>
      <c r="B5012" s="286"/>
      <c r="C5012" s="287"/>
      <c r="D5012" s="286"/>
      <c r="E5012" s="286"/>
    </row>
    <row r="5013">
      <c r="A5013" s="286"/>
      <c r="B5013" s="286"/>
      <c r="C5013" s="287"/>
      <c r="D5013" s="286"/>
      <c r="E5013" s="286"/>
    </row>
    <row r="5014">
      <c r="A5014" s="286"/>
      <c r="B5014" s="286"/>
      <c r="C5014" s="287"/>
      <c r="D5014" s="286"/>
      <c r="E5014" s="286"/>
    </row>
    <row r="5015">
      <c r="A5015" s="286"/>
      <c r="B5015" s="286"/>
      <c r="C5015" s="287"/>
      <c r="D5015" s="286"/>
      <c r="E5015" s="286"/>
    </row>
    <row r="5016">
      <c r="A5016" s="286"/>
      <c r="B5016" s="286"/>
      <c r="C5016" s="287"/>
      <c r="D5016" s="286"/>
      <c r="E5016" s="286"/>
    </row>
    <row r="5017">
      <c r="A5017" s="286"/>
      <c r="B5017" s="286"/>
      <c r="C5017" s="287"/>
      <c r="D5017" s="286"/>
      <c r="E5017" s="286"/>
    </row>
    <row r="5018">
      <c r="A5018" s="286"/>
      <c r="B5018" s="286"/>
      <c r="C5018" s="287"/>
      <c r="D5018" s="286"/>
      <c r="E5018" s="286"/>
    </row>
    <row r="5019">
      <c r="A5019" s="286"/>
      <c r="B5019" s="286"/>
      <c r="C5019" s="287"/>
      <c r="D5019" s="286"/>
      <c r="E5019" s="286"/>
    </row>
    <row r="5020">
      <c r="A5020" s="286"/>
      <c r="B5020" s="286"/>
      <c r="C5020" s="287"/>
      <c r="D5020" s="286"/>
      <c r="E5020" s="286"/>
    </row>
    <row r="5021">
      <c r="A5021" s="286"/>
      <c r="B5021" s="286"/>
      <c r="C5021" s="287"/>
      <c r="D5021" s="286"/>
      <c r="E5021" s="286"/>
    </row>
    <row r="5022">
      <c r="A5022" s="286"/>
      <c r="B5022" s="286"/>
      <c r="C5022" s="287"/>
      <c r="D5022" s="286"/>
      <c r="E5022" s="286"/>
    </row>
    <row r="5023">
      <c r="A5023" s="286"/>
      <c r="B5023" s="286"/>
      <c r="C5023" s="287"/>
      <c r="D5023" s="286"/>
      <c r="E5023" s="286"/>
    </row>
    <row r="5024">
      <c r="A5024" s="286"/>
      <c r="B5024" s="286"/>
      <c r="C5024" s="287"/>
      <c r="D5024" s="286"/>
      <c r="E5024" s="286"/>
    </row>
    <row r="5025">
      <c r="A5025" s="286"/>
      <c r="B5025" s="286"/>
      <c r="C5025" s="287"/>
      <c r="D5025" s="286"/>
      <c r="E5025" s="286"/>
    </row>
    <row r="5026">
      <c r="A5026" s="286"/>
      <c r="B5026" s="286"/>
      <c r="C5026" s="287"/>
      <c r="D5026" s="286"/>
      <c r="E5026" s="286"/>
    </row>
    <row r="5027">
      <c r="A5027" s="286"/>
      <c r="B5027" s="286"/>
      <c r="C5027" s="287"/>
      <c r="D5027" s="286"/>
      <c r="E5027" s="286"/>
    </row>
    <row r="5028">
      <c r="A5028" s="286"/>
      <c r="B5028" s="286"/>
      <c r="C5028" s="287"/>
      <c r="D5028" s="286"/>
      <c r="E5028" s="286"/>
    </row>
    <row r="5029">
      <c r="A5029" s="286"/>
      <c r="B5029" s="286"/>
      <c r="C5029" s="287"/>
      <c r="D5029" s="286"/>
      <c r="E5029" s="286"/>
    </row>
    <row r="5030">
      <c r="A5030" s="286"/>
      <c r="B5030" s="286"/>
      <c r="C5030" s="287"/>
      <c r="D5030" s="286"/>
      <c r="E5030" s="286"/>
    </row>
    <row r="5031">
      <c r="A5031" s="286"/>
      <c r="B5031" s="286"/>
      <c r="C5031" s="287"/>
      <c r="D5031" s="286"/>
      <c r="E5031" s="286"/>
    </row>
    <row r="5032">
      <c r="A5032" s="286"/>
      <c r="B5032" s="286"/>
      <c r="C5032" s="287"/>
      <c r="D5032" s="286"/>
      <c r="E5032" s="286"/>
    </row>
    <row r="5033">
      <c r="A5033" s="286"/>
      <c r="B5033" s="286"/>
      <c r="C5033" s="287"/>
      <c r="D5033" s="286"/>
      <c r="E5033" s="286"/>
    </row>
    <row r="5034">
      <c r="A5034" s="286"/>
      <c r="B5034" s="286"/>
      <c r="C5034" s="287"/>
      <c r="D5034" s="286"/>
      <c r="E5034" s="286"/>
    </row>
    <row r="5035">
      <c r="A5035" s="286"/>
      <c r="B5035" s="286"/>
      <c r="C5035" s="287"/>
      <c r="D5035" s="286"/>
      <c r="E5035" s="286"/>
    </row>
    <row r="5036">
      <c r="A5036" s="286"/>
      <c r="B5036" s="286"/>
      <c r="C5036" s="287"/>
      <c r="D5036" s="286"/>
      <c r="E5036" s="286"/>
    </row>
    <row r="5037">
      <c r="A5037" s="286"/>
      <c r="B5037" s="286"/>
      <c r="C5037" s="287"/>
      <c r="D5037" s="286"/>
      <c r="E5037" s="286"/>
    </row>
    <row r="5038">
      <c r="A5038" s="286"/>
      <c r="B5038" s="286"/>
      <c r="C5038" s="287"/>
      <c r="D5038" s="286"/>
      <c r="E5038" s="286"/>
    </row>
    <row r="5039">
      <c r="A5039" s="286"/>
      <c r="B5039" s="286"/>
      <c r="C5039" s="287"/>
      <c r="D5039" s="286"/>
      <c r="E5039" s="286"/>
    </row>
    <row r="5040">
      <c r="A5040" s="286"/>
      <c r="B5040" s="286"/>
      <c r="C5040" s="287"/>
      <c r="D5040" s="286"/>
      <c r="E5040" s="286"/>
    </row>
    <row r="5041">
      <c r="A5041" s="286"/>
      <c r="B5041" s="286"/>
      <c r="C5041" s="287"/>
      <c r="D5041" s="286"/>
      <c r="E5041" s="286"/>
    </row>
    <row r="5042">
      <c r="A5042" s="286"/>
      <c r="B5042" s="286"/>
      <c r="C5042" s="287"/>
      <c r="D5042" s="286"/>
      <c r="E5042" s="286"/>
    </row>
    <row r="5043">
      <c r="A5043" s="286"/>
      <c r="B5043" s="286"/>
      <c r="C5043" s="287"/>
      <c r="D5043" s="286"/>
      <c r="E5043" s="286"/>
    </row>
    <row r="5044">
      <c r="A5044" s="286"/>
      <c r="B5044" s="286"/>
      <c r="C5044" s="287"/>
      <c r="D5044" s="286"/>
      <c r="E5044" s="286"/>
    </row>
    <row r="5045">
      <c r="A5045" s="286"/>
      <c r="B5045" s="286"/>
      <c r="C5045" s="287"/>
      <c r="D5045" s="286"/>
      <c r="E5045" s="286"/>
    </row>
    <row r="5046">
      <c r="A5046" s="286"/>
      <c r="B5046" s="286"/>
      <c r="C5046" s="287"/>
      <c r="D5046" s="286"/>
      <c r="E5046" s="286"/>
    </row>
    <row r="5047">
      <c r="A5047" s="286"/>
      <c r="B5047" s="286"/>
      <c r="C5047" s="287"/>
      <c r="D5047" s="286"/>
      <c r="E5047" s="286"/>
    </row>
    <row r="5048">
      <c r="A5048" s="286"/>
      <c r="B5048" s="286"/>
      <c r="C5048" s="287"/>
      <c r="D5048" s="286"/>
      <c r="E5048" s="286"/>
    </row>
    <row r="5049">
      <c r="A5049" s="286"/>
      <c r="B5049" s="286"/>
      <c r="C5049" s="287"/>
      <c r="D5049" s="286"/>
      <c r="E5049" s="286"/>
    </row>
    <row r="5050">
      <c r="A5050" s="286"/>
      <c r="B5050" s="286"/>
      <c r="C5050" s="287"/>
      <c r="D5050" s="286"/>
      <c r="E5050" s="286"/>
    </row>
    <row r="5051">
      <c r="A5051" s="286"/>
      <c r="B5051" s="286"/>
      <c r="C5051" s="287"/>
      <c r="D5051" s="286"/>
      <c r="E5051" s="286"/>
    </row>
    <row r="5052">
      <c r="A5052" s="286"/>
      <c r="B5052" s="286"/>
      <c r="C5052" s="287"/>
      <c r="D5052" s="286"/>
      <c r="E5052" s="286"/>
    </row>
    <row r="5053">
      <c r="A5053" s="286"/>
      <c r="B5053" s="286"/>
      <c r="C5053" s="287"/>
      <c r="D5053" s="286"/>
      <c r="E5053" s="286"/>
    </row>
    <row r="5054">
      <c r="A5054" s="286"/>
      <c r="B5054" s="286"/>
      <c r="C5054" s="287"/>
      <c r="D5054" s="286"/>
      <c r="E5054" s="286"/>
    </row>
    <row r="5055">
      <c r="A5055" s="286"/>
      <c r="B5055" s="286"/>
      <c r="C5055" s="287"/>
      <c r="D5055" s="286"/>
      <c r="E5055" s="286"/>
    </row>
    <row r="5056">
      <c r="A5056" s="286"/>
      <c r="B5056" s="286"/>
      <c r="C5056" s="287"/>
      <c r="D5056" s="286"/>
      <c r="E5056" s="286"/>
    </row>
    <row r="5057">
      <c r="A5057" s="286"/>
      <c r="B5057" s="286"/>
      <c r="C5057" s="287"/>
      <c r="D5057" s="286"/>
      <c r="E5057" s="286"/>
    </row>
    <row r="5058">
      <c r="A5058" s="286"/>
      <c r="B5058" s="286"/>
      <c r="C5058" s="287"/>
      <c r="D5058" s="286"/>
      <c r="E5058" s="286"/>
    </row>
    <row r="5059">
      <c r="A5059" s="286"/>
      <c r="B5059" s="286"/>
      <c r="C5059" s="287"/>
      <c r="D5059" s="286"/>
      <c r="E5059" s="286"/>
    </row>
    <row r="5060">
      <c r="A5060" s="286"/>
      <c r="B5060" s="286"/>
      <c r="C5060" s="287"/>
      <c r="D5060" s="286"/>
      <c r="E5060" s="286"/>
    </row>
    <row r="5061">
      <c r="A5061" s="286"/>
      <c r="B5061" s="286"/>
      <c r="C5061" s="287"/>
      <c r="D5061" s="286"/>
      <c r="E5061" s="286"/>
    </row>
    <row r="5062">
      <c r="A5062" s="286"/>
      <c r="B5062" s="286"/>
      <c r="C5062" s="287"/>
      <c r="D5062" s="286"/>
      <c r="E5062" s="286"/>
    </row>
    <row r="5063">
      <c r="A5063" s="286"/>
      <c r="B5063" s="286"/>
      <c r="C5063" s="287"/>
      <c r="D5063" s="286"/>
      <c r="E5063" s="286"/>
    </row>
    <row r="5064">
      <c r="A5064" s="286"/>
      <c r="B5064" s="286"/>
      <c r="C5064" s="287"/>
      <c r="D5064" s="286"/>
      <c r="E5064" s="286"/>
    </row>
    <row r="5065">
      <c r="A5065" s="286"/>
      <c r="B5065" s="286"/>
      <c r="C5065" s="287"/>
      <c r="D5065" s="286"/>
      <c r="E5065" s="286"/>
    </row>
    <row r="5066">
      <c r="A5066" s="286"/>
      <c r="B5066" s="286"/>
      <c r="C5066" s="287"/>
      <c r="D5066" s="286"/>
      <c r="E5066" s="286"/>
    </row>
    <row r="5067">
      <c r="A5067" s="286"/>
      <c r="B5067" s="286"/>
      <c r="C5067" s="287"/>
      <c r="D5067" s="286"/>
      <c r="E5067" s="286"/>
    </row>
    <row r="5068">
      <c r="A5068" s="286"/>
      <c r="B5068" s="286"/>
      <c r="C5068" s="287"/>
      <c r="D5068" s="286"/>
      <c r="E5068" s="286"/>
    </row>
    <row r="5069">
      <c r="A5069" s="286"/>
      <c r="B5069" s="286"/>
      <c r="C5069" s="287"/>
      <c r="D5069" s="286"/>
      <c r="E5069" s="286"/>
    </row>
    <row r="5070">
      <c r="A5070" s="286"/>
      <c r="B5070" s="286"/>
      <c r="C5070" s="287"/>
      <c r="D5070" s="286"/>
      <c r="E5070" s="286"/>
    </row>
    <row r="5071">
      <c r="A5071" s="286"/>
      <c r="B5071" s="286"/>
      <c r="C5071" s="287"/>
      <c r="D5071" s="286"/>
      <c r="E5071" s="286"/>
    </row>
    <row r="5072">
      <c r="A5072" s="286"/>
      <c r="B5072" s="286"/>
      <c r="C5072" s="287"/>
      <c r="D5072" s="286"/>
      <c r="E5072" s="286"/>
    </row>
    <row r="5073">
      <c r="A5073" s="286"/>
      <c r="B5073" s="286"/>
      <c r="C5073" s="287"/>
      <c r="D5073" s="286"/>
      <c r="E5073" s="286"/>
    </row>
    <row r="5074">
      <c r="A5074" s="286"/>
      <c r="B5074" s="286"/>
      <c r="C5074" s="287"/>
      <c r="D5074" s="286"/>
      <c r="E5074" s="286"/>
    </row>
    <row r="5075">
      <c r="A5075" s="286"/>
      <c r="B5075" s="286"/>
      <c r="C5075" s="287"/>
      <c r="D5075" s="286"/>
      <c r="E5075" s="286"/>
    </row>
    <row r="5076">
      <c r="A5076" s="286"/>
      <c r="B5076" s="286"/>
      <c r="C5076" s="287"/>
      <c r="D5076" s="286"/>
      <c r="E5076" s="286"/>
    </row>
    <row r="5077">
      <c r="A5077" s="286"/>
      <c r="B5077" s="286"/>
      <c r="C5077" s="287"/>
      <c r="D5077" s="286"/>
      <c r="E5077" s="286"/>
    </row>
    <row r="5078">
      <c r="A5078" s="286"/>
      <c r="B5078" s="286"/>
      <c r="C5078" s="287"/>
      <c r="D5078" s="286"/>
      <c r="E5078" s="286"/>
    </row>
    <row r="5079">
      <c r="A5079" s="286"/>
      <c r="B5079" s="286"/>
      <c r="C5079" s="287"/>
      <c r="D5079" s="286"/>
      <c r="E5079" s="286"/>
    </row>
    <row r="5080">
      <c r="A5080" s="286"/>
      <c r="B5080" s="286"/>
      <c r="C5080" s="287"/>
      <c r="D5080" s="286"/>
      <c r="E5080" s="286"/>
    </row>
    <row r="5081">
      <c r="A5081" s="286"/>
      <c r="B5081" s="286"/>
      <c r="C5081" s="287"/>
      <c r="D5081" s="286"/>
      <c r="E5081" s="286"/>
    </row>
    <row r="5082">
      <c r="A5082" s="286"/>
      <c r="B5082" s="286"/>
      <c r="C5082" s="287"/>
      <c r="D5082" s="286"/>
      <c r="E5082" s="286"/>
    </row>
    <row r="5083">
      <c r="A5083" s="286"/>
      <c r="B5083" s="286"/>
      <c r="C5083" s="287"/>
      <c r="D5083" s="286"/>
      <c r="E5083" s="286"/>
    </row>
    <row r="5084">
      <c r="A5084" s="286"/>
      <c r="B5084" s="286"/>
      <c r="C5084" s="287"/>
      <c r="D5084" s="286"/>
      <c r="E5084" s="286"/>
    </row>
    <row r="5085">
      <c r="A5085" s="286"/>
      <c r="B5085" s="286"/>
      <c r="C5085" s="287"/>
      <c r="D5085" s="286"/>
      <c r="E5085" s="286"/>
    </row>
    <row r="5086">
      <c r="A5086" s="286"/>
      <c r="B5086" s="286"/>
      <c r="C5086" s="287"/>
      <c r="D5086" s="286"/>
      <c r="E5086" s="286"/>
    </row>
    <row r="5087">
      <c r="A5087" s="286"/>
      <c r="B5087" s="286"/>
      <c r="C5087" s="287"/>
      <c r="D5087" s="286"/>
      <c r="E5087" s="286"/>
    </row>
    <row r="5088">
      <c r="A5088" s="286"/>
      <c r="B5088" s="286"/>
      <c r="C5088" s="287"/>
      <c r="D5088" s="286"/>
      <c r="E5088" s="286"/>
    </row>
    <row r="5089">
      <c r="A5089" s="286"/>
      <c r="B5089" s="286"/>
      <c r="C5089" s="287"/>
      <c r="D5089" s="286"/>
      <c r="E5089" s="286"/>
    </row>
    <row r="5090">
      <c r="A5090" s="286"/>
      <c r="B5090" s="286"/>
      <c r="C5090" s="287"/>
      <c r="D5090" s="286"/>
      <c r="E5090" s="286"/>
    </row>
    <row r="5091">
      <c r="A5091" s="286"/>
      <c r="B5091" s="286"/>
      <c r="C5091" s="287"/>
      <c r="D5091" s="286"/>
      <c r="E5091" s="286"/>
    </row>
    <row r="5092">
      <c r="A5092" s="286"/>
      <c r="B5092" s="286"/>
      <c r="C5092" s="287"/>
      <c r="D5092" s="286"/>
      <c r="E5092" s="286"/>
    </row>
    <row r="5093">
      <c r="A5093" s="286"/>
      <c r="B5093" s="286"/>
      <c r="C5093" s="287"/>
      <c r="D5093" s="286"/>
      <c r="E5093" s="286"/>
    </row>
    <row r="5094">
      <c r="A5094" s="286"/>
      <c r="B5094" s="286"/>
      <c r="C5094" s="287"/>
      <c r="D5094" s="286"/>
      <c r="E5094" s="286"/>
    </row>
    <row r="5095">
      <c r="A5095" s="286"/>
      <c r="B5095" s="286"/>
      <c r="C5095" s="287"/>
      <c r="D5095" s="286"/>
      <c r="E5095" s="286"/>
    </row>
    <row r="5096">
      <c r="A5096" s="286"/>
      <c r="B5096" s="286"/>
      <c r="C5096" s="287"/>
      <c r="D5096" s="286"/>
      <c r="E5096" s="286"/>
    </row>
    <row r="5097">
      <c r="A5097" s="286"/>
      <c r="B5097" s="286"/>
      <c r="C5097" s="287"/>
      <c r="D5097" s="286"/>
      <c r="E5097" s="286"/>
    </row>
    <row r="5098">
      <c r="A5098" s="286"/>
      <c r="B5098" s="286"/>
      <c r="C5098" s="287"/>
      <c r="D5098" s="286"/>
      <c r="E5098" s="286"/>
    </row>
    <row r="5099">
      <c r="A5099" s="286"/>
      <c r="B5099" s="286"/>
      <c r="C5099" s="287"/>
      <c r="D5099" s="286"/>
      <c r="E5099" s="286"/>
    </row>
    <row r="5100">
      <c r="A5100" s="286"/>
      <c r="B5100" s="286"/>
      <c r="C5100" s="287"/>
      <c r="D5100" s="286"/>
      <c r="E5100" s="286"/>
    </row>
    <row r="5101">
      <c r="A5101" s="286"/>
      <c r="B5101" s="286"/>
      <c r="C5101" s="287"/>
      <c r="D5101" s="286"/>
      <c r="E5101" s="286"/>
    </row>
    <row r="5102">
      <c r="A5102" s="286"/>
      <c r="B5102" s="286"/>
      <c r="C5102" s="287"/>
      <c r="D5102" s="286"/>
      <c r="E5102" s="286"/>
    </row>
    <row r="5103">
      <c r="A5103" s="286"/>
      <c r="B5103" s="286"/>
      <c r="C5103" s="287"/>
      <c r="D5103" s="286"/>
      <c r="E5103" s="286"/>
    </row>
    <row r="5104">
      <c r="A5104" s="286"/>
      <c r="B5104" s="286"/>
      <c r="C5104" s="287"/>
      <c r="D5104" s="286"/>
      <c r="E5104" s="286"/>
    </row>
    <row r="5105">
      <c r="A5105" s="286"/>
      <c r="B5105" s="286"/>
      <c r="C5105" s="287"/>
      <c r="D5105" s="286"/>
      <c r="E5105" s="286"/>
    </row>
    <row r="5106">
      <c r="A5106" s="286"/>
      <c r="B5106" s="286"/>
      <c r="C5106" s="287"/>
      <c r="D5106" s="286"/>
      <c r="E5106" s="286"/>
    </row>
    <row r="5107">
      <c r="A5107" s="286"/>
      <c r="B5107" s="286"/>
      <c r="C5107" s="287"/>
      <c r="D5107" s="286"/>
      <c r="E5107" s="286"/>
    </row>
    <row r="5108">
      <c r="A5108" s="286"/>
      <c r="B5108" s="286"/>
      <c r="C5108" s="287"/>
      <c r="D5108" s="286"/>
      <c r="E5108" s="286"/>
    </row>
    <row r="5109">
      <c r="A5109" s="286"/>
      <c r="B5109" s="286"/>
      <c r="C5109" s="287"/>
      <c r="D5109" s="286"/>
      <c r="E5109" s="286"/>
    </row>
    <row r="5110">
      <c r="A5110" s="286"/>
      <c r="B5110" s="286"/>
      <c r="C5110" s="287"/>
      <c r="D5110" s="286"/>
      <c r="E5110" s="286"/>
    </row>
    <row r="5111">
      <c r="A5111" s="286"/>
      <c r="B5111" s="286"/>
      <c r="C5111" s="287"/>
      <c r="D5111" s="286"/>
      <c r="E5111" s="286"/>
    </row>
    <row r="5112">
      <c r="A5112" s="286"/>
      <c r="B5112" s="286"/>
      <c r="C5112" s="287"/>
      <c r="D5112" s="286"/>
      <c r="E5112" s="286"/>
    </row>
    <row r="5113">
      <c r="A5113" s="286"/>
      <c r="B5113" s="286"/>
      <c r="C5113" s="287"/>
      <c r="D5113" s="286"/>
      <c r="E5113" s="286"/>
    </row>
    <row r="5114">
      <c r="A5114" s="286"/>
      <c r="B5114" s="286"/>
      <c r="C5114" s="287"/>
      <c r="D5114" s="286"/>
      <c r="E5114" s="286"/>
    </row>
    <row r="5115">
      <c r="A5115" s="286"/>
      <c r="B5115" s="286"/>
      <c r="C5115" s="287"/>
      <c r="D5115" s="286"/>
      <c r="E5115" s="286"/>
    </row>
    <row r="5116">
      <c r="A5116" s="286"/>
      <c r="B5116" s="286"/>
      <c r="C5116" s="287"/>
      <c r="D5116" s="286"/>
      <c r="E5116" s="286"/>
    </row>
    <row r="5117">
      <c r="A5117" s="286"/>
      <c r="B5117" s="286"/>
      <c r="C5117" s="287"/>
      <c r="D5117" s="286"/>
      <c r="E5117" s="286"/>
    </row>
    <row r="5118">
      <c r="A5118" s="286"/>
      <c r="B5118" s="286"/>
      <c r="C5118" s="287"/>
      <c r="D5118" s="286"/>
      <c r="E5118" s="286"/>
    </row>
    <row r="5119">
      <c r="A5119" s="286"/>
      <c r="B5119" s="286"/>
      <c r="C5119" s="287"/>
      <c r="D5119" s="286"/>
      <c r="E5119" s="286"/>
    </row>
    <row r="5120">
      <c r="A5120" s="286"/>
      <c r="B5120" s="286"/>
      <c r="C5120" s="287"/>
      <c r="D5120" s="286"/>
      <c r="E5120" s="286"/>
    </row>
    <row r="5121">
      <c r="A5121" s="286"/>
      <c r="B5121" s="286"/>
      <c r="C5121" s="287"/>
      <c r="D5121" s="286"/>
      <c r="E5121" s="286"/>
    </row>
    <row r="5122">
      <c r="A5122" s="286"/>
      <c r="B5122" s="286"/>
      <c r="C5122" s="287"/>
      <c r="D5122" s="286"/>
      <c r="E5122" s="286"/>
    </row>
    <row r="5123">
      <c r="A5123" s="286"/>
      <c r="B5123" s="286"/>
      <c r="C5123" s="287"/>
      <c r="D5123" s="286"/>
      <c r="E5123" s="286"/>
    </row>
    <row r="5124">
      <c r="A5124" s="286"/>
      <c r="B5124" s="286"/>
      <c r="C5124" s="287"/>
      <c r="D5124" s="286"/>
      <c r="E5124" s="286"/>
    </row>
    <row r="5125">
      <c r="A5125" s="286"/>
      <c r="B5125" s="286"/>
      <c r="C5125" s="287"/>
      <c r="D5125" s="286"/>
      <c r="E5125" s="286"/>
    </row>
    <row r="5126">
      <c r="A5126" s="286"/>
      <c r="B5126" s="286"/>
      <c r="C5126" s="287"/>
      <c r="D5126" s="286"/>
      <c r="E5126" s="286"/>
    </row>
    <row r="5127">
      <c r="A5127" s="286"/>
      <c r="B5127" s="286"/>
      <c r="C5127" s="287"/>
      <c r="D5127" s="286"/>
      <c r="E5127" s="286"/>
    </row>
    <row r="5128">
      <c r="A5128" s="286"/>
      <c r="B5128" s="286"/>
      <c r="C5128" s="287"/>
      <c r="D5128" s="286"/>
      <c r="E5128" s="286"/>
    </row>
    <row r="5129">
      <c r="A5129" s="286"/>
      <c r="B5129" s="286"/>
      <c r="C5129" s="287"/>
      <c r="D5129" s="286"/>
      <c r="E5129" s="286"/>
    </row>
    <row r="5130">
      <c r="A5130" s="286"/>
      <c r="B5130" s="286"/>
      <c r="C5130" s="287"/>
      <c r="D5130" s="286"/>
      <c r="E5130" s="286"/>
    </row>
    <row r="5131">
      <c r="A5131" s="286"/>
      <c r="B5131" s="286"/>
      <c r="C5131" s="287"/>
      <c r="D5131" s="286"/>
      <c r="E5131" s="286"/>
    </row>
    <row r="5132">
      <c r="A5132" s="286"/>
      <c r="B5132" s="286"/>
      <c r="C5132" s="287"/>
      <c r="D5132" s="286"/>
      <c r="E5132" s="286"/>
    </row>
    <row r="5133">
      <c r="A5133" s="286"/>
      <c r="B5133" s="286"/>
      <c r="C5133" s="287"/>
      <c r="D5133" s="286"/>
      <c r="E5133" s="286"/>
    </row>
    <row r="5134">
      <c r="A5134" s="286"/>
      <c r="B5134" s="286"/>
      <c r="C5134" s="287"/>
      <c r="D5134" s="286"/>
      <c r="E5134" s="286"/>
    </row>
    <row r="5135">
      <c r="A5135" s="286"/>
      <c r="B5135" s="286"/>
      <c r="C5135" s="287"/>
      <c r="D5135" s="286"/>
      <c r="E5135" s="286"/>
    </row>
    <row r="5136">
      <c r="A5136" s="286"/>
      <c r="B5136" s="286"/>
      <c r="C5136" s="287"/>
      <c r="D5136" s="286"/>
      <c r="E5136" s="286"/>
    </row>
    <row r="5137">
      <c r="A5137" s="286"/>
      <c r="B5137" s="286"/>
      <c r="C5137" s="287"/>
      <c r="D5137" s="286"/>
      <c r="E5137" s="286"/>
    </row>
    <row r="5138">
      <c r="A5138" s="286"/>
      <c r="B5138" s="286"/>
      <c r="C5138" s="287"/>
      <c r="D5138" s="286"/>
      <c r="E5138" s="286"/>
    </row>
    <row r="5139">
      <c r="A5139" s="286"/>
      <c r="B5139" s="286"/>
      <c r="C5139" s="287"/>
      <c r="D5139" s="286"/>
      <c r="E5139" s="286"/>
    </row>
    <row r="5140">
      <c r="A5140" s="286"/>
      <c r="B5140" s="286"/>
      <c r="C5140" s="287"/>
      <c r="D5140" s="286"/>
      <c r="E5140" s="286"/>
    </row>
    <row r="5141">
      <c r="A5141" s="286"/>
      <c r="B5141" s="286"/>
      <c r="C5141" s="287"/>
      <c r="D5141" s="286"/>
      <c r="E5141" s="286"/>
    </row>
    <row r="5142">
      <c r="A5142" s="286"/>
      <c r="B5142" s="286"/>
      <c r="C5142" s="287"/>
      <c r="D5142" s="286"/>
      <c r="E5142" s="286"/>
    </row>
    <row r="5143">
      <c r="A5143" s="286"/>
      <c r="B5143" s="286"/>
      <c r="C5143" s="287"/>
      <c r="D5143" s="286"/>
      <c r="E5143" s="286"/>
    </row>
    <row r="5144">
      <c r="A5144" s="286"/>
      <c r="B5144" s="286"/>
      <c r="C5144" s="287"/>
      <c r="D5144" s="286"/>
      <c r="E5144" s="286"/>
    </row>
    <row r="5145">
      <c r="A5145" s="286"/>
      <c r="B5145" s="286"/>
      <c r="C5145" s="287"/>
      <c r="D5145" s="286"/>
      <c r="E5145" s="286"/>
    </row>
    <row r="5146">
      <c r="A5146" s="286"/>
      <c r="B5146" s="286"/>
      <c r="C5146" s="287"/>
      <c r="D5146" s="286"/>
      <c r="E5146" s="286"/>
    </row>
    <row r="5147">
      <c r="A5147" s="286"/>
      <c r="B5147" s="286"/>
      <c r="C5147" s="287"/>
      <c r="D5147" s="286"/>
      <c r="E5147" s="286"/>
    </row>
    <row r="5148">
      <c r="A5148" s="286"/>
      <c r="B5148" s="286"/>
      <c r="C5148" s="287"/>
      <c r="D5148" s="286"/>
      <c r="E5148" s="286"/>
    </row>
    <row r="5149">
      <c r="A5149" s="286"/>
      <c r="B5149" s="286"/>
      <c r="C5149" s="287"/>
      <c r="D5149" s="286"/>
      <c r="E5149" s="286"/>
    </row>
    <row r="5150">
      <c r="A5150" s="286"/>
      <c r="B5150" s="286"/>
      <c r="C5150" s="287"/>
      <c r="D5150" s="286"/>
      <c r="E5150" s="286"/>
    </row>
    <row r="5151">
      <c r="A5151" s="286"/>
      <c r="B5151" s="286"/>
      <c r="C5151" s="287"/>
      <c r="D5151" s="286"/>
      <c r="E5151" s="286"/>
    </row>
    <row r="5152">
      <c r="A5152" s="286"/>
      <c r="B5152" s="286"/>
      <c r="C5152" s="287"/>
      <c r="D5152" s="286"/>
      <c r="E5152" s="286"/>
    </row>
    <row r="5153">
      <c r="A5153" s="286"/>
      <c r="B5153" s="286"/>
      <c r="C5153" s="287"/>
      <c r="D5153" s="286"/>
      <c r="E5153" s="286"/>
    </row>
    <row r="5154">
      <c r="A5154" s="286"/>
      <c r="B5154" s="286"/>
      <c r="C5154" s="287"/>
      <c r="D5154" s="286"/>
      <c r="E5154" s="286"/>
    </row>
    <row r="5155">
      <c r="A5155" s="286"/>
      <c r="B5155" s="286"/>
      <c r="C5155" s="287"/>
      <c r="D5155" s="286"/>
      <c r="E5155" s="286"/>
    </row>
    <row r="5156">
      <c r="A5156" s="286"/>
      <c r="B5156" s="286"/>
      <c r="C5156" s="287"/>
      <c r="D5156" s="286"/>
      <c r="E5156" s="286"/>
    </row>
    <row r="5157">
      <c r="A5157" s="286"/>
      <c r="B5157" s="286"/>
      <c r="C5157" s="287"/>
      <c r="D5157" s="286"/>
      <c r="E5157" s="286"/>
    </row>
    <row r="5158">
      <c r="A5158" s="286"/>
      <c r="B5158" s="286"/>
      <c r="C5158" s="287"/>
      <c r="D5158" s="286"/>
      <c r="E5158" s="286"/>
    </row>
    <row r="5159">
      <c r="A5159" s="286"/>
      <c r="B5159" s="286"/>
      <c r="C5159" s="287"/>
      <c r="D5159" s="286"/>
      <c r="E5159" s="286"/>
    </row>
    <row r="5160">
      <c r="A5160" s="286"/>
      <c r="B5160" s="286"/>
      <c r="C5160" s="287"/>
      <c r="D5160" s="286"/>
      <c r="E5160" s="286"/>
    </row>
    <row r="5161">
      <c r="A5161" s="286"/>
      <c r="B5161" s="286"/>
      <c r="C5161" s="287"/>
      <c r="D5161" s="286"/>
      <c r="E5161" s="286"/>
    </row>
    <row r="5162">
      <c r="A5162" s="286"/>
      <c r="B5162" s="286"/>
      <c r="C5162" s="287"/>
      <c r="D5162" s="286"/>
      <c r="E5162" s="286"/>
    </row>
    <row r="5163">
      <c r="A5163" s="286"/>
      <c r="B5163" s="286"/>
      <c r="C5163" s="287"/>
      <c r="D5163" s="286"/>
      <c r="E5163" s="286"/>
    </row>
    <row r="5164">
      <c r="A5164" s="286"/>
      <c r="B5164" s="286"/>
      <c r="C5164" s="287"/>
      <c r="D5164" s="286"/>
      <c r="E5164" s="286"/>
    </row>
    <row r="5165">
      <c r="A5165" s="286"/>
      <c r="B5165" s="286"/>
      <c r="C5165" s="287"/>
      <c r="D5165" s="286"/>
      <c r="E5165" s="286"/>
    </row>
    <row r="5166">
      <c r="A5166" s="286"/>
      <c r="B5166" s="286"/>
      <c r="C5166" s="287"/>
      <c r="D5166" s="286"/>
      <c r="E5166" s="286"/>
    </row>
    <row r="5167">
      <c r="A5167" s="286"/>
      <c r="B5167" s="286"/>
      <c r="C5167" s="287"/>
      <c r="D5167" s="286"/>
      <c r="E5167" s="286"/>
    </row>
    <row r="5168">
      <c r="A5168" s="286"/>
      <c r="B5168" s="286"/>
      <c r="C5168" s="287"/>
      <c r="D5168" s="286"/>
      <c r="E5168" s="286"/>
    </row>
    <row r="5169">
      <c r="A5169" s="286"/>
      <c r="B5169" s="286"/>
      <c r="C5169" s="287"/>
      <c r="D5169" s="286"/>
      <c r="E5169" s="286"/>
    </row>
    <row r="5170">
      <c r="A5170" s="286"/>
      <c r="B5170" s="286"/>
      <c r="C5170" s="287"/>
      <c r="D5170" s="286"/>
      <c r="E5170" s="286"/>
    </row>
    <row r="5171">
      <c r="A5171" s="286"/>
      <c r="B5171" s="286"/>
      <c r="C5171" s="287"/>
      <c r="D5171" s="286"/>
      <c r="E5171" s="286"/>
    </row>
    <row r="5172">
      <c r="A5172" s="286"/>
      <c r="B5172" s="286"/>
      <c r="C5172" s="287"/>
      <c r="D5172" s="286"/>
      <c r="E5172" s="286"/>
    </row>
    <row r="5173">
      <c r="A5173" s="286"/>
      <c r="B5173" s="286"/>
      <c r="C5173" s="287"/>
      <c r="D5173" s="286"/>
      <c r="E5173" s="286"/>
    </row>
    <row r="5174">
      <c r="A5174" s="286"/>
      <c r="B5174" s="286"/>
      <c r="C5174" s="287"/>
      <c r="D5174" s="286"/>
      <c r="E5174" s="286"/>
    </row>
    <row r="5175">
      <c r="A5175" s="286"/>
      <c r="B5175" s="286"/>
      <c r="C5175" s="287"/>
      <c r="D5175" s="286"/>
      <c r="E5175" s="286"/>
    </row>
    <row r="5176">
      <c r="A5176" s="286"/>
      <c r="B5176" s="286"/>
      <c r="C5176" s="287"/>
      <c r="D5176" s="286"/>
      <c r="E5176" s="286"/>
    </row>
    <row r="5177">
      <c r="A5177" s="286"/>
      <c r="B5177" s="286"/>
      <c r="C5177" s="287"/>
      <c r="D5177" s="286"/>
      <c r="E5177" s="286"/>
    </row>
    <row r="5178">
      <c r="A5178" s="286"/>
      <c r="B5178" s="286"/>
      <c r="C5178" s="287"/>
      <c r="D5178" s="286"/>
      <c r="E5178" s="286"/>
    </row>
    <row r="5179">
      <c r="A5179" s="286"/>
      <c r="B5179" s="286"/>
      <c r="C5179" s="287"/>
      <c r="D5179" s="286"/>
      <c r="E5179" s="286"/>
    </row>
    <row r="5180">
      <c r="A5180" s="286"/>
      <c r="B5180" s="286"/>
      <c r="C5180" s="287"/>
      <c r="D5180" s="286"/>
      <c r="E5180" s="286"/>
    </row>
    <row r="5181">
      <c r="A5181" s="286"/>
      <c r="B5181" s="286"/>
      <c r="C5181" s="287"/>
      <c r="D5181" s="286"/>
      <c r="E5181" s="286"/>
    </row>
    <row r="5182">
      <c r="A5182" s="286"/>
      <c r="B5182" s="286"/>
      <c r="C5182" s="287"/>
      <c r="D5182" s="286"/>
      <c r="E5182" s="286"/>
    </row>
    <row r="5183">
      <c r="A5183" s="286"/>
      <c r="B5183" s="286"/>
      <c r="C5183" s="287"/>
      <c r="D5183" s="286"/>
      <c r="E5183" s="286"/>
    </row>
    <row r="5184">
      <c r="A5184" s="286"/>
      <c r="B5184" s="286"/>
      <c r="C5184" s="287"/>
      <c r="D5184" s="286"/>
      <c r="E5184" s="286"/>
    </row>
    <row r="5185">
      <c r="A5185" s="286"/>
      <c r="B5185" s="286"/>
      <c r="C5185" s="287"/>
      <c r="D5185" s="286"/>
      <c r="E5185" s="286"/>
    </row>
    <row r="5186">
      <c r="A5186" s="286"/>
      <c r="B5186" s="286"/>
      <c r="C5186" s="287"/>
      <c r="D5186" s="286"/>
      <c r="E5186" s="286"/>
    </row>
    <row r="5187">
      <c r="A5187" s="286"/>
      <c r="B5187" s="286"/>
      <c r="C5187" s="287"/>
      <c r="D5187" s="286"/>
      <c r="E5187" s="286"/>
    </row>
    <row r="5188">
      <c r="A5188" s="286"/>
      <c r="B5188" s="286"/>
      <c r="C5188" s="287"/>
      <c r="D5188" s="286"/>
      <c r="E5188" s="286"/>
    </row>
    <row r="5189">
      <c r="A5189" s="286"/>
      <c r="B5189" s="286"/>
      <c r="C5189" s="287"/>
      <c r="D5189" s="286"/>
      <c r="E5189" s="286"/>
    </row>
    <row r="5190">
      <c r="A5190" s="286"/>
      <c r="B5190" s="286"/>
      <c r="C5190" s="287"/>
      <c r="D5190" s="286"/>
      <c r="E5190" s="286"/>
    </row>
    <row r="5191">
      <c r="A5191" s="286"/>
      <c r="B5191" s="286"/>
      <c r="C5191" s="287"/>
      <c r="D5191" s="286"/>
      <c r="E5191" s="286"/>
    </row>
    <row r="5192">
      <c r="A5192" s="286"/>
      <c r="B5192" s="286"/>
      <c r="C5192" s="287"/>
      <c r="D5192" s="286"/>
      <c r="E5192" s="286"/>
    </row>
    <row r="5193">
      <c r="A5193" s="286"/>
      <c r="B5193" s="286"/>
      <c r="C5193" s="287"/>
      <c r="D5193" s="286"/>
      <c r="E5193" s="286"/>
    </row>
    <row r="5194">
      <c r="A5194" s="286"/>
      <c r="B5194" s="286"/>
      <c r="C5194" s="287"/>
      <c r="D5194" s="286"/>
      <c r="E5194" s="286"/>
    </row>
    <row r="5195">
      <c r="A5195" s="286"/>
      <c r="B5195" s="286"/>
      <c r="C5195" s="287"/>
      <c r="D5195" s="286"/>
      <c r="E5195" s="286"/>
    </row>
    <row r="5196">
      <c r="A5196" s="286"/>
      <c r="B5196" s="286"/>
      <c r="C5196" s="287"/>
      <c r="D5196" s="286"/>
      <c r="E5196" s="286"/>
    </row>
    <row r="5197">
      <c r="A5197" s="286"/>
      <c r="B5197" s="286"/>
      <c r="C5197" s="287"/>
      <c r="D5197" s="286"/>
      <c r="E5197" s="286"/>
    </row>
    <row r="5198">
      <c r="A5198" s="286"/>
      <c r="B5198" s="286"/>
      <c r="C5198" s="287"/>
      <c r="D5198" s="286"/>
      <c r="E5198" s="286"/>
    </row>
    <row r="5199">
      <c r="A5199" s="286"/>
      <c r="B5199" s="286"/>
      <c r="C5199" s="287"/>
      <c r="D5199" s="286"/>
      <c r="E5199" s="286"/>
    </row>
    <row r="5200">
      <c r="A5200" s="286"/>
      <c r="B5200" s="286"/>
      <c r="C5200" s="287"/>
      <c r="D5200" s="286"/>
      <c r="E5200" s="286"/>
    </row>
    <row r="5201">
      <c r="A5201" s="286"/>
      <c r="B5201" s="286"/>
      <c r="C5201" s="287"/>
      <c r="D5201" s="286"/>
      <c r="E5201" s="286"/>
    </row>
    <row r="5202">
      <c r="A5202" s="286"/>
      <c r="B5202" s="286"/>
      <c r="C5202" s="287"/>
      <c r="D5202" s="286"/>
      <c r="E5202" s="286"/>
    </row>
    <row r="5203">
      <c r="A5203" s="286"/>
      <c r="B5203" s="286"/>
      <c r="C5203" s="287"/>
      <c r="D5203" s="286"/>
      <c r="E5203" s="286"/>
    </row>
    <row r="5204">
      <c r="A5204" s="286"/>
      <c r="B5204" s="286"/>
      <c r="C5204" s="287"/>
      <c r="D5204" s="286"/>
      <c r="E5204" s="286"/>
    </row>
    <row r="5205">
      <c r="A5205" s="286"/>
      <c r="B5205" s="286"/>
      <c r="C5205" s="287"/>
      <c r="D5205" s="286"/>
      <c r="E5205" s="286"/>
    </row>
    <row r="5206">
      <c r="A5206" s="286"/>
      <c r="B5206" s="286"/>
      <c r="C5206" s="287"/>
      <c r="D5206" s="286"/>
      <c r="E5206" s="286"/>
    </row>
    <row r="5207">
      <c r="A5207" s="286"/>
      <c r="B5207" s="286"/>
      <c r="C5207" s="287"/>
      <c r="D5207" s="286"/>
      <c r="E5207" s="286"/>
    </row>
    <row r="5208">
      <c r="A5208" s="286"/>
      <c r="B5208" s="286"/>
      <c r="C5208" s="287"/>
      <c r="D5208" s="286"/>
      <c r="E5208" s="286"/>
    </row>
    <row r="5209">
      <c r="A5209" s="286"/>
      <c r="B5209" s="286"/>
      <c r="C5209" s="287"/>
      <c r="D5209" s="286"/>
      <c r="E5209" s="286"/>
    </row>
    <row r="5210">
      <c r="A5210" s="286"/>
      <c r="B5210" s="286"/>
      <c r="C5210" s="287"/>
      <c r="D5210" s="286"/>
      <c r="E5210" s="286"/>
    </row>
    <row r="5211">
      <c r="A5211" s="286"/>
      <c r="B5211" s="286"/>
      <c r="C5211" s="287"/>
      <c r="D5211" s="286"/>
      <c r="E5211" s="286"/>
    </row>
    <row r="5212">
      <c r="A5212" s="286"/>
      <c r="B5212" s="286"/>
      <c r="C5212" s="287"/>
      <c r="D5212" s="286"/>
      <c r="E5212" s="286"/>
    </row>
    <row r="5213">
      <c r="A5213" s="286"/>
      <c r="B5213" s="286"/>
      <c r="C5213" s="287"/>
      <c r="D5213" s="286"/>
      <c r="E5213" s="286"/>
    </row>
    <row r="5214">
      <c r="A5214" s="286"/>
      <c r="B5214" s="286"/>
      <c r="C5214" s="287"/>
      <c r="D5214" s="286"/>
      <c r="E5214" s="286"/>
    </row>
    <row r="5215">
      <c r="A5215" s="286"/>
      <c r="B5215" s="286"/>
      <c r="C5215" s="287"/>
      <c r="D5215" s="286"/>
      <c r="E5215" s="286"/>
    </row>
    <row r="5216">
      <c r="A5216" s="286"/>
      <c r="B5216" s="286"/>
      <c r="C5216" s="287"/>
      <c r="D5216" s="286"/>
      <c r="E5216" s="286"/>
    </row>
    <row r="5217">
      <c r="A5217" s="286"/>
      <c r="B5217" s="286"/>
      <c r="C5217" s="287"/>
      <c r="D5217" s="286"/>
      <c r="E5217" s="286"/>
    </row>
    <row r="5218">
      <c r="A5218" s="286"/>
      <c r="B5218" s="286"/>
      <c r="C5218" s="287"/>
      <c r="D5218" s="286"/>
      <c r="E5218" s="286"/>
    </row>
    <row r="5219">
      <c r="A5219" s="286"/>
      <c r="B5219" s="286"/>
      <c r="C5219" s="287"/>
      <c r="D5219" s="286"/>
      <c r="E5219" s="286"/>
    </row>
    <row r="5220">
      <c r="A5220" s="286"/>
      <c r="B5220" s="286"/>
      <c r="C5220" s="287"/>
      <c r="D5220" s="286"/>
      <c r="E5220" s="286"/>
    </row>
    <row r="5221">
      <c r="A5221" s="286"/>
      <c r="B5221" s="286"/>
      <c r="C5221" s="287"/>
      <c r="D5221" s="286"/>
      <c r="E5221" s="286"/>
    </row>
    <row r="5222">
      <c r="A5222" s="286"/>
      <c r="B5222" s="286"/>
      <c r="C5222" s="287"/>
      <c r="D5222" s="286"/>
      <c r="E5222" s="286"/>
    </row>
    <row r="5223">
      <c r="A5223" s="286"/>
      <c r="B5223" s="286"/>
      <c r="C5223" s="287"/>
      <c r="D5223" s="286"/>
      <c r="E5223" s="286"/>
    </row>
    <row r="5224">
      <c r="A5224" s="286"/>
      <c r="B5224" s="286"/>
      <c r="C5224" s="287"/>
      <c r="D5224" s="286"/>
      <c r="E5224" s="286"/>
    </row>
    <row r="5225">
      <c r="A5225" s="286"/>
      <c r="B5225" s="286"/>
      <c r="C5225" s="287"/>
      <c r="D5225" s="286"/>
      <c r="E5225" s="286"/>
    </row>
    <row r="5226">
      <c r="A5226" s="286"/>
      <c r="B5226" s="286"/>
      <c r="C5226" s="287"/>
      <c r="D5226" s="286"/>
      <c r="E5226" s="286"/>
    </row>
    <row r="5227">
      <c r="A5227" s="286"/>
      <c r="B5227" s="286"/>
      <c r="C5227" s="287"/>
      <c r="D5227" s="286"/>
      <c r="E5227" s="286"/>
    </row>
    <row r="5228">
      <c r="A5228" s="286"/>
      <c r="B5228" s="286"/>
      <c r="C5228" s="287"/>
      <c r="D5228" s="286"/>
      <c r="E5228" s="286"/>
    </row>
    <row r="5229">
      <c r="A5229" s="286"/>
      <c r="B5229" s="286"/>
      <c r="C5229" s="287"/>
      <c r="D5229" s="286"/>
      <c r="E5229" s="286"/>
    </row>
    <row r="5230">
      <c r="A5230" s="286"/>
      <c r="B5230" s="286"/>
      <c r="C5230" s="287"/>
      <c r="D5230" s="286"/>
      <c r="E5230" s="286"/>
    </row>
    <row r="5231">
      <c r="A5231" s="286"/>
      <c r="B5231" s="286"/>
      <c r="C5231" s="287"/>
      <c r="D5231" s="286"/>
      <c r="E5231" s="286"/>
    </row>
    <row r="5232">
      <c r="A5232" s="286"/>
      <c r="B5232" s="286"/>
      <c r="C5232" s="287"/>
      <c r="D5232" s="286"/>
      <c r="E5232" s="286"/>
    </row>
    <row r="5233">
      <c r="A5233" s="286"/>
      <c r="B5233" s="286"/>
      <c r="C5233" s="287"/>
      <c r="D5233" s="286"/>
      <c r="E5233" s="286"/>
    </row>
    <row r="5234">
      <c r="A5234" s="286"/>
      <c r="B5234" s="286"/>
      <c r="C5234" s="287"/>
      <c r="D5234" s="286"/>
      <c r="E5234" s="286"/>
    </row>
    <row r="5235">
      <c r="A5235" s="286"/>
      <c r="B5235" s="286"/>
      <c r="C5235" s="287"/>
      <c r="D5235" s="286"/>
      <c r="E5235" s="286"/>
    </row>
    <row r="5236">
      <c r="A5236" s="286"/>
      <c r="B5236" s="286"/>
      <c r="C5236" s="287"/>
      <c r="D5236" s="286"/>
      <c r="E5236" s="286"/>
    </row>
    <row r="5237">
      <c r="A5237" s="286"/>
      <c r="B5237" s="286"/>
      <c r="C5237" s="287"/>
      <c r="D5237" s="286"/>
      <c r="E5237" s="286"/>
    </row>
    <row r="5238">
      <c r="A5238" s="286"/>
      <c r="B5238" s="286"/>
      <c r="C5238" s="287"/>
      <c r="D5238" s="286"/>
      <c r="E5238" s="286"/>
    </row>
    <row r="5239">
      <c r="A5239" s="286"/>
      <c r="B5239" s="286"/>
      <c r="C5239" s="287"/>
      <c r="D5239" s="286"/>
      <c r="E5239" s="286"/>
    </row>
    <row r="5240">
      <c r="A5240" s="286"/>
      <c r="B5240" s="286"/>
      <c r="C5240" s="287"/>
      <c r="D5240" s="286"/>
      <c r="E5240" s="286"/>
    </row>
    <row r="5241">
      <c r="A5241" s="286"/>
      <c r="B5241" s="286"/>
      <c r="C5241" s="287"/>
      <c r="D5241" s="286"/>
      <c r="E5241" s="286"/>
    </row>
    <row r="5242">
      <c r="A5242" s="286"/>
      <c r="B5242" s="286"/>
      <c r="C5242" s="287"/>
      <c r="D5242" s="286"/>
      <c r="E5242" s="286"/>
    </row>
    <row r="5243">
      <c r="A5243" s="286"/>
      <c r="B5243" s="286"/>
      <c r="C5243" s="287"/>
      <c r="D5243" s="286"/>
      <c r="E5243" s="286"/>
    </row>
    <row r="5244">
      <c r="A5244" s="286"/>
      <c r="B5244" s="286"/>
      <c r="C5244" s="287"/>
      <c r="D5244" s="286"/>
      <c r="E5244" s="286"/>
    </row>
    <row r="5245">
      <c r="A5245" s="286"/>
      <c r="B5245" s="286"/>
      <c r="C5245" s="287"/>
      <c r="D5245" s="286"/>
      <c r="E5245" s="286"/>
    </row>
    <row r="5246">
      <c r="A5246" s="286"/>
      <c r="B5246" s="286"/>
      <c r="C5246" s="287"/>
      <c r="D5246" s="286"/>
      <c r="E5246" s="286"/>
    </row>
    <row r="5247">
      <c r="A5247" s="286"/>
      <c r="B5247" s="286"/>
      <c r="C5247" s="287"/>
      <c r="D5247" s="286"/>
      <c r="E5247" s="286"/>
    </row>
    <row r="5248">
      <c r="A5248" s="286"/>
      <c r="B5248" s="286"/>
      <c r="C5248" s="287"/>
      <c r="D5248" s="286"/>
      <c r="E5248" s="286"/>
    </row>
    <row r="5249">
      <c r="A5249" s="286"/>
      <c r="B5249" s="286"/>
      <c r="C5249" s="287"/>
      <c r="D5249" s="286"/>
      <c r="E5249" s="286"/>
    </row>
    <row r="5250">
      <c r="A5250" s="286"/>
      <c r="B5250" s="286"/>
      <c r="C5250" s="287"/>
      <c r="D5250" s="286"/>
      <c r="E5250" s="286"/>
    </row>
    <row r="5251">
      <c r="A5251" s="286"/>
      <c r="B5251" s="286"/>
      <c r="C5251" s="287"/>
      <c r="D5251" s="286"/>
      <c r="E5251" s="286"/>
    </row>
    <row r="5252">
      <c r="A5252" s="286"/>
      <c r="B5252" s="286"/>
      <c r="C5252" s="287"/>
      <c r="D5252" s="286"/>
      <c r="E5252" s="286"/>
    </row>
    <row r="5253">
      <c r="A5253" s="286"/>
      <c r="B5253" s="286"/>
      <c r="C5253" s="287"/>
      <c r="D5253" s="286"/>
      <c r="E5253" s="286"/>
    </row>
    <row r="5254">
      <c r="A5254" s="286"/>
      <c r="B5254" s="286"/>
      <c r="C5254" s="287"/>
      <c r="D5254" s="286"/>
      <c r="E5254" s="286"/>
    </row>
    <row r="5255">
      <c r="A5255" s="286"/>
      <c r="B5255" s="286"/>
      <c r="C5255" s="287"/>
      <c r="D5255" s="286"/>
      <c r="E5255" s="286"/>
    </row>
    <row r="5256">
      <c r="A5256" s="286"/>
      <c r="B5256" s="286"/>
      <c r="C5256" s="287"/>
      <c r="D5256" s="286"/>
      <c r="E5256" s="286"/>
    </row>
    <row r="5257">
      <c r="A5257" s="286"/>
      <c r="B5257" s="286"/>
      <c r="C5257" s="287"/>
      <c r="D5257" s="286"/>
      <c r="E5257" s="286"/>
    </row>
    <row r="5258">
      <c r="A5258" s="286"/>
      <c r="B5258" s="286"/>
      <c r="C5258" s="287"/>
      <c r="D5258" s="286"/>
      <c r="E5258" s="286"/>
    </row>
    <row r="5259">
      <c r="A5259" s="286"/>
      <c r="B5259" s="286"/>
      <c r="C5259" s="287"/>
      <c r="D5259" s="286"/>
      <c r="E5259" s="286"/>
    </row>
    <row r="5260">
      <c r="A5260" s="286"/>
      <c r="B5260" s="286"/>
      <c r="C5260" s="287"/>
      <c r="D5260" s="286"/>
      <c r="E5260" s="286"/>
    </row>
    <row r="5261">
      <c r="A5261" s="286"/>
      <c r="B5261" s="286"/>
      <c r="C5261" s="287"/>
      <c r="D5261" s="286"/>
      <c r="E5261" s="286"/>
    </row>
    <row r="5262">
      <c r="A5262" s="286"/>
      <c r="B5262" s="286"/>
      <c r="C5262" s="287"/>
      <c r="D5262" s="286"/>
      <c r="E5262" s="286"/>
    </row>
    <row r="5263">
      <c r="A5263" s="286"/>
      <c r="B5263" s="286"/>
      <c r="C5263" s="287"/>
      <c r="D5263" s="286"/>
      <c r="E5263" s="286"/>
    </row>
    <row r="5264">
      <c r="A5264" s="286"/>
      <c r="B5264" s="286"/>
      <c r="C5264" s="287"/>
      <c r="D5264" s="286"/>
      <c r="E5264" s="286"/>
    </row>
    <row r="5265">
      <c r="A5265" s="286"/>
      <c r="B5265" s="286"/>
      <c r="C5265" s="287"/>
      <c r="D5265" s="286"/>
      <c r="E5265" s="286"/>
    </row>
    <row r="5266">
      <c r="A5266" s="286"/>
      <c r="B5266" s="286"/>
      <c r="C5266" s="287"/>
      <c r="D5266" s="286"/>
      <c r="E5266" s="286"/>
    </row>
    <row r="5267">
      <c r="A5267" s="286"/>
      <c r="B5267" s="286"/>
      <c r="C5267" s="287"/>
      <c r="D5267" s="286"/>
      <c r="E5267" s="286"/>
    </row>
    <row r="5268">
      <c r="A5268" s="286"/>
      <c r="B5268" s="286"/>
      <c r="C5268" s="287"/>
      <c r="D5268" s="286"/>
      <c r="E5268" s="286"/>
    </row>
    <row r="5269">
      <c r="A5269" s="286"/>
      <c r="B5269" s="286"/>
      <c r="C5269" s="287"/>
      <c r="D5269" s="286"/>
      <c r="E5269" s="286"/>
    </row>
    <row r="5270">
      <c r="A5270" s="286"/>
      <c r="B5270" s="286"/>
      <c r="C5270" s="287"/>
      <c r="D5270" s="286"/>
      <c r="E5270" s="286"/>
    </row>
    <row r="5271">
      <c r="A5271" s="286"/>
      <c r="B5271" s="286"/>
      <c r="C5271" s="287"/>
      <c r="D5271" s="286"/>
      <c r="E5271" s="286"/>
    </row>
    <row r="5272">
      <c r="A5272" s="286"/>
      <c r="B5272" s="286"/>
      <c r="C5272" s="287"/>
      <c r="D5272" s="286"/>
      <c r="E5272" s="286"/>
    </row>
    <row r="5273">
      <c r="A5273" s="286"/>
      <c r="B5273" s="286"/>
      <c r="C5273" s="287"/>
      <c r="D5273" s="286"/>
      <c r="E5273" s="286"/>
    </row>
    <row r="5274">
      <c r="A5274" s="286"/>
      <c r="B5274" s="286"/>
      <c r="C5274" s="287"/>
      <c r="D5274" s="286"/>
      <c r="E5274" s="286"/>
    </row>
    <row r="5275">
      <c r="A5275" s="286"/>
      <c r="B5275" s="286"/>
      <c r="C5275" s="287"/>
      <c r="D5275" s="286"/>
      <c r="E5275" s="286"/>
    </row>
    <row r="5276">
      <c r="A5276" s="286"/>
      <c r="B5276" s="286"/>
      <c r="C5276" s="287"/>
      <c r="D5276" s="286"/>
      <c r="E5276" s="286"/>
    </row>
    <row r="5277">
      <c r="A5277" s="286"/>
      <c r="B5277" s="286"/>
      <c r="C5277" s="287"/>
      <c r="D5277" s="286"/>
      <c r="E5277" s="286"/>
    </row>
    <row r="5278">
      <c r="A5278" s="286"/>
      <c r="B5278" s="286"/>
      <c r="C5278" s="287"/>
      <c r="D5278" s="286"/>
      <c r="E5278" s="286"/>
    </row>
    <row r="5279">
      <c r="A5279" s="286"/>
      <c r="B5279" s="286"/>
      <c r="C5279" s="287"/>
      <c r="D5279" s="286"/>
      <c r="E5279" s="286"/>
    </row>
    <row r="5280">
      <c r="A5280" s="286"/>
      <c r="B5280" s="286"/>
      <c r="C5280" s="287"/>
      <c r="D5280" s="286"/>
      <c r="E5280" s="286"/>
    </row>
    <row r="5281">
      <c r="A5281" s="286"/>
      <c r="B5281" s="286"/>
      <c r="C5281" s="287"/>
      <c r="D5281" s="286"/>
      <c r="E5281" s="286"/>
    </row>
    <row r="5282">
      <c r="A5282" s="286"/>
      <c r="B5282" s="286"/>
      <c r="C5282" s="287"/>
      <c r="D5282" s="286"/>
      <c r="E5282" s="286"/>
    </row>
    <row r="5283">
      <c r="A5283" s="286"/>
      <c r="B5283" s="286"/>
      <c r="C5283" s="287"/>
      <c r="D5283" s="286"/>
      <c r="E5283" s="286"/>
    </row>
    <row r="5284">
      <c r="A5284" s="286"/>
      <c r="B5284" s="286"/>
      <c r="C5284" s="287"/>
      <c r="D5284" s="286"/>
      <c r="E5284" s="286"/>
    </row>
    <row r="5285">
      <c r="A5285" s="286"/>
      <c r="B5285" s="286"/>
      <c r="C5285" s="287"/>
      <c r="D5285" s="286"/>
      <c r="E5285" s="286"/>
    </row>
    <row r="5286">
      <c r="A5286" s="286"/>
      <c r="B5286" s="286"/>
      <c r="C5286" s="287"/>
      <c r="D5286" s="286"/>
      <c r="E5286" s="286"/>
    </row>
    <row r="5287">
      <c r="A5287" s="286"/>
      <c r="B5287" s="286"/>
      <c r="C5287" s="287"/>
      <c r="D5287" s="286"/>
      <c r="E5287" s="286"/>
    </row>
    <row r="5288">
      <c r="A5288" s="286"/>
      <c r="B5288" s="286"/>
      <c r="C5288" s="287"/>
      <c r="D5288" s="286"/>
      <c r="E5288" s="286"/>
    </row>
    <row r="5289">
      <c r="A5289" s="286"/>
      <c r="B5289" s="286"/>
      <c r="C5289" s="287"/>
      <c r="D5289" s="286"/>
      <c r="E5289" s="286"/>
    </row>
    <row r="5290">
      <c r="A5290" s="286"/>
      <c r="B5290" s="286"/>
      <c r="C5290" s="287"/>
      <c r="D5290" s="286"/>
      <c r="E5290" s="286"/>
    </row>
    <row r="5291">
      <c r="A5291" s="286"/>
      <c r="B5291" s="286"/>
      <c r="C5291" s="287"/>
      <c r="D5291" s="286"/>
      <c r="E5291" s="286"/>
    </row>
    <row r="5292">
      <c r="A5292" s="286"/>
      <c r="B5292" s="286"/>
      <c r="C5292" s="287"/>
      <c r="D5292" s="286"/>
      <c r="E5292" s="286"/>
    </row>
    <row r="5293">
      <c r="A5293" s="286"/>
      <c r="B5293" s="286"/>
      <c r="C5293" s="287"/>
      <c r="D5293" s="286"/>
      <c r="E5293" s="286"/>
    </row>
    <row r="5294">
      <c r="A5294" s="286"/>
      <c r="B5294" s="286"/>
      <c r="C5294" s="287"/>
      <c r="D5294" s="286"/>
      <c r="E5294" s="286"/>
    </row>
    <row r="5295">
      <c r="A5295" s="286"/>
      <c r="B5295" s="286"/>
      <c r="C5295" s="287"/>
      <c r="D5295" s="286"/>
      <c r="E5295" s="286"/>
    </row>
    <row r="5296">
      <c r="A5296" s="286"/>
      <c r="B5296" s="286"/>
      <c r="C5296" s="287"/>
      <c r="D5296" s="286"/>
      <c r="E5296" s="286"/>
    </row>
    <row r="5297">
      <c r="A5297" s="286"/>
      <c r="B5297" s="286"/>
      <c r="C5297" s="287"/>
      <c r="D5297" s="286"/>
      <c r="E5297" s="286"/>
    </row>
    <row r="5298">
      <c r="A5298" s="286"/>
      <c r="B5298" s="286"/>
      <c r="C5298" s="287"/>
      <c r="D5298" s="286"/>
      <c r="E5298" s="286"/>
    </row>
    <row r="5299">
      <c r="A5299" s="286"/>
      <c r="B5299" s="286"/>
      <c r="C5299" s="287"/>
      <c r="D5299" s="286"/>
      <c r="E5299" s="286"/>
    </row>
    <row r="5300">
      <c r="A5300" s="286"/>
      <c r="B5300" s="286"/>
      <c r="C5300" s="287"/>
      <c r="D5300" s="286"/>
      <c r="E5300" s="286"/>
    </row>
    <row r="5301">
      <c r="A5301" s="286"/>
      <c r="B5301" s="286"/>
      <c r="C5301" s="287"/>
      <c r="D5301" s="286"/>
      <c r="E5301" s="286"/>
    </row>
    <row r="5302">
      <c r="A5302" s="286"/>
      <c r="B5302" s="286"/>
      <c r="C5302" s="287"/>
      <c r="D5302" s="286"/>
      <c r="E5302" s="286"/>
    </row>
    <row r="5303">
      <c r="A5303" s="286"/>
      <c r="B5303" s="286"/>
      <c r="C5303" s="287"/>
      <c r="D5303" s="286"/>
      <c r="E5303" s="286"/>
    </row>
    <row r="5304">
      <c r="A5304" s="286"/>
      <c r="B5304" s="286"/>
      <c r="C5304" s="287"/>
      <c r="D5304" s="286"/>
      <c r="E5304" s="286"/>
    </row>
    <row r="5305">
      <c r="A5305" s="286"/>
      <c r="B5305" s="286"/>
      <c r="C5305" s="287"/>
      <c r="D5305" s="286"/>
      <c r="E5305" s="286"/>
    </row>
    <row r="5306">
      <c r="A5306" s="286"/>
      <c r="B5306" s="286"/>
      <c r="C5306" s="287"/>
      <c r="D5306" s="286"/>
      <c r="E5306" s="286"/>
    </row>
    <row r="5307">
      <c r="A5307" s="286"/>
      <c r="B5307" s="286"/>
      <c r="C5307" s="287"/>
      <c r="D5307" s="286"/>
      <c r="E5307" s="286"/>
    </row>
    <row r="5308">
      <c r="A5308" s="286"/>
      <c r="B5308" s="286"/>
      <c r="C5308" s="287"/>
      <c r="D5308" s="286"/>
      <c r="E5308" s="286"/>
    </row>
    <row r="5309">
      <c r="A5309" s="286"/>
      <c r="B5309" s="286"/>
      <c r="C5309" s="287"/>
      <c r="D5309" s="286"/>
      <c r="E5309" s="286"/>
    </row>
    <row r="5310">
      <c r="A5310" s="286"/>
      <c r="B5310" s="286"/>
      <c r="C5310" s="287"/>
      <c r="D5310" s="286"/>
      <c r="E5310" s="286"/>
    </row>
    <row r="5311">
      <c r="A5311" s="286"/>
      <c r="B5311" s="286"/>
      <c r="C5311" s="287"/>
      <c r="D5311" s="286"/>
      <c r="E5311" s="286"/>
    </row>
    <row r="5312">
      <c r="A5312" s="286"/>
      <c r="B5312" s="286"/>
      <c r="C5312" s="287"/>
      <c r="D5312" s="286"/>
      <c r="E5312" s="286"/>
    </row>
    <row r="5313">
      <c r="A5313" s="286"/>
      <c r="B5313" s="286"/>
      <c r="C5313" s="287"/>
      <c r="D5313" s="286"/>
      <c r="E5313" s="286"/>
    </row>
    <row r="5314">
      <c r="A5314" s="286"/>
      <c r="B5314" s="286"/>
      <c r="C5314" s="287"/>
      <c r="D5314" s="286"/>
      <c r="E5314" s="286"/>
    </row>
    <row r="5315">
      <c r="A5315" s="286"/>
      <c r="B5315" s="286"/>
      <c r="C5315" s="287"/>
      <c r="D5315" s="286"/>
      <c r="E5315" s="286"/>
    </row>
    <row r="5316">
      <c r="A5316" s="286"/>
      <c r="B5316" s="286"/>
      <c r="C5316" s="287"/>
      <c r="D5316" s="286"/>
      <c r="E5316" s="286"/>
    </row>
    <row r="5317">
      <c r="A5317" s="286"/>
      <c r="B5317" s="286"/>
      <c r="C5317" s="287"/>
      <c r="D5317" s="286"/>
      <c r="E5317" s="286"/>
    </row>
    <row r="5318">
      <c r="A5318" s="286"/>
      <c r="B5318" s="286"/>
      <c r="C5318" s="287"/>
      <c r="D5318" s="286"/>
      <c r="E5318" s="286"/>
    </row>
    <row r="5319">
      <c r="A5319" s="286"/>
      <c r="B5319" s="286"/>
      <c r="C5319" s="287"/>
      <c r="D5319" s="286"/>
      <c r="E5319" s="286"/>
    </row>
    <row r="5320">
      <c r="A5320" s="286"/>
      <c r="B5320" s="286"/>
      <c r="C5320" s="287"/>
      <c r="D5320" s="286"/>
      <c r="E5320" s="286"/>
    </row>
    <row r="5321">
      <c r="A5321" s="286"/>
      <c r="B5321" s="286"/>
      <c r="C5321" s="287"/>
      <c r="D5321" s="286"/>
      <c r="E5321" s="286"/>
    </row>
    <row r="5322">
      <c r="A5322" s="286"/>
      <c r="B5322" s="286"/>
      <c r="C5322" s="287"/>
      <c r="D5322" s="286"/>
      <c r="E5322" s="286"/>
    </row>
    <row r="5323">
      <c r="A5323" s="286"/>
      <c r="B5323" s="286"/>
      <c r="C5323" s="287"/>
      <c r="D5323" s="286"/>
      <c r="E5323" s="286"/>
    </row>
    <row r="5324">
      <c r="A5324" s="286"/>
      <c r="B5324" s="286"/>
      <c r="C5324" s="287"/>
      <c r="D5324" s="286"/>
      <c r="E5324" s="286"/>
    </row>
    <row r="5325">
      <c r="A5325" s="286"/>
      <c r="B5325" s="286"/>
      <c r="C5325" s="287"/>
      <c r="D5325" s="286"/>
      <c r="E5325" s="286"/>
    </row>
    <row r="5326">
      <c r="A5326" s="286"/>
      <c r="B5326" s="286"/>
      <c r="C5326" s="287"/>
      <c r="D5326" s="286"/>
      <c r="E5326" s="286"/>
    </row>
    <row r="5327">
      <c r="A5327" s="286"/>
      <c r="B5327" s="286"/>
      <c r="C5327" s="287"/>
      <c r="D5327" s="286"/>
      <c r="E5327" s="286"/>
    </row>
    <row r="5328">
      <c r="A5328" s="286"/>
      <c r="B5328" s="286"/>
      <c r="C5328" s="287"/>
      <c r="D5328" s="286"/>
      <c r="E5328" s="286"/>
    </row>
    <row r="5329">
      <c r="A5329" s="286"/>
      <c r="B5329" s="286"/>
      <c r="C5329" s="287"/>
      <c r="D5329" s="286"/>
      <c r="E5329" s="286"/>
    </row>
    <row r="5330">
      <c r="A5330" s="286"/>
      <c r="B5330" s="286"/>
      <c r="C5330" s="287"/>
      <c r="D5330" s="286"/>
      <c r="E5330" s="286"/>
    </row>
    <row r="5331">
      <c r="A5331" s="286"/>
      <c r="B5331" s="286"/>
      <c r="C5331" s="287"/>
      <c r="D5331" s="286"/>
      <c r="E5331" s="286"/>
    </row>
    <row r="5332">
      <c r="A5332" s="286"/>
      <c r="B5332" s="286"/>
      <c r="C5332" s="287"/>
      <c r="D5332" s="286"/>
      <c r="E5332" s="286"/>
    </row>
    <row r="5333">
      <c r="A5333" s="286"/>
      <c r="B5333" s="286"/>
      <c r="C5333" s="287"/>
      <c r="D5333" s="286"/>
      <c r="E5333" s="286"/>
    </row>
    <row r="5334">
      <c r="A5334" s="286"/>
      <c r="B5334" s="286"/>
      <c r="C5334" s="287"/>
      <c r="D5334" s="286"/>
      <c r="E5334" s="286"/>
    </row>
    <row r="5335">
      <c r="A5335" s="286"/>
      <c r="B5335" s="286"/>
      <c r="C5335" s="287"/>
      <c r="D5335" s="286"/>
      <c r="E5335" s="286"/>
    </row>
    <row r="5336">
      <c r="A5336" s="286"/>
      <c r="B5336" s="286"/>
      <c r="C5336" s="287"/>
      <c r="D5336" s="286"/>
      <c r="E5336" s="286"/>
    </row>
    <row r="5337">
      <c r="A5337" s="286"/>
      <c r="B5337" s="286"/>
      <c r="C5337" s="287"/>
      <c r="D5337" s="286"/>
      <c r="E5337" s="286"/>
    </row>
    <row r="5338">
      <c r="A5338" s="286"/>
      <c r="B5338" s="286"/>
      <c r="C5338" s="287"/>
      <c r="D5338" s="286"/>
      <c r="E5338" s="286"/>
    </row>
    <row r="5339">
      <c r="A5339" s="286"/>
      <c r="B5339" s="286"/>
      <c r="C5339" s="287"/>
      <c r="D5339" s="286"/>
      <c r="E5339" s="286"/>
    </row>
    <row r="5340">
      <c r="A5340" s="286"/>
      <c r="B5340" s="286"/>
      <c r="C5340" s="287"/>
      <c r="D5340" s="286"/>
      <c r="E5340" s="286"/>
    </row>
    <row r="5341">
      <c r="A5341" s="286"/>
      <c r="B5341" s="286"/>
      <c r="C5341" s="287"/>
      <c r="D5341" s="286"/>
      <c r="E5341" s="286"/>
    </row>
    <row r="5342">
      <c r="A5342" s="286"/>
      <c r="B5342" s="286"/>
      <c r="C5342" s="287"/>
      <c r="D5342" s="286"/>
      <c r="E5342" s="286"/>
    </row>
    <row r="5343">
      <c r="A5343" s="286"/>
      <c r="B5343" s="286"/>
      <c r="C5343" s="287"/>
      <c r="D5343" s="286"/>
      <c r="E5343" s="286"/>
    </row>
    <row r="5344">
      <c r="A5344" s="286"/>
      <c r="B5344" s="286"/>
      <c r="C5344" s="287"/>
      <c r="D5344" s="286"/>
      <c r="E5344" s="286"/>
    </row>
    <row r="5345">
      <c r="A5345" s="286"/>
      <c r="B5345" s="286"/>
      <c r="C5345" s="287"/>
      <c r="D5345" s="286"/>
      <c r="E5345" s="286"/>
    </row>
    <row r="5346">
      <c r="A5346" s="286"/>
      <c r="B5346" s="286"/>
      <c r="C5346" s="287"/>
      <c r="D5346" s="286"/>
      <c r="E5346" s="286"/>
    </row>
    <row r="5347">
      <c r="A5347" s="286"/>
      <c r="B5347" s="286"/>
      <c r="C5347" s="287"/>
      <c r="D5347" s="286"/>
      <c r="E5347" s="286"/>
    </row>
    <row r="5348">
      <c r="A5348" s="286"/>
      <c r="B5348" s="286"/>
      <c r="C5348" s="287"/>
      <c r="D5348" s="286"/>
      <c r="E5348" s="286"/>
    </row>
    <row r="5349">
      <c r="A5349" s="286"/>
      <c r="B5349" s="286"/>
      <c r="C5349" s="287"/>
      <c r="D5349" s="286"/>
      <c r="E5349" s="286"/>
    </row>
    <row r="5350">
      <c r="A5350" s="286"/>
      <c r="B5350" s="286"/>
      <c r="C5350" s="287"/>
      <c r="D5350" s="286"/>
      <c r="E5350" s="286"/>
    </row>
    <row r="5351">
      <c r="A5351" s="286"/>
      <c r="B5351" s="286"/>
      <c r="C5351" s="287"/>
      <c r="D5351" s="286"/>
      <c r="E5351" s="286"/>
    </row>
    <row r="5352">
      <c r="A5352" s="286"/>
      <c r="B5352" s="286"/>
      <c r="C5352" s="287"/>
      <c r="D5352" s="286"/>
      <c r="E5352" s="286"/>
    </row>
    <row r="5353">
      <c r="A5353" s="286"/>
      <c r="B5353" s="286"/>
      <c r="C5353" s="287"/>
      <c r="D5353" s="286"/>
      <c r="E5353" s="286"/>
    </row>
    <row r="5354">
      <c r="A5354" s="286"/>
      <c r="B5354" s="286"/>
      <c r="C5354" s="287"/>
      <c r="D5354" s="286"/>
      <c r="E5354" s="286"/>
    </row>
    <row r="5355">
      <c r="A5355" s="286"/>
      <c r="B5355" s="286"/>
      <c r="C5355" s="287"/>
      <c r="D5355" s="286"/>
      <c r="E5355" s="286"/>
    </row>
    <row r="5356">
      <c r="A5356" s="286"/>
      <c r="B5356" s="286"/>
      <c r="C5356" s="287"/>
      <c r="D5356" s="286"/>
      <c r="E5356" s="286"/>
    </row>
    <row r="5357">
      <c r="A5357" s="286"/>
      <c r="B5357" s="286"/>
      <c r="C5357" s="287"/>
      <c r="D5357" s="286"/>
      <c r="E5357" s="286"/>
    </row>
    <row r="5358">
      <c r="A5358" s="286"/>
      <c r="B5358" s="286"/>
      <c r="C5358" s="287"/>
      <c r="D5358" s="286"/>
      <c r="E5358" s="286"/>
    </row>
    <row r="5359">
      <c r="A5359" s="286"/>
      <c r="B5359" s="286"/>
      <c r="C5359" s="287"/>
      <c r="D5359" s="286"/>
      <c r="E5359" s="286"/>
    </row>
    <row r="5360">
      <c r="A5360" s="286"/>
      <c r="B5360" s="286"/>
      <c r="C5360" s="287"/>
      <c r="D5360" s="286"/>
      <c r="E5360" s="286"/>
    </row>
    <row r="5361">
      <c r="A5361" s="286"/>
      <c r="B5361" s="286"/>
      <c r="C5361" s="287"/>
      <c r="D5361" s="286"/>
      <c r="E5361" s="286"/>
    </row>
    <row r="5362">
      <c r="A5362" s="286"/>
      <c r="B5362" s="286"/>
      <c r="C5362" s="287"/>
      <c r="D5362" s="286"/>
      <c r="E5362" s="286"/>
    </row>
    <row r="5363">
      <c r="A5363" s="286"/>
      <c r="B5363" s="286"/>
      <c r="C5363" s="287"/>
      <c r="D5363" s="286"/>
      <c r="E5363" s="286"/>
    </row>
    <row r="5364">
      <c r="A5364" s="286"/>
      <c r="B5364" s="286"/>
      <c r="C5364" s="287"/>
      <c r="D5364" s="286"/>
      <c r="E5364" s="286"/>
    </row>
    <row r="5365">
      <c r="A5365" s="286"/>
      <c r="B5365" s="286"/>
      <c r="C5365" s="287"/>
      <c r="D5365" s="286"/>
      <c r="E5365" s="286"/>
    </row>
    <row r="5366">
      <c r="A5366" s="286"/>
      <c r="B5366" s="286"/>
      <c r="C5366" s="287"/>
      <c r="D5366" s="286"/>
      <c r="E5366" s="286"/>
    </row>
    <row r="5367">
      <c r="A5367" s="286"/>
      <c r="B5367" s="286"/>
      <c r="C5367" s="287"/>
      <c r="D5367" s="286"/>
      <c r="E5367" s="286"/>
    </row>
    <row r="5368">
      <c r="A5368" s="286"/>
      <c r="B5368" s="286"/>
      <c r="C5368" s="287"/>
      <c r="D5368" s="286"/>
      <c r="E5368" s="286"/>
    </row>
    <row r="5369">
      <c r="A5369" s="286"/>
      <c r="B5369" s="286"/>
      <c r="C5369" s="287"/>
      <c r="D5369" s="286"/>
      <c r="E5369" s="286"/>
    </row>
    <row r="5370">
      <c r="A5370" s="286"/>
      <c r="B5370" s="286"/>
      <c r="C5370" s="287"/>
      <c r="D5370" s="286"/>
      <c r="E5370" s="286"/>
    </row>
    <row r="5371">
      <c r="A5371" s="286"/>
      <c r="B5371" s="286"/>
      <c r="C5371" s="287"/>
      <c r="D5371" s="286"/>
      <c r="E5371" s="286"/>
    </row>
    <row r="5372">
      <c r="A5372" s="286"/>
      <c r="B5372" s="286"/>
      <c r="C5372" s="287"/>
      <c r="D5372" s="286"/>
      <c r="E5372" s="286"/>
    </row>
    <row r="5373">
      <c r="A5373" s="286"/>
      <c r="B5373" s="286"/>
      <c r="C5373" s="287"/>
      <c r="D5373" s="286"/>
      <c r="E5373" s="286"/>
    </row>
    <row r="5374">
      <c r="A5374" s="286"/>
      <c r="B5374" s="286"/>
      <c r="C5374" s="287"/>
      <c r="D5374" s="286"/>
      <c r="E5374" s="286"/>
    </row>
    <row r="5375">
      <c r="A5375" s="286"/>
      <c r="B5375" s="286"/>
      <c r="C5375" s="287"/>
      <c r="D5375" s="286"/>
      <c r="E5375" s="286"/>
    </row>
    <row r="5376">
      <c r="A5376" s="286"/>
      <c r="B5376" s="286"/>
      <c r="C5376" s="287"/>
      <c r="D5376" s="286"/>
      <c r="E5376" s="286"/>
    </row>
    <row r="5377">
      <c r="A5377" s="286"/>
      <c r="B5377" s="286"/>
      <c r="C5377" s="287"/>
      <c r="D5377" s="286"/>
      <c r="E5377" s="286"/>
    </row>
    <row r="5378">
      <c r="A5378" s="286"/>
      <c r="B5378" s="286"/>
      <c r="C5378" s="287"/>
      <c r="D5378" s="286"/>
      <c r="E5378" s="286"/>
    </row>
    <row r="5379">
      <c r="A5379" s="286"/>
      <c r="B5379" s="286"/>
      <c r="C5379" s="287"/>
      <c r="D5379" s="286"/>
      <c r="E5379" s="286"/>
    </row>
    <row r="5380">
      <c r="A5380" s="286"/>
      <c r="B5380" s="286"/>
      <c r="C5380" s="287"/>
      <c r="D5380" s="286"/>
      <c r="E5380" s="286"/>
    </row>
    <row r="5381">
      <c r="A5381" s="286"/>
      <c r="B5381" s="286"/>
      <c r="C5381" s="287"/>
      <c r="D5381" s="286"/>
      <c r="E5381" s="286"/>
    </row>
    <row r="5382">
      <c r="A5382" s="286"/>
      <c r="B5382" s="286"/>
      <c r="C5382" s="287"/>
      <c r="D5382" s="286"/>
      <c r="E5382" s="286"/>
    </row>
    <row r="5383">
      <c r="A5383" s="286"/>
      <c r="B5383" s="286"/>
      <c r="C5383" s="287"/>
      <c r="D5383" s="286"/>
      <c r="E5383" s="286"/>
    </row>
    <row r="5384">
      <c r="A5384" s="286"/>
      <c r="B5384" s="286"/>
      <c r="C5384" s="287"/>
      <c r="D5384" s="286"/>
      <c r="E5384" s="286"/>
    </row>
    <row r="5385">
      <c r="A5385" s="286"/>
      <c r="B5385" s="286"/>
      <c r="C5385" s="287"/>
      <c r="D5385" s="286"/>
      <c r="E5385" s="286"/>
    </row>
    <row r="5386">
      <c r="A5386" s="286"/>
      <c r="B5386" s="286"/>
      <c r="C5386" s="287"/>
      <c r="D5386" s="286"/>
      <c r="E5386" s="286"/>
    </row>
    <row r="5387">
      <c r="A5387" s="286"/>
      <c r="B5387" s="286"/>
      <c r="C5387" s="287"/>
      <c r="D5387" s="286"/>
      <c r="E5387" s="286"/>
    </row>
    <row r="5388">
      <c r="A5388" s="286"/>
      <c r="B5388" s="286"/>
      <c r="C5388" s="287"/>
      <c r="D5388" s="286"/>
      <c r="E5388" s="286"/>
    </row>
    <row r="5389">
      <c r="A5389" s="286"/>
      <c r="B5389" s="286"/>
      <c r="C5389" s="287"/>
      <c r="D5389" s="286"/>
      <c r="E5389" s="286"/>
    </row>
    <row r="5390">
      <c r="A5390" s="286"/>
      <c r="B5390" s="286"/>
      <c r="C5390" s="287"/>
      <c r="D5390" s="286"/>
      <c r="E5390" s="286"/>
    </row>
    <row r="5391">
      <c r="A5391" s="286"/>
      <c r="B5391" s="286"/>
      <c r="C5391" s="287"/>
      <c r="D5391" s="286"/>
      <c r="E5391" s="286"/>
    </row>
    <row r="5392">
      <c r="A5392" s="286"/>
      <c r="B5392" s="286"/>
      <c r="C5392" s="287"/>
      <c r="D5392" s="286"/>
      <c r="E5392" s="286"/>
    </row>
    <row r="5393">
      <c r="A5393" s="286"/>
      <c r="B5393" s="286"/>
      <c r="C5393" s="287"/>
      <c r="D5393" s="286"/>
      <c r="E5393" s="286"/>
    </row>
    <row r="5394">
      <c r="A5394" s="286"/>
      <c r="B5394" s="286"/>
      <c r="C5394" s="287"/>
      <c r="D5394" s="286"/>
      <c r="E5394" s="286"/>
    </row>
    <row r="5395">
      <c r="A5395" s="286"/>
      <c r="B5395" s="286"/>
      <c r="C5395" s="287"/>
      <c r="D5395" s="286"/>
      <c r="E5395" s="286"/>
    </row>
    <row r="5396">
      <c r="A5396" s="286"/>
      <c r="B5396" s="286"/>
      <c r="C5396" s="287"/>
      <c r="D5396" s="286"/>
      <c r="E5396" s="286"/>
    </row>
    <row r="5397">
      <c r="A5397" s="286"/>
      <c r="B5397" s="286"/>
      <c r="C5397" s="287"/>
      <c r="D5397" s="286"/>
      <c r="E5397" s="286"/>
    </row>
    <row r="5398">
      <c r="A5398" s="286"/>
      <c r="B5398" s="286"/>
      <c r="C5398" s="287"/>
      <c r="D5398" s="286"/>
      <c r="E5398" s="286"/>
    </row>
    <row r="5399">
      <c r="A5399" s="286"/>
      <c r="B5399" s="286"/>
      <c r="C5399" s="287"/>
      <c r="D5399" s="286"/>
      <c r="E5399" s="286"/>
    </row>
    <row r="5400">
      <c r="A5400" s="286"/>
      <c r="B5400" s="286"/>
      <c r="C5400" s="287"/>
      <c r="D5400" s="286"/>
      <c r="E5400" s="286"/>
    </row>
    <row r="5401">
      <c r="A5401" s="286"/>
      <c r="B5401" s="286"/>
      <c r="C5401" s="287"/>
      <c r="D5401" s="286"/>
      <c r="E5401" s="286"/>
    </row>
    <row r="5402">
      <c r="A5402" s="286"/>
      <c r="B5402" s="286"/>
      <c r="C5402" s="287"/>
      <c r="D5402" s="286"/>
      <c r="E5402" s="286"/>
    </row>
    <row r="5403">
      <c r="A5403" s="286"/>
      <c r="B5403" s="286"/>
      <c r="C5403" s="287"/>
      <c r="D5403" s="286"/>
      <c r="E5403" s="286"/>
    </row>
    <row r="5404">
      <c r="A5404" s="286"/>
      <c r="B5404" s="286"/>
      <c r="C5404" s="287"/>
      <c r="D5404" s="286"/>
      <c r="E5404" s="286"/>
    </row>
    <row r="5405">
      <c r="A5405" s="286"/>
      <c r="B5405" s="286"/>
      <c r="C5405" s="287"/>
      <c r="D5405" s="286"/>
      <c r="E5405" s="286"/>
    </row>
    <row r="5406">
      <c r="A5406" s="286"/>
      <c r="B5406" s="286"/>
      <c r="C5406" s="287"/>
      <c r="D5406" s="286"/>
      <c r="E5406" s="286"/>
    </row>
    <row r="5407">
      <c r="A5407" s="286"/>
      <c r="B5407" s="286"/>
      <c r="C5407" s="287"/>
      <c r="D5407" s="286"/>
      <c r="E5407" s="286"/>
    </row>
    <row r="5408">
      <c r="A5408" s="286"/>
      <c r="B5408" s="286"/>
      <c r="C5408" s="287"/>
      <c r="D5408" s="286"/>
      <c r="E5408" s="286"/>
    </row>
    <row r="5409">
      <c r="A5409" s="286"/>
      <c r="B5409" s="286"/>
      <c r="C5409" s="287"/>
      <c r="D5409" s="286"/>
      <c r="E5409" s="286"/>
    </row>
    <row r="5410">
      <c r="A5410" s="286"/>
      <c r="B5410" s="286"/>
      <c r="C5410" s="287"/>
      <c r="D5410" s="286"/>
      <c r="E5410" s="286"/>
    </row>
    <row r="5411">
      <c r="A5411" s="286"/>
      <c r="B5411" s="286"/>
      <c r="C5411" s="287"/>
      <c r="D5411" s="286"/>
      <c r="E5411" s="286"/>
    </row>
    <row r="5412">
      <c r="A5412" s="286"/>
      <c r="B5412" s="286"/>
      <c r="C5412" s="287"/>
      <c r="D5412" s="286"/>
      <c r="E5412" s="286"/>
    </row>
    <row r="5413">
      <c r="A5413" s="286"/>
      <c r="B5413" s="286"/>
      <c r="C5413" s="287"/>
      <c r="D5413" s="286"/>
      <c r="E5413" s="286"/>
    </row>
    <row r="5414">
      <c r="A5414" s="286"/>
      <c r="B5414" s="286"/>
      <c r="C5414" s="287"/>
      <c r="D5414" s="286"/>
      <c r="E5414" s="286"/>
    </row>
    <row r="5415">
      <c r="A5415" s="286"/>
      <c r="B5415" s="286"/>
      <c r="C5415" s="287"/>
      <c r="D5415" s="286"/>
      <c r="E5415" s="286"/>
    </row>
    <row r="5416">
      <c r="A5416" s="286"/>
      <c r="B5416" s="286"/>
      <c r="C5416" s="287"/>
      <c r="D5416" s="286"/>
      <c r="E5416" s="286"/>
    </row>
    <row r="5417">
      <c r="A5417" s="286"/>
      <c r="B5417" s="286"/>
      <c r="C5417" s="287"/>
      <c r="D5417" s="286"/>
      <c r="E5417" s="286"/>
    </row>
    <row r="5418">
      <c r="A5418" s="286"/>
      <c r="B5418" s="286"/>
      <c r="C5418" s="287"/>
      <c r="D5418" s="286"/>
      <c r="E5418" s="286"/>
    </row>
    <row r="5419">
      <c r="A5419" s="286"/>
      <c r="B5419" s="286"/>
      <c r="C5419" s="287"/>
      <c r="D5419" s="286"/>
      <c r="E5419" s="286"/>
    </row>
    <row r="5420">
      <c r="A5420" s="286"/>
      <c r="B5420" s="286"/>
      <c r="C5420" s="287"/>
      <c r="D5420" s="286"/>
      <c r="E5420" s="286"/>
    </row>
    <row r="5421">
      <c r="A5421" s="286"/>
      <c r="B5421" s="286"/>
      <c r="C5421" s="287"/>
      <c r="D5421" s="286"/>
      <c r="E5421" s="286"/>
    </row>
    <row r="5422">
      <c r="A5422" s="286"/>
      <c r="B5422" s="286"/>
      <c r="C5422" s="287"/>
      <c r="D5422" s="286"/>
      <c r="E5422" s="286"/>
    </row>
    <row r="5423">
      <c r="A5423" s="286"/>
      <c r="B5423" s="286"/>
      <c r="C5423" s="287"/>
      <c r="D5423" s="286"/>
      <c r="E5423" s="286"/>
    </row>
    <row r="5424">
      <c r="A5424" s="286"/>
      <c r="B5424" s="286"/>
      <c r="C5424" s="287"/>
      <c r="D5424" s="286"/>
      <c r="E5424" s="286"/>
    </row>
    <row r="5425">
      <c r="A5425" s="286"/>
      <c r="B5425" s="286"/>
      <c r="C5425" s="287"/>
      <c r="D5425" s="286"/>
      <c r="E5425" s="286"/>
    </row>
    <row r="5426">
      <c r="A5426" s="286"/>
      <c r="B5426" s="286"/>
      <c r="C5426" s="287"/>
      <c r="D5426" s="286"/>
      <c r="E5426" s="286"/>
    </row>
    <row r="5427">
      <c r="A5427" s="286"/>
      <c r="B5427" s="286"/>
      <c r="C5427" s="287"/>
      <c r="D5427" s="286"/>
      <c r="E5427" s="286"/>
    </row>
    <row r="5428">
      <c r="A5428" s="286"/>
      <c r="B5428" s="286"/>
      <c r="C5428" s="287"/>
      <c r="D5428" s="286"/>
      <c r="E5428" s="286"/>
    </row>
    <row r="5429">
      <c r="A5429" s="286"/>
      <c r="B5429" s="286"/>
      <c r="C5429" s="287"/>
      <c r="D5429" s="286"/>
      <c r="E5429" s="286"/>
    </row>
    <row r="5430">
      <c r="A5430" s="286"/>
      <c r="B5430" s="286"/>
      <c r="C5430" s="287"/>
      <c r="D5430" s="286"/>
      <c r="E5430" s="286"/>
    </row>
    <row r="5431">
      <c r="A5431" s="286"/>
      <c r="B5431" s="286"/>
      <c r="C5431" s="287"/>
      <c r="D5431" s="286"/>
      <c r="E5431" s="286"/>
    </row>
    <row r="5432">
      <c r="A5432" s="286"/>
      <c r="B5432" s="286"/>
      <c r="C5432" s="287"/>
      <c r="D5432" s="286"/>
      <c r="E5432" s="286"/>
    </row>
    <row r="5433">
      <c r="A5433" s="286"/>
      <c r="B5433" s="286"/>
      <c r="C5433" s="287"/>
      <c r="D5433" s="286"/>
      <c r="E5433" s="286"/>
    </row>
    <row r="5434">
      <c r="A5434" s="286"/>
      <c r="B5434" s="286"/>
      <c r="C5434" s="287"/>
      <c r="D5434" s="286"/>
      <c r="E5434" s="286"/>
    </row>
    <row r="5435">
      <c r="A5435" s="286"/>
      <c r="B5435" s="286"/>
      <c r="C5435" s="287"/>
      <c r="D5435" s="286"/>
      <c r="E5435" s="286"/>
    </row>
    <row r="5436">
      <c r="A5436" s="286"/>
      <c r="B5436" s="286"/>
      <c r="C5436" s="287"/>
      <c r="D5436" s="286"/>
      <c r="E5436" s="286"/>
    </row>
    <row r="5437">
      <c r="A5437" s="286"/>
      <c r="B5437" s="286"/>
      <c r="C5437" s="287"/>
      <c r="D5437" s="286"/>
      <c r="E5437" s="286"/>
    </row>
    <row r="5438">
      <c r="A5438" s="286"/>
      <c r="B5438" s="286"/>
      <c r="C5438" s="287"/>
      <c r="D5438" s="286"/>
      <c r="E5438" s="286"/>
    </row>
    <row r="5439">
      <c r="A5439" s="286"/>
      <c r="B5439" s="286"/>
      <c r="C5439" s="287"/>
      <c r="D5439" s="286"/>
      <c r="E5439" s="286"/>
    </row>
    <row r="5440">
      <c r="A5440" s="286"/>
      <c r="B5440" s="286"/>
      <c r="C5440" s="287"/>
      <c r="D5440" s="286"/>
      <c r="E5440" s="286"/>
    </row>
    <row r="5441">
      <c r="A5441" s="286"/>
      <c r="B5441" s="286"/>
      <c r="C5441" s="287"/>
      <c r="D5441" s="286"/>
      <c r="E5441" s="286"/>
    </row>
    <row r="5442">
      <c r="A5442" s="286"/>
      <c r="B5442" s="286"/>
      <c r="C5442" s="287"/>
      <c r="D5442" s="286"/>
      <c r="E5442" s="286"/>
    </row>
    <row r="5443">
      <c r="A5443" s="286"/>
      <c r="B5443" s="286"/>
      <c r="C5443" s="287"/>
      <c r="D5443" s="286"/>
      <c r="E5443" s="286"/>
    </row>
    <row r="5444">
      <c r="A5444" s="286"/>
      <c r="B5444" s="286"/>
      <c r="C5444" s="287"/>
      <c r="D5444" s="286"/>
      <c r="E5444" s="286"/>
    </row>
    <row r="5445">
      <c r="A5445" s="286"/>
      <c r="B5445" s="286"/>
      <c r="C5445" s="287"/>
      <c r="D5445" s="286"/>
      <c r="E5445" s="286"/>
    </row>
    <row r="5446">
      <c r="A5446" s="286"/>
      <c r="B5446" s="286"/>
      <c r="C5446" s="287"/>
      <c r="D5446" s="286"/>
      <c r="E5446" s="286"/>
    </row>
    <row r="5447">
      <c r="A5447" s="286"/>
      <c r="B5447" s="286"/>
      <c r="C5447" s="287"/>
      <c r="D5447" s="286"/>
      <c r="E5447" s="286"/>
    </row>
    <row r="5448">
      <c r="A5448" s="286"/>
      <c r="B5448" s="286"/>
      <c r="C5448" s="287"/>
      <c r="D5448" s="286"/>
      <c r="E5448" s="286"/>
    </row>
    <row r="5449">
      <c r="A5449" s="286"/>
      <c r="B5449" s="286"/>
      <c r="C5449" s="287"/>
      <c r="D5449" s="286"/>
      <c r="E5449" s="286"/>
    </row>
    <row r="5450">
      <c r="A5450" s="286"/>
      <c r="B5450" s="286"/>
      <c r="C5450" s="287"/>
      <c r="D5450" s="286"/>
      <c r="E5450" s="286"/>
    </row>
    <row r="5451">
      <c r="A5451" s="286"/>
      <c r="B5451" s="286"/>
      <c r="C5451" s="287"/>
      <c r="D5451" s="286"/>
      <c r="E5451" s="286"/>
    </row>
    <row r="5452">
      <c r="A5452" s="286"/>
      <c r="B5452" s="286"/>
      <c r="C5452" s="287"/>
      <c r="D5452" s="286"/>
      <c r="E5452" s="286"/>
    </row>
    <row r="5453">
      <c r="A5453" s="286"/>
      <c r="B5453" s="286"/>
      <c r="C5453" s="287"/>
      <c r="D5453" s="286"/>
      <c r="E5453" s="286"/>
    </row>
    <row r="5454">
      <c r="A5454" s="286"/>
      <c r="B5454" s="286"/>
      <c r="C5454" s="287"/>
      <c r="D5454" s="286"/>
      <c r="E5454" s="286"/>
    </row>
    <row r="5455">
      <c r="A5455" s="286"/>
      <c r="B5455" s="286"/>
      <c r="C5455" s="287"/>
      <c r="D5455" s="286"/>
      <c r="E5455" s="286"/>
    </row>
    <row r="5456">
      <c r="A5456" s="286"/>
      <c r="B5456" s="286"/>
      <c r="C5456" s="287"/>
      <c r="D5456" s="286"/>
      <c r="E5456" s="286"/>
    </row>
    <row r="5457">
      <c r="A5457" s="286"/>
      <c r="B5457" s="286"/>
      <c r="C5457" s="287"/>
      <c r="D5457" s="286"/>
      <c r="E5457" s="286"/>
    </row>
    <row r="5458">
      <c r="A5458" s="286"/>
      <c r="B5458" s="286"/>
      <c r="C5458" s="287"/>
      <c r="D5458" s="286"/>
      <c r="E5458" s="286"/>
    </row>
    <row r="5459">
      <c r="A5459" s="286"/>
      <c r="B5459" s="286"/>
      <c r="C5459" s="287"/>
      <c r="D5459" s="286"/>
      <c r="E5459" s="286"/>
    </row>
    <row r="5460">
      <c r="A5460" s="286"/>
      <c r="B5460" s="286"/>
      <c r="C5460" s="287"/>
      <c r="D5460" s="286"/>
      <c r="E5460" s="286"/>
    </row>
    <row r="5461">
      <c r="A5461" s="286"/>
      <c r="B5461" s="286"/>
      <c r="C5461" s="287"/>
      <c r="D5461" s="286"/>
      <c r="E5461" s="286"/>
    </row>
    <row r="5462">
      <c r="A5462" s="286"/>
      <c r="B5462" s="286"/>
      <c r="C5462" s="287"/>
      <c r="D5462" s="286"/>
      <c r="E5462" s="286"/>
    </row>
    <row r="5463">
      <c r="A5463" s="286"/>
      <c r="B5463" s="286"/>
      <c r="C5463" s="287"/>
      <c r="D5463" s="286"/>
      <c r="E5463" s="286"/>
    </row>
    <row r="5464">
      <c r="A5464" s="286"/>
      <c r="B5464" s="286"/>
      <c r="C5464" s="287"/>
      <c r="D5464" s="286"/>
      <c r="E5464" s="286"/>
    </row>
    <row r="5465">
      <c r="A5465" s="286"/>
      <c r="B5465" s="286"/>
      <c r="C5465" s="287"/>
      <c r="D5465" s="286"/>
      <c r="E5465" s="286"/>
    </row>
    <row r="5466">
      <c r="A5466" s="286"/>
      <c r="B5466" s="286"/>
      <c r="C5466" s="287"/>
      <c r="D5466" s="286"/>
      <c r="E5466" s="286"/>
    </row>
    <row r="5467">
      <c r="A5467" s="286"/>
      <c r="B5467" s="286"/>
      <c r="C5467" s="287"/>
      <c r="D5467" s="286"/>
      <c r="E5467" s="286"/>
    </row>
    <row r="5468">
      <c r="A5468" s="286"/>
      <c r="B5468" s="286"/>
      <c r="C5468" s="287"/>
      <c r="D5468" s="286"/>
      <c r="E5468" s="286"/>
    </row>
    <row r="5469">
      <c r="A5469" s="286"/>
      <c r="B5469" s="286"/>
      <c r="C5469" s="287"/>
      <c r="D5469" s="286"/>
      <c r="E5469" s="286"/>
    </row>
    <row r="5470">
      <c r="A5470" s="286"/>
      <c r="B5470" s="286"/>
      <c r="C5470" s="287"/>
      <c r="D5470" s="286"/>
      <c r="E5470" s="286"/>
    </row>
    <row r="5471">
      <c r="A5471" s="286"/>
      <c r="B5471" s="286"/>
      <c r="C5471" s="287"/>
      <c r="D5471" s="286"/>
      <c r="E5471" s="286"/>
    </row>
    <row r="5472">
      <c r="A5472" s="286"/>
      <c r="B5472" s="286"/>
      <c r="C5472" s="287"/>
      <c r="D5472" s="286"/>
      <c r="E5472" s="286"/>
    </row>
    <row r="5473">
      <c r="A5473" s="286"/>
      <c r="B5473" s="286"/>
      <c r="C5473" s="287"/>
      <c r="D5473" s="286"/>
      <c r="E5473" s="286"/>
    </row>
    <row r="5474">
      <c r="A5474" s="286"/>
      <c r="B5474" s="286"/>
      <c r="C5474" s="287"/>
      <c r="D5474" s="286"/>
      <c r="E5474" s="286"/>
    </row>
    <row r="5475">
      <c r="A5475" s="286"/>
      <c r="B5475" s="286"/>
      <c r="C5475" s="287"/>
      <c r="D5475" s="286"/>
      <c r="E5475" s="286"/>
    </row>
    <row r="5476">
      <c r="A5476" s="286"/>
      <c r="B5476" s="286"/>
      <c r="C5476" s="287"/>
      <c r="D5476" s="286"/>
      <c r="E5476" s="286"/>
    </row>
    <row r="5477">
      <c r="A5477" s="286"/>
      <c r="B5477" s="286"/>
      <c r="C5477" s="287"/>
      <c r="D5477" s="286"/>
      <c r="E5477" s="286"/>
    </row>
    <row r="5478">
      <c r="A5478" s="286"/>
      <c r="B5478" s="286"/>
      <c r="C5478" s="287"/>
      <c r="D5478" s="286"/>
      <c r="E5478" s="286"/>
    </row>
    <row r="5479">
      <c r="A5479" s="286"/>
      <c r="B5479" s="286"/>
      <c r="C5479" s="287"/>
      <c r="D5479" s="286"/>
      <c r="E5479" s="286"/>
    </row>
    <row r="5480">
      <c r="A5480" s="286"/>
      <c r="B5480" s="286"/>
      <c r="C5480" s="287"/>
      <c r="D5480" s="286"/>
      <c r="E5480" s="286"/>
    </row>
    <row r="5481">
      <c r="A5481" s="286"/>
      <c r="B5481" s="286"/>
      <c r="C5481" s="287"/>
      <c r="D5481" s="286"/>
      <c r="E5481" s="286"/>
    </row>
    <row r="5482">
      <c r="A5482" s="286"/>
      <c r="B5482" s="286"/>
      <c r="C5482" s="287"/>
      <c r="D5482" s="286"/>
      <c r="E5482" s="286"/>
    </row>
    <row r="5483">
      <c r="A5483" s="286"/>
      <c r="B5483" s="286"/>
      <c r="C5483" s="287"/>
      <c r="D5483" s="286"/>
      <c r="E5483" s="286"/>
    </row>
    <row r="5484">
      <c r="A5484" s="286"/>
      <c r="B5484" s="286"/>
      <c r="C5484" s="287"/>
      <c r="D5484" s="286"/>
      <c r="E5484" s="286"/>
    </row>
    <row r="5485">
      <c r="A5485" s="286"/>
      <c r="B5485" s="286"/>
      <c r="C5485" s="287"/>
      <c r="D5485" s="286"/>
      <c r="E5485" s="286"/>
    </row>
    <row r="5486">
      <c r="A5486" s="286"/>
      <c r="B5486" s="286"/>
      <c r="C5486" s="287"/>
      <c r="D5486" s="286"/>
      <c r="E5486" s="286"/>
    </row>
    <row r="5487">
      <c r="A5487" s="286"/>
      <c r="B5487" s="286"/>
      <c r="C5487" s="287"/>
      <c r="D5487" s="286"/>
      <c r="E5487" s="286"/>
    </row>
    <row r="5488">
      <c r="A5488" s="286"/>
      <c r="B5488" s="286"/>
      <c r="C5488" s="287"/>
      <c r="D5488" s="286"/>
      <c r="E5488" s="286"/>
    </row>
    <row r="5489">
      <c r="A5489" s="286"/>
      <c r="B5489" s="286"/>
      <c r="C5489" s="287"/>
      <c r="D5489" s="286"/>
      <c r="E5489" s="286"/>
    </row>
    <row r="5490">
      <c r="A5490" s="286"/>
      <c r="B5490" s="286"/>
      <c r="C5490" s="287"/>
      <c r="D5490" s="286"/>
      <c r="E5490" s="286"/>
    </row>
    <row r="5491">
      <c r="A5491" s="286"/>
      <c r="B5491" s="286"/>
      <c r="C5491" s="287"/>
      <c r="D5491" s="286"/>
      <c r="E5491" s="286"/>
    </row>
    <row r="5492">
      <c r="A5492" s="286"/>
      <c r="B5492" s="286"/>
      <c r="C5492" s="287"/>
      <c r="D5492" s="286"/>
      <c r="E5492" s="286"/>
    </row>
    <row r="5493">
      <c r="A5493" s="286"/>
      <c r="B5493" s="286"/>
      <c r="C5493" s="287"/>
      <c r="D5493" s="286"/>
      <c r="E5493" s="286"/>
    </row>
    <row r="5494">
      <c r="A5494" s="286"/>
      <c r="B5494" s="286"/>
      <c r="C5494" s="287"/>
      <c r="D5494" s="286"/>
      <c r="E5494" s="286"/>
    </row>
    <row r="5495">
      <c r="A5495" s="286"/>
      <c r="B5495" s="286"/>
      <c r="C5495" s="287"/>
      <c r="D5495" s="286"/>
      <c r="E5495" s="286"/>
    </row>
    <row r="5496">
      <c r="A5496" s="286"/>
      <c r="B5496" s="286"/>
      <c r="C5496" s="287"/>
      <c r="D5496" s="286"/>
      <c r="E5496" s="286"/>
    </row>
    <row r="5497">
      <c r="A5497" s="286"/>
      <c r="B5497" s="286"/>
      <c r="C5497" s="287"/>
      <c r="D5497" s="286"/>
      <c r="E5497" s="286"/>
    </row>
    <row r="5498">
      <c r="A5498" s="286"/>
      <c r="B5498" s="286"/>
      <c r="C5498" s="287"/>
      <c r="D5498" s="286"/>
      <c r="E5498" s="286"/>
    </row>
    <row r="5499">
      <c r="A5499" s="286"/>
      <c r="B5499" s="286"/>
      <c r="C5499" s="287"/>
      <c r="D5499" s="286"/>
      <c r="E5499" s="286"/>
    </row>
    <row r="5500">
      <c r="A5500" s="286"/>
      <c r="B5500" s="286"/>
      <c r="C5500" s="287"/>
      <c r="D5500" s="286"/>
      <c r="E5500" s="286"/>
    </row>
    <row r="5501">
      <c r="A5501" s="286"/>
      <c r="B5501" s="286"/>
      <c r="C5501" s="287"/>
      <c r="D5501" s="286"/>
      <c r="E5501" s="286"/>
    </row>
    <row r="5502">
      <c r="A5502" s="286"/>
      <c r="B5502" s="286"/>
      <c r="C5502" s="287"/>
      <c r="D5502" s="286"/>
      <c r="E5502" s="286"/>
    </row>
    <row r="5503">
      <c r="A5503" s="286"/>
      <c r="B5503" s="286"/>
      <c r="C5503" s="287"/>
      <c r="D5503" s="286"/>
      <c r="E5503" s="286"/>
    </row>
    <row r="5504">
      <c r="A5504" s="286"/>
      <c r="B5504" s="286"/>
      <c r="C5504" s="287"/>
      <c r="D5504" s="286"/>
      <c r="E5504" s="286"/>
    </row>
    <row r="5505">
      <c r="A5505" s="286"/>
      <c r="B5505" s="286"/>
      <c r="C5505" s="287"/>
      <c r="D5505" s="286"/>
      <c r="E5505" s="286"/>
    </row>
    <row r="5506">
      <c r="A5506" s="286"/>
      <c r="B5506" s="286"/>
      <c r="C5506" s="287"/>
      <c r="D5506" s="286"/>
      <c r="E5506" s="286"/>
    </row>
    <row r="5507">
      <c r="A5507" s="286"/>
      <c r="B5507" s="286"/>
      <c r="C5507" s="287"/>
      <c r="D5507" s="286"/>
      <c r="E5507" s="286"/>
    </row>
    <row r="5508">
      <c r="A5508" s="286"/>
      <c r="B5508" s="286"/>
      <c r="C5508" s="287"/>
      <c r="D5508" s="286"/>
      <c r="E5508" s="286"/>
    </row>
    <row r="5509">
      <c r="A5509" s="286"/>
      <c r="B5509" s="286"/>
      <c r="C5509" s="287"/>
      <c r="D5509" s="286"/>
      <c r="E5509" s="286"/>
    </row>
    <row r="5510">
      <c r="A5510" s="286"/>
      <c r="B5510" s="286"/>
      <c r="C5510" s="287"/>
      <c r="D5510" s="286"/>
      <c r="E5510" s="286"/>
    </row>
    <row r="5511">
      <c r="A5511" s="286"/>
      <c r="B5511" s="286"/>
      <c r="C5511" s="287"/>
      <c r="D5511" s="286"/>
      <c r="E5511" s="286"/>
    </row>
    <row r="5512">
      <c r="A5512" s="286"/>
      <c r="B5512" s="286"/>
      <c r="C5512" s="287"/>
      <c r="D5512" s="286"/>
      <c r="E5512" s="286"/>
    </row>
    <row r="5513">
      <c r="A5513" s="286"/>
      <c r="B5513" s="286"/>
      <c r="C5513" s="287"/>
      <c r="D5513" s="286"/>
      <c r="E5513" s="286"/>
    </row>
    <row r="5514">
      <c r="A5514" s="286"/>
      <c r="B5514" s="286"/>
      <c r="C5514" s="287"/>
      <c r="D5514" s="286"/>
      <c r="E5514" s="286"/>
    </row>
    <row r="5515">
      <c r="A5515" s="286"/>
      <c r="B5515" s="286"/>
      <c r="C5515" s="287"/>
      <c r="D5515" s="286"/>
      <c r="E5515" s="286"/>
    </row>
    <row r="5516">
      <c r="A5516" s="286"/>
      <c r="B5516" s="286"/>
      <c r="C5516" s="287"/>
      <c r="D5516" s="286"/>
      <c r="E5516" s="286"/>
    </row>
    <row r="5517">
      <c r="A5517" s="286"/>
      <c r="B5517" s="286"/>
      <c r="C5517" s="287"/>
      <c r="D5517" s="286"/>
      <c r="E5517" s="286"/>
    </row>
    <row r="5518">
      <c r="A5518" s="286"/>
      <c r="B5518" s="286"/>
      <c r="C5518" s="287"/>
      <c r="D5518" s="286"/>
      <c r="E5518" s="286"/>
    </row>
    <row r="5519">
      <c r="A5519" s="286"/>
      <c r="B5519" s="286"/>
      <c r="C5519" s="287"/>
      <c r="D5519" s="286"/>
      <c r="E5519" s="286"/>
    </row>
    <row r="5520">
      <c r="A5520" s="286"/>
      <c r="B5520" s="286"/>
      <c r="C5520" s="287"/>
      <c r="D5520" s="286"/>
      <c r="E5520" s="286"/>
    </row>
    <row r="5521">
      <c r="A5521" s="286"/>
      <c r="B5521" s="286"/>
      <c r="C5521" s="287"/>
      <c r="D5521" s="286"/>
      <c r="E5521" s="286"/>
    </row>
    <row r="5522">
      <c r="A5522" s="286"/>
      <c r="B5522" s="286"/>
      <c r="C5522" s="287"/>
      <c r="D5522" s="286"/>
      <c r="E5522" s="286"/>
    </row>
    <row r="5523">
      <c r="A5523" s="286"/>
      <c r="B5523" s="286"/>
      <c r="C5523" s="287"/>
      <c r="D5523" s="286"/>
      <c r="E5523" s="286"/>
    </row>
    <row r="5524">
      <c r="A5524" s="286"/>
      <c r="B5524" s="286"/>
      <c r="C5524" s="287"/>
      <c r="D5524" s="286"/>
      <c r="E5524" s="286"/>
    </row>
    <row r="5525">
      <c r="A5525" s="286"/>
      <c r="B5525" s="286"/>
      <c r="C5525" s="287"/>
      <c r="D5525" s="286"/>
      <c r="E5525" s="286"/>
    </row>
    <row r="5526">
      <c r="A5526" s="286"/>
      <c r="B5526" s="286"/>
      <c r="C5526" s="287"/>
      <c r="D5526" s="286"/>
      <c r="E5526" s="286"/>
    </row>
    <row r="5527">
      <c r="A5527" s="286"/>
      <c r="B5527" s="286"/>
      <c r="C5527" s="287"/>
      <c r="D5527" s="286"/>
      <c r="E5527" s="286"/>
    </row>
    <row r="5528">
      <c r="A5528" s="286"/>
      <c r="B5528" s="286"/>
      <c r="C5528" s="287"/>
      <c r="D5528" s="286"/>
      <c r="E5528" s="286"/>
    </row>
    <row r="5529">
      <c r="A5529" s="286"/>
      <c r="B5529" s="286"/>
      <c r="C5529" s="287"/>
      <c r="D5529" s="286"/>
      <c r="E5529" s="286"/>
    </row>
    <row r="5530">
      <c r="A5530" s="286"/>
      <c r="B5530" s="286"/>
      <c r="C5530" s="287"/>
      <c r="D5530" s="286"/>
      <c r="E5530" s="286"/>
    </row>
    <row r="5531">
      <c r="A5531" s="286"/>
      <c r="B5531" s="286"/>
      <c r="C5531" s="287"/>
      <c r="D5531" s="286"/>
      <c r="E5531" s="286"/>
    </row>
    <row r="5532">
      <c r="A5532" s="286"/>
      <c r="B5532" s="286"/>
      <c r="C5532" s="287"/>
      <c r="D5532" s="286"/>
      <c r="E5532" s="286"/>
    </row>
    <row r="5533">
      <c r="A5533" s="286"/>
      <c r="B5533" s="286"/>
      <c r="C5533" s="287"/>
      <c r="D5533" s="286"/>
      <c r="E5533" s="286"/>
    </row>
    <row r="5534">
      <c r="A5534" s="286"/>
      <c r="B5534" s="286"/>
      <c r="C5534" s="287"/>
      <c r="D5534" s="286"/>
      <c r="E5534" s="286"/>
    </row>
    <row r="5535">
      <c r="A5535" s="286"/>
      <c r="B5535" s="286"/>
      <c r="C5535" s="287"/>
      <c r="D5535" s="286"/>
      <c r="E5535" s="286"/>
    </row>
    <row r="5536">
      <c r="A5536" s="286"/>
      <c r="B5536" s="286"/>
      <c r="C5536" s="287"/>
      <c r="D5536" s="286"/>
      <c r="E5536" s="286"/>
    </row>
    <row r="5537">
      <c r="A5537" s="286"/>
      <c r="B5537" s="286"/>
      <c r="C5537" s="287"/>
      <c r="D5537" s="286"/>
      <c r="E5537" s="286"/>
    </row>
    <row r="5538">
      <c r="A5538" s="286"/>
      <c r="B5538" s="286"/>
      <c r="C5538" s="287"/>
      <c r="D5538" s="286"/>
      <c r="E5538" s="286"/>
    </row>
    <row r="5539">
      <c r="A5539" s="286"/>
      <c r="B5539" s="286"/>
      <c r="C5539" s="287"/>
      <c r="D5539" s="286"/>
      <c r="E5539" s="286"/>
    </row>
    <row r="5540">
      <c r="A5540" s="286"/>
      <c r="B5540" s="286"/>
      <c r="C5540" s="287"/>
      <c r="D5540" s="286"/>
      <c r="E5540" s="286"/>
    </row>
    <row r="5541">
      <c r="A5541" s="286"/>
      <c r="B5541" s="286"/>
      <c r="C5541" s="287"/>
      <c r="D5541" s="286"/>
      <c r="E5541" s="286"/>
    </row>
    <row r="5542">
      <c r="A5542" s="286"/>
      <c r="B5542" s="286"/>
      <c r="C5542" s="287"/>
      <c r="D5542" s="286"/>
      <c r="E5542" s="286"/>
    </row>
    <row r="5543">
      <c r="A5543" s="286"/>
      <c r="B5543" s="286"/>
      <c r="C5543" s="287"/>
      <c r="D5543" s="286"/>
      <c r="E5543" s="286"/>
    </row>
    <row r="5544">
      <c r="A5544" s="286"/>
      <c r="B5544" s="286"/>
      <c r="C5544" s="287"/>
      <c r="D5544" s="286"/>
      <c r="E5544" s="286"/>
    </row>
    <row r="5545">
      <c r="A5545" s="286"/>
      <c r="B5545" s="286"/>
      <c r="C5545" s="287"/>
      <c r="D5545" s="286"/>
      <c r="E5545" s="286"/>
    </row>
    <row r="5546">
      <c r="A5546" s="286"/>
      <c r="B5546" s="286"/>
      <c r="C5546" s="287"/>
      <c r="D5546" s="286"/>
      <c r="E5546" s="286"/>
    </row>
    <row r="5547">
      <c r="A5547" s="286"/>
      <c r="B5547" s="286"/>
      <c r="C5547" s="287"/>
      <c r="D5547" s="286"/>
      <c r="E5547" s="286"/>
    </row>
    <row r="5548">
      <c r="A5548" s="286"/>
      <c r="B5548" s="286"/>
      <c r="C5548" s="287"/>
      <c r="D5548" s="286"/>
      <c r="E5548" s="286"/>
    </row>
    <row r="5549">
      <c r="A5549" s="286"/>
      <c r="B5549" s="286"/>
      <c r="C5549" s="287"/>
      <c r="D5549" s="286"/>
      <c r="E5549" s="286"/>
    </row>
    <row r="5550">
      <c r="A5550" s="286"/>
      <c r="B5550" s="286"/>
      <c r="C5550" s="287"/>
      <c r="D5550" s="286"/>
      <c r="E5550" s="286"/>
    </row>
    <row r="5551">
      <c r="A5551" s="286"/>
      <c r="B5551" s="286"/>
      <c r="C5551" s="287"/>
      <c r="D5551" s="286"/>
      <c r="E5551" s="286"/>
    </row>
    <row r="5552">
      <c r="A5552" s="286"/>
      <c r="B5552" s="286"/>
      <c r="C5552" s="287"/>
      <c r="D5552" s="286"/>
      <c r="E5552" s="286"/>
    </row>
    <row r="5553">
      <c r="A5553" s="286"/>
      <c r="B5553" s="286"/>
      <c r="C5553" s="287"/>
      <c r="D5553" s="286"/>
      <c r="E5553" s="286"/>
    </row>
    <row r="5554">
      <c r="A5554" s="286"/>
      <c r="B5554" s="286"/>
      <c r="C5554" s="287"/>
      <c r="D5554" s="286"/>
      <c r="E5554" s="286"/>
    </row>
    <row r="5555">
      <c r="A5555" s="286"/>
      <c r="B5555" s="286"/>
      <c r="C5555" s="287"/>
      <c r="D5555" s="286"/>
      <c r="E5555" s="286"/>
    </row>
    <row r="5556">
      <c r="A5556" s="286"/>
      <c r="B5556" s="286"/>
      <c r="C5556" s="287"/>
      <c r="D5556" s="286"/>
      <c r="E5556" s="286"/>
    </row>
    <row r="5557">
      <c r="A5557" s="286"/>
      <c r="B5557" s="286"/>
      <c r="C5557" s="287"/>
      <c r="D5557" s="286"/>
      <c r="E5557" s="286"/>
    </row>
    <row r="5558">
      <c r="A5558" s="286"/>
      <c r="B5558" s="286"/>
      <c r="C5558" s="287"/>
      <c r="D5558" s="286"/>
      <c r="E5558" s="286"/>
    </row>
    <row r="5559">
      <c r="A5559" s="286"/>
      <c r="B5559" s="286"/>
      <c r="C5559" s="287"/>
      <c r="D5559" s="286"/>
      <c r="E5559" s="286"/>
    </row>
    <row r="5560">
      <c r="A5560" s="286"/>
      <c r="B5560" s="286"/>
      <c r="C5560" s="287"/>
      <c r="D5560" s="286"/>
      <c r="E5560" s="286"/>
    </row>
    <row r="5561">
      <c r="A5561" s="286"/>
      <c r="B5561" s="286"/>
      <c r="C5561" s="287"/>
      <c r="D5561" s="286"/>
      <c r="E5561" s="286"/>
    </row>
    <row r="5562">
      <c r="A5562" s="286"/>
      <c r="B5562" s="286"/>
      <c r="C5562" s="287"/>
      <c r="D5562" s="286"/>
      <c r="E5562" s="286"/>
    </row>
    <row r="5563">
      <c r="A5563" s="286"/>
      <c r="B5563" s="286"/>
      <c r="C5563" s="287"/>
      <c r="D5563" s="286"/>
      <c r="E5563" s="286"/>
    </row>
    <row r="5564">
      <c r="A5564" s="286"/>
      <c r="B5564" s="286"/>
      <c r="C5564" s="287"/>
      <c r="D5564" s="286"/>
      <c r="E5564" s="286"/>
    </row>
    <row r="5565">
      <c r="A5565" s="286"/>
      <c r="B5565" s="286"/>
      <c r="C5565" s="287"/>
      <c r="D5565" s="286"/>
      <c r="E5565" s="286"/>
    </row>
    <row r="5566">
      <c r="A5566" s="286"/>
      <c r="B5566" s="286"/>
      <c r="C5566" s="287"/>
      <c r="D5566" s="286"/>
      <c r="E5566" s="286"/>
    </row>
    <row r="5567">
      <c r="A5567" s="286"/>
      <c r="B5567" s="286"/>
      <c r="C5567" s="287"/>
      <c r="D5567" s="286"/>
      <c r="E5567" s="286"/>
    </row>
    <row r="5568">
      <c r="A5568" s="286"/>
      <c r="B5568" s="286"/>
      <c r="C5568" s="287"/>
      <c r="D5568" s="286"/>
      <c r="E5568" s="286"/>
    </row>
    <row r="5569">
      <c r="A5569" s="286"/>
      <c r="B5569" s="286"/>
      <c r="C5569" s="287"/>
      <c r="D5569" s="286"/>
      <c r="E5569" s="286"/>
    </row>
    <row r="5570">
      <c r="A5570" s="286"/>
      <c r="B5570" s="286"/>
      <c r="C5570" s="287"/>
      <c r="D5570" s="286"/>
      <c r="E5570" s="286"/>
    </row>
    <row r="5571">
      <c r="A5571" s="286"/>
      <c r="B5571" s="286"/>
      <c r="C5571" s="287"/>
      <c r="D5571" s="286"/>
      <c r="E5571" s="286"/>
    </row>
    <row r="5572">
      <c r="A5572" s="286"/>
      <c r="B5572" s="286"/>
      <c r="C5572" s="287"/>
      <c r="D5572" s="286"/>
      <c r="E5572" s="286"/>
    </row>
    <row r="5573">
      <c r="A5573" s="286"/>
      <c r="B5573" s="286"/>
      <c r="C5573" s="287"/>
      <c r="D5573" s="286"/>
      <c r="E5573" s="286"/>
    </row>
    <row r="5574">
      <c r="A5574" s="286"/>
      <c r="B5574" s="286"/>
      <c r="C5574" s="287"/>
      <c r="D5574" s="286"/>
      <c r="E5574" s="286"/>
    </row>
    <row r="5575">
      <c r="A5575" s="286"/>
      <c r="B5575" s="286"/>
      <c r="C5575" s="287"/>
      <c r="D5575" s="286"/>
      <c r="E5575" s="286"/>
    </row>
    <row r="5576">
      <c r="A5576" s="286"/>
      <c r="B5576" s="286"/>
      <c r="C5576" s="287"/>
      <c r="D5576" s="286"/>
      <c r="E5576" s="286"/>
    </row>
    <row r="5577">
      <c r="A5577" s="286"/>
      <c r="B5577" s="286"/>
      <c r="C5577" s="287"/>
      <c r="D5577" s="286"/>
      <c r="E5577" s="286"/>
    </row>
    <row r="5578">
      <c r="A5578" s="286"/>
      <c r="B5578" s="286"/>
      <c r="C5578" s="287"/>
      <c r="D5578" s="286"/>
      <c r="E5578" s="286"/>
    </row>
    <row r="5579">
      <c r="A5579" s="286"/>
      <c r="B5579" s="286"/>
      <c r="C5579" s="287"/>
      <c r="D5579" s="286"/>
      <c r="E5579" s="286"/>
    </row>
    <row r="5580">
      <c r="A5580" s="286"/>
      <c r="B5580" s="286"/>
      <c r="C5580" s="287"/>
      <c r="D5580" s="286"/>
      <c r="E5580" s="286"/>
    </row>
    <row r="5581">
      <c r="A5581" s="286"/>
      <c r="B5581" s="286"/>
      <c r="C5581" s="287"/>
      <c r="D5581" s="286"/>
      <c r="E5581" s="286"/>
    </row>
    <row r="5582">
      <c r="A5582" s="286"/>
      <c r="B5582" s="286"/>
      <c r="C5582" s="287"/>
      <c r="D5582" s="286"/>
      <c r="E5582" s="286"/>
    </row>
    <row r="5583">
      <c r="A5583" s="286"/>
      <c r="B5583" s="286"/>
      <c r="C5583" s="287"/>
      <c r="D5583" s="286"/>
      <c r="E5583" s="286"/>
    </row>
    <row r="5584">
      <c r="A5584" s="286"/>
      <c r="B5584" s="286"/>
      <c r="C5584" s="287"/>
      <c r="D5584" s="286"/>
      <c r="E5584" s="286"/>
    </row>
    <row r="5585">
      <c r="A5585" s="286"/>
      <c r="B5585" s="286"/>
      <c r="C5585" s="287"/>
      <c r="D5585" s="286"/>
      <c r="E5585" s="286"/>
    </row>
    <row r="5586">
      <c r="A5586" s="286"/>
      <c r="B5586" s="286"/>
      <c r="C5586" s="287"/>
      <c r="D5586" s="286"/>
      <c r="E5586" s="286"/>
    </row>
    <row r="5587">
      <c r="A5587" s="286"/>
      <c r="B5587" s="286"/>
      <c r="C5587" s="287"/>
      <c r="D5587" s="286"/>
      <c r="E5587" s="286"/>
    </row>
    <row r="5588">
      <c r="A5588" s="286"/>
      <c r="B5588" s="286"/>
      <c r="C5588" s="287"/>
      <c r="D5588" s="286"/>
      <c r="E5588" s="286"/>
    </row>
    <row r="5589">
      <c r="A5589" s="286"/>
      <c r="B5589" s="286"/>
      <c r="C5589" s="287"/>
      <c r="D5589" s="286"/>
      <c r="E5589" s="286"/>
    </row>
    <row r="5590">
      <c r="A5590" s="286"/>
      <c r="B5590" s="286"/>
      <c r="C5590" s="287"/>
      <c r="D5590" s="286"/>
      <c r="E5590" s="286"/>
    </row>
    <row r="5591">
      <c r="A5591" s="286"/>
      <c r="B5591" s="286"/>
      <c r="C5591" s="287"/>
      <c r="D5591" s="286"/>
      <c r="E5591" s="286"/>
    </row>
    <row r="5592">
      <c r="A5592" s="286"/>
      <c r="B5592" s="286"/>
      <c r="C5592" s="287"/>
      <c r="D5592" s="286"/>
      <c r="E5592" s="286"/>
    </row>
    <row r="5593">
      <c r="A5593" s="286"/>
      <c r="B5593" s="286"/>
      <c r="C5593" s="287"/>
      <c r="D5593" s="286"/>
      <c r="E5593" s="286"/>
    </row>
    <row r="5594">
      <c r="A5594" s="286"/>
      <c r="B5594" s="286"/>
      <c r="C5594" s="287"/>
      <c r="D5594" s="286"/>
      <c r="E5594" s="286"/>
    </row>
    <row r="5595">
      <c r="A5595" s="286"/>
      <c r="B5595" s="286"/>
      <c r="C5595" s="287"/>
      <c r="D5595" s="286"/>
      <c r="E5595" s="286"/>
    </row>
    <row r="5596">
      <c r="A5596" s="286"/>
      <c r="B5596" s="286"/>
      <c r="C5596" s="287"/>
      <c r="D5596" s="286"/>
      <c r="E5596" s="286"/>
    </row>
    <row r="5597">
      <c r="A5597" s="286"/>
      <c r="B5597" s="286"/>
      <c r="C5597" s="287"/>
      <c r="D5597" s="286"/>
      <c r="E5597" s="286"/>
    </row>
    <row r="5598">
      <c r="A5598" s="286"/>
      <c r="B5598" s="286"/>
      <c r="C5598" s="287"/>
      <c r="D5598" s="286"/>
      <c r="E5598" s="286"/>
    </row>
    <row r="5599">
      <c r="A5599" s="286"/>
      <c r="B5599" s="286"/>
      <c r="C5599" s="287"/>
      <c r="D5599" s="286"/>
      <c r="E5599" s="286"/>
    </row>
    <row r="5600">
      <c r="A5600" s="286"/>
      <c r="B5600" s="286"/>
      <c r="C5600" s="287"/>
      <c r="D5600" s="286"/>
      <c r="E5600" s="286"/>
    </row>
    <row r="5601">
      <c r="A5601" s="286"/>
      <c r="B5601" s="286"/>
      <c r="C5601" s="287"/>
      <c r="D5601" s="286"/>
      <c r="E5601" s="286"/>
    </row>
    <row r="5602">
      <c r="A5602" s="286"/>
      <c r="B5602" s="286"/>
      <c r="C5602" s="287"/>
      <c r="D5602" s="286"/>
      <c r="E5602" s="286"/>
    </row>
    <row r="5603">
      <c r="A5603" s="286"/>
      <c r="B5603" s="286"/>
      <c r="C5603" s="287"/>
      <c r="D5603" s="286"/>
      <c r="E5603" s="286"/>
    </row>
    <row r="5604">
      <c r="A5604" s="286"/>
      <c r="B5604" s="286"/>
      <c r="C5604" s="287"/>
      <c r="D5604" s="286"/>
      <c r="E5604" s="286"/>
    </row>
    <row r="5605">
      <c r="A5605" s="286"/>
      <c r="B5605" s="286"/>
      <c r="C5605" s="287"/>
      <c r="D5605" s="286"/>
      <c r="E5605" s="286"/>
    </row>
    <row r="5606">
      <c r="A5606" s="286"/>
      <c r="B5606" s="286"/>
      <c r="C5606" s="287"/>
      <c r="D5606" s="286"/>
      <c r="E5606" s="286"/>
    </row>
    <row r="5607">
      <c r="A5607" s="286"/>
      <c r="B5607" s="286"/>
      <c r="C5607" s="287"/>
      <c r="D5607" s="286"/>
      <c r="E5607" s="286"/>
    </row>
    <row r="5608">
      <c r="A5608" s="286"/>
      <c r="B5608" s="286"/>
      <c r="C5608" s="287"/>
      <c r="D5608" s="286"/>
      <c r="E5608" s="286"/>
    </row>
    <row r="5609">
      <c r="A5609" s="286"/>
      <c r="B5609" s="286"/>
      <c r="C5609" s="287"/>
      <c r="D5609" s="286"/>
      <c r="E5609" s="286"/>
    </row>
    <row r="5610">
      <c r="A5610" s="286"/>
      <c r="B5610" s="286"/>
      <c r="C5610" s="287"/>
      <c r="D5610" s="286"/>
      <c r="E5610" s="286"/>
    </row>
    <row r="5611">
      <c r="A5611" s="286"/>
      <c r="B5611" s="286"/>
      <c r="C5611" s="287"/>
      <c r="D5611" s="286"/>
      <c r="E5611" s="286"/>
    </row>
    <row r="5612">
      <c r="A5612" s="286"/>
      <c r="B5612" s="286"/>
      <c r="C5612" s="287"/>
      <c r="D5612" s="286"/>
      <c r="E5612" s="286"/>
    </row>
    <row r="5613">
      <c r="A5613" s="286"/>
      <c r="B5613" s="286"/>
      <c r="C5613" s="287"/>
      <c r="D5613" s="286"/>
      <c r="E5613" s="286"/>
    </row>
    <row r="5614">
      <c r="A5614" s="286"/>
      <c r="B5614" s="286"/>
      <c r="C5614" s="287"/>
      <c r="D5614" s="286"/>
      <c r="E5614" s="286"/>
    </row>
    <row r="5615">
      <c r="A5615" s="286"/>
      <c r="B5615" s="286"/>
      <c r="C5615" s="287"/>
      <c r="D5615" s="286"/>
      <c r="E5615" s="286"/>
    </row>
    <row r="5616">
      <c r="A5616" s="286"/>
      <c r="B5616" s="286"/>
      <c r="C5616" s="287"/>
      <c r="D5616" s="286"/>
      <c r="E5616" s="286"/>
    </row>
    <row r="5617">
      <c r="A5617" s="286"/>
      <c r="B5617" s="286"/>
      <c r="C5617" s="287"/>
      <c r="D5617" s="286"/>
      <c r="E5617" s="286"/>
    </row>
    <row r="5618">
      <c r="A5618" s="286"/>
      <c r="B5618" s="286"/>
      <c r="C5618" s="287"/>
      <c r="D5618" s="286"/>
      <c r="E5618" s="286"/>
    </row>
    <row r="5619">
      <c r="A5619" s="286"/>
      <c r="B5619" s="286"/>
      <c r="C5619" s="287"/>
      <c r="D5619" s="286"/>
      <c r="E5619" s="286"/>
    </row>
    <row r="5620">
      <c r="A5620" s="286"/>
      <c r="B5620" s="286"/>
      <c r="C5620" s="287"/>
      <c r="D5620" s="286"/>
      <c r="E5620" s="286"/>
    </row>
    <row r="5621">
      <c r="A5621" s="286"/>
      <c r="B5621" s="286"/>
      <c r="C5621" s="287"/>
      <c r="D5621" s="286"/>
      <c r="E5621" s="286"/>
    </row>
    <row r="5622">
      <c r="A5622" s="286"/>
      <c r="B5622" s="286"/>
      <c r="C5622" s="287"/>
      <c r="D5622" s="286"/>
      <c r="E5622" s="286"/>
    </row>
    <row r="5623">
      <c r="A5623" s="286"/>
      <c r="B5623" s="286"/>
      <c r="C5623" s="287"/>
      <c r="D5623" s="286"/>
      <c r="E5623" s="286"/>
    </row>
    <row r="5624">
      <c r="A5624" s="286"/>
      <c r="B5624" s="286"/>
      <c r="C5624" s="287"/>
      <c r="D5624" s="286"/>
      <c r="E5624" s="286"/>
    </row>
    <row r="5625">
      <c r="A5625" s="286"/>
      <c r="B5625" s="286"/>
      <c r="C5625" s="287"/>
      <c r="D5625" s="286"/>
      <c r="E5625" s="286"/>
    </row>
    <row r="5626">
      <c r="A5626" s="286"/>
      <c r="B5626" s="286"/>
      <c r="C5626" s="287"/>
      <c r="D5626" s="286"/>
      <c r="E5626" s="286"/>
    </row>
    <row r="5627">
      <c r="A5627" s="286"/>
      <c r="B5627" s="286"/>
      <c r="C5627" s="287"/>
      <c r="D5627" s="286"/>
      <c r="E5627" s="286"/>
    </row>
    <row r="5628">
      <c r="A5628" s="286"/>
      <c r="B5628" s="286"/>
      <c r="C5628" s="287"/>
      <c r="D5628" s="286"/>
      <c r="E5628" s="286"/>
    </row>
    <row r="5629">
      <c r="A5629" s="286"/>
      <c r="B5629" s="286"/>
      <c r="C5629" s="287"/>
      <c r="D5629" s="286"/>
      <c r="E5629" s="286"/>
    </row>
    <row r="5630">
      <c r="A5630" s="286"/>
      <c r="B5630" s="286"/>
      <c r="C5630" s="287"/>
      <c r="D5630" s="286"/>
      <c r="E5630" s="286"/>
    </row>
    <row r="5631">
      <c r="A5631" s="286"/>
      <c r="B5631" s="286"/>
      <c r="C5631" s="287"/>
      <c r="D5631" s="286"/>
      <c r="E5631" s="286"/>
    </row>
    <row r="5632">
      <c r="A5632" s="286"/>
      <c r="B5632" s="286"/>
      <c r="C5632" s="287"/>
      <c r="D5632" s="286"/>
      <c r="E5632" s="286"/>
    </row>
    <row r="5633">
      <c r="A5633" s="286"/>
      <c r="B5633" s="286"/>
      <c r="C5633" s="287"/>
      <c r="D5633" s="286"/>
      <c r="E5633" s="286"/>
    </row>
    <row r="5634">
      <c r="A5634" s="286"/>
      <c r="B5634" s="286"/>
      <c r="C5634" s="287"/>
      <c r="D5634" s="286"/>
      <c r="E5634" s="286"/>
    </row>
    <row r="5635">
      <c r="A5635" s="286"/>
      <c r="B5635" s="286"/>
      <c r="C5635" s="287"/>
      <c r="D5635" s="286"/>
      <c r="E5635" s="286"/>
    </row>
    <row r="5636">
      <c r="A5636" s="286"/>
      <c r="B5636" s="286"/>
      <c r="C5636" s="287"/>
      <c r="D5636" s="286"/>
      <c r="E5636" s="286"/>
    </row>
    <row r="5637">
      <c r="A5637" s="286"/>
      <c r="B5637" s="286"/>
      <c r="C5637" s="287"/>
      <c r="D5637" s="286"/>
      <c r="E5637" s="286"/>
    </row>
    <row r="5638">
      <c r="A5638" s="286"/>
      <c r="B5638" s="286"/>
      <c r="C5638" s="287"/>
      <c r="D5638" s="286"/>
      <c r="E5638" s="286"/>
    </row>
    <row r="5639">
      <c r="A5639" s="286"/>
      <c r="B5639" s="286"/>
      <c r="C5639" s="287"/>
      <c r="D5639" s="286"/>
      <c r="E5639" s="286"/>
    </row>
    <row r="5640">
      <c r="A5640" s="286"/>
      <c r="B5640" s="286"/>
      <c r="C5640" s="287"/>
      <c r="D5640" s="286"/>
      <c r="E5640" s="286"/>
    </row>
    <row r="5641">
      <c r="A5641" s="286"/>
      <c r="B5641" s="286"/>
      <c r="C5641" s="287"/>
      <c r="D5641" s="286"/>
      <c r="E5641" s="286"/>
    </row>
    <row r="5642">
      <c r="A5642" s="286"/>
      <c r="B5642" s="286"/>
      <c r="C5642" s="287"/>
      <c r="D5642" s="286"/>
      <c r="E5642" s="286"/>
    </row>
    <row r="5643">
      <c r="A5643" s="286"/>
      <c r="B5643" s="286"/>
      <c r="C5643" s="287"/>
      <c r="D5643" s="286"/>
      <c r="E5643" s="286"/>
    </row>
    <row r="5644">
      <c r="A5644" s="286"/>
      <c r="B5644" s="286"/>
      <c r="C5644" s="287"/>
      <c r="D5644" s="286"/>
      <c r="E5644" s="286"/>
    </row>
    <row r="5645">
      <c r="A5645" s="286"/>
      <c r="B5645" s="286"/>
      <c r="C5645" s="287"/>
      <c r="D5645" s="286"/>
      <c r="E5645" s="286"/>
    </row>
    <row r="5646">
      <c r="A5646" s="286"/>
      <c r="B5646" s="286"/>
      <c r="C5646" s="287"/>
      <c r="D5646" s="286"/>
      <c r="E5646" s="286"/>
    </row>
    <row r="5647">
      <c r="A5647" s="286"/>
      <c r="B5647" s="286"/>
      <c r="C5647" s="287"/>
      <c r="D5647" s="286"/>
      <c r="E5647" s="286"/>
    </row>
    <row r="5648">
      <c r="A5648" s="286"/>
      <c r="B5648" s="286"/>
      <c r="C5648" s="287"/>
      <c r="D5648" s="286"/>
      <c r="E5648" s="286"/>
    </row>
    <row r="5649">
      <c r="A5649" s="286"/>
      <c r="B5649" s="286"/>
      <c r="C5649" s="287"/>
      <c r="D5649" s="286"/>
      <c r="E5649" s="286"/>
    </row>
    <row r="5650">
      <c r="A5650" s="286"/>
      <c r="B5650" s="286"/>
      <c r="C5650" s="287"/>
      <c r="D5650" s="286"/>
      <c r="E5650" s="286"/>
    </row>
    <row r="5651">
      <c r="A5651" s="286"/>
      <c r="B5651" s="286"/>
      <c r="C5651" s="287"/>
      <c r="D5651" s="286"/>
      <c r="E5651" s="286"/>
    </row>
    <row r="5652">
      <c r="A5652" s="286"/>
      <c r="B5652" s="286"/>
      <c r="C5652" s="287"/>
      <c r="D5652" s="286"/>
      <c r="E5652" s="286"/>
    </row>
    <row r="5653">
      <c r="A5653" s="286"/>
      <c r="B5653" s="286"/>
      <c r="C5653" s="287"/>
      <c r="D5653" s="286"/>
      <c r="E5653" s="286"/>
    </row>
    <row r="5654">
      <c r="A5654" s="286"/>
      <c r="B5654" s="286"/>
      <c r="C5654" s="287"/>
      <c r="D5654" s="286"/>
      <c r="E5654" s="286"/>
    </row>
    <row r="5655">
      <c r="A5655" s="286"/>
      <c r="B5655" s="286"/>
      <c r="C5655" s="287"/>
      <c r="D5655" s="286"/>
      <c r="E5655" s="286"/>
    </row>
    <row r="5656">
      <c r="A5656" s="286"/>
      <c r="B5656" s="286"/>
      <c r="C5656" s="287"/>
      <c r="D5656" s="286"/>
      <c r="E5656" s="286"/>
    </row>
    <row r="5657">
      <c r="A5657" s="286"/>
      <c r="B5657" s="286"/>
      <c r="C5657" s="287"/>
      <c r="D5657" s="286"/>
      <c r="E5657" s="286"/>
    </row>
    <row r="5658">
      <c r="A5658" s="286"/>
      <c r="B5658" s="286"/>
      <c r="C5658" s="287"/>
      <c r="D5658" s="286"/>
      <c r="E5658" s="286"/>
    </row>
    <row r="5659">
      <c r="A5659" s="286"/>
      <c r="B5659" s="286"/>
      <c r="C5659" s="287"/>
      <c r="D5659" s="286"/>
      <c r="E5659" s="286"/>
    </row>
    <row r="5660">
      <c r="A5660" s="286"/>
      <c r="B5660" s="286"/>
      <c r="C5660" s="287"/>
      <c r="D5660" s="286"/>
      <c r="E5660" s="286"/>
    </row>
    <row r="5661">
      <c r="A5661" s="286"/>
      <c r="B5661" s="286"/>
      <c r="C5661" s="287"/>
      <c r="D5661" s="286"/>
      <c r="E5661" s="286"/>
    </row>
    <row r="5662">
      <c r="A5662" s="286"/>
      <c r="B5662" s="286"/>
      <c r="C5662" s="287"/>
      <c r="D5662" s="286"/>
      <c r="E5662" s="286"/>
    </row>
    <row r="5663">
      <c r="A5663" s="286"/>
      <c r="B5663" s="286"/>
      <c r="C5663" s="287"/>
      <c r="D5663" s="286"/>
      <c r="E5663" s="286"/>
    </row>
    <row r="5664">
      <c r="A5664" s="286"/>
      <c r="B5664" s="286"/>
      <c r="C5664" s="287"/>
      <c r="D5664" s="286"/>
      <c r="E5664" s="286"/>
    </row>
    <row r="5665">
      <c r="A5665" s="286"/>
      <c r="B5665" s="286"/>
      <c r="C5665" s="287"/>
      <c r="D5665" s="286"/>
      <c r="E5665" s="286"/>
    </row>
    <row r="5666">
      <c r="A5666" s="286"/>
      <c r="B5666" s="286"/>
      <c r="C5666" s="287"/>
      <c r="D5666" s="286"/>
      <c r="E5666" s="286"/>
    </row>
    <row r="5667">
      <c r="A5667" s="286"/>
      <c r="B5667" s="286"/>
      <c r="C5667" s="287"/>
      <c r="D5667" s="286"/>
      <c r="E5667" s="286"/>
    </row>
    <row r="5668">
      <c r="A5668" s="286"/>
      <c r="B5668" s="286"/>
      <c r="C5668" s="287"/>
      <c r="D5668" s="286"/>
      <c r="E5668" s="286"/>
    </row>
    <row r="5669">
      <c r="A5669" s="286"/>
      <c r="B5669" s="286"/>
      <c r="C5669" s="287"/>
      <c r="D5669" s="286"/>
      <c r="E5669" s="286"/>
    </row>
    <row r="5670">
      <c r="A5670" s="286"/>
      <c r="B5670" s="286"/>
      <c r="C5670" s="287"/>
      <c r="D5670" s="286"/>
      <c r="E5670" s="286"/>
    </row>
    <row r="5671">
      <c r="A5671" s="286"/>
      <c r="B5671" s="286"/>
      <c r="C5671" s="287"/>
      <c r="D5671" s="286"/>
      <c r="E5671" s="286"/>
    </row>
    <row r="5672">
      <c r="A5672" s="286"/>
      <c r="B5672" s="286"/>
      <c r="C5672" s="287"/>
      <c r="D5672" s="286"/>
      <c r="E5672" s="286"/>
    </row>
    <row r="5673">
      <c r="A5673" s="286"/>
      <c r="B5673" s="286"/>
      <c r="C5673" s="287"/>
      <c r="D5673" s="286"/>
      <c r="E5673" s="286"/>
    </row>
    <row r="5674">
      <c r="A5674" s="286"/>
      <c r="B5674" s="286"/>
      <c r="C5674" s="287"/>
      <c r="D5674" s="286"/>
      <c r="E5674" s="286"/>
    </row>
    <row r="5675">
      <c r="A5675" s="286"/>
      <c r="B5675" s="286"/>
      <c r="C5675" s="287"/>
      <c r="D5675" s="286"/>
      <c r="E5675" s="286"/>
    </row>
    <row r="5676">
      <c r="A5676" s="286"/>
      <c r="B5676" s="286"/>
      <c r="C5676" s="287"/>
      <c r="D5676" s="286"/>
      <c r="E5676" s="286"/>
    </row>
    <row r="5677">
      <c r="A5677" s="286"/>
      <c r="B5677" s="286"/>
      <c r="C5677" s="287"/>
      <c r="D5677" s="286"/>
      <c r="E5677" s="286"/>
    </row>
    <row r="5678">
      <c r="A5678" s="286"/>
      <c r="B5678" s="286"/>
      <c r="C5678" s="287"/>
      <c r="D5678" s="286"/>
      <c r="E5678" s="286"/>
    </row>
    <row r="5679">
      <c r="A5679" s="286"/>
      <c r="B5679" s="286"/>
      <c r="C5679" s="287"/>
      <c r="D5679" s="286"/>
      <c r="E5679" s="286"/>
    </row>
    <row r="5680">
      <c r="A5680" s="286"/>
      <c r="B5680" s="286"/>
      <c r="C5680" s="287"/>
      <c r="D5680" s="286"/>
      <c r="E5680" s="286"/>
    </row>
    <row r="5681">
      <c r="A5681" s="286"/>
      <c r="B5681" s="286"/>
      <c r="C5681" s="287"/>
      <c r="D5681" s="286"/>
      <c r="E5681" s="286"/>
    </row>
    <row r="5682">
      <c r="A5682" s="286"/>
      <c r="B5682" s="286"/>
      <c r="C5682" s="287"/>
      <c r="D5682" s="286"/>
      <c r="E5682" s="286"/>
    </row>
    <row r="5683">
      <c r="A5683" s="286"/>
      <c r="B5683" s="286"/>
      <c r="C5683" s="287"/>
      <c r="D5683" s="286"/>
      <c r="E5683" s="286"/>
    </row>
    <row r="5684">
      <c r="A5684" s="286"/>
      <c r="B5684" s="286"/>
      <c r="C5684" s="287"/>
      <c r="D5684" s="286"/>
      <c r="E5684" s="286"/>
    </row>
    <row r="5685">
      <c r="A5685" s="286"/>
      <c r="B5685" s="286"/>
      <c r="C5685" s="287"/>
      <c r="D5685" s="286"/>
      <c r="E5685" s="286"/>
    </row>
    <row r="5686">
      <c r="A5686" s="286"/>
      <c r="B5686" s="286"/>
      <c r="C5686" s="287"/>
      <c r="D5686" s="286"/>
      <c r="E5686" s="286"/>
    </row>
    <row r="5687">
      <c r="A5687" s="286"/>
      <c r="B5687" s="286"/>
      <c r="C5687" s="287"/>
      <c r="D5687" s="286"/>
      <c r="E5687" s="286"/>
    </row>
    <row r="5688">
      <c r="A5688" s="286"/>
      <c r="B5688" s="286"/>
      <c r="C5688" s="287"/>
      <c r="D5688" s="286"/>
      <c r="E5688" s="286"/>
    </row>
    <row r="5689">
      <c r="A5689" s="286"/>
      <c r="B5689" s="286"/>
      <c r="C5689" s="287"/>
      <c r="D5689" s="286"/>
      <c r="E5689" s="286"/>
    </row>
    <row r="5690">
      <c r="A5690" s="286"/>
      <c r="B5690" s="286"/>
      <c r="C5690" s="287"/>
      <c r="D5690" s="286"/>
      <c r="E5690" s="286"/>
    </row>
    <row r="5691">
      <c r="A5691" s="286"/>
      <c r="B5691" s="286"/>
      <c r="C5691" s="287"/>
      <c r="D5691" s="286"/>
      <c r="E5691" s="286"/>
    </row>
    <row r="5692">
      <c r="A5692" s="286"/>
      <c r="B5692" s="286"/>
      <c r="C5692" s="287"/>
      <c r="D5692" s="286"/>
      <c r="E5692" s="286"/>
    </row>
    <row r="5693">
      <c r="A5693" s="286"/>
      <c r="B5693" s="286"/>
      <c r="C5693" s="287"/>
      <c r="D5693" s="286"/>
      <c r="E5693" s="286"/>
    </row>
    <row r="5694">
      <c r="A5694" s="286"/>
      <c r="B5694" s="286"/>
      <c r="C5694" s="287"/>
      <c r="D5694" s="286"/>
      <c r="E5694" s="286"/>
    </row>
    <row r="5695">
      <c r="A5695" s="286"/>
      <c r="B5695" s="286"/>
      <c r="C5695" s="287"/>
      <c r="D5695" s="286"/>
      <c r="E5695" s="286"/>
    </row>
    <row r="5696">
      <c r="A5696" s="286"/>
      <c r="B5696" s="286"/>
      <c r="C5696" s="287"/>
      <c r="D5696" s="286"/>
      <c r="E5696" s="286"/>
    </row>
    <row r="5697">
      <c r="A5697" s="286"/>
      <c r="B5697" s="286"/>
      <c r="C5697" s="287"/>
      <c r="D5697" s="286"/>
      <c r="E5697" s="286"/>
    </row>
    <row r="5698">
      <c r="A5698" s="286"/>
      <c r="B5698" s="286"/>
      <c r="C5698" s="287"/>
      <c r="D5698" s="286"/>
      <c r="E5698" s="286"/>
    </row>
    <row r="5699">
      <c r="A5699" s="286"/>
      <c r="B5699" s="286"/>
      <c r="C5699" s="287"/>
      <c r="D5699" s="286"/>
      <c r="E5699" s="286"/>
    </row>
    <row r="5700">
      <c r="A5700" s="286"/>
      <c r="B5700" s="286"/>
      <c r="C5700" s="287"/>
      <c r="D5700" s="286"/>
      <c r="E5700" s="286"/>
    </row>
    <row r="5701">
      <c r="A5701" s="286"/>
      <c r="B5701" s="286"/>
      <c r="C5701" s="287"/>
      <c r="D5701" s="286"/>
      <c r="E5701" s="286"/>
    </row>
    <row r="5702">
      <c r="A5702" s="286"/>
      <c r="B5702" s="286"/>
      <c r="C5702" s="287"/>
      <c r="D5702" s="286"/>
      <c r="E5702" s="286"/>
    </row>
    <row r="5703">
      <c r="A5703" s="286"/>
      <c r="B5703" s="286"/>
      <c r="C5703" s="287"/>
      <c r="D5703" s="286"/>
      <c r="E5703" s="286"/>
    </row>
    <row r="5704">
      <c r="A5704" s="286"/>
      <c r="B5704" s="286"/>
      <c r="C5704" s="287"/>
      <c r="D5704" s="286"/>
      <c r="E5704" s="286"/>
    </row>
    <row r="5705">
      <c r="A5705" s="286"/>
      <c r="B5705" s="286"/>
      <c r="C5705" s="287"/>
      <c r="D5705" s="286"/>
      <c r="E5705" s="286"/>
    </row>
    <row r="5706">
      <c r="A5706" s="286"/>
      <c r="B5706" s="286"/>
      <c r="C5706" s="287"/>
      <c r="D5706" s="286"/>
      <c r="E5706" s="286"/>
    </row>
    <row r="5707">
      <c r="A5707" s="286"/>
      <c r="B5707" s="286"/>
      <c r="C5707" s="287"/>
      <c r="D5707" s="286"/>
      <c r="E5707" s="286"/>
    </row>
    <row r="5708">
      <c r="A5708" s="286"/>
      <c r="B5708" s="286"/>
      <c r="C5708" s="287"/>
      <c r="D5708" s="286"/>
      <c r="E5708" s="286"/>
    </row>
    <row r="5709">
      <c r="A5709" s="286"/>
      <c r="B5709" s="286"/>
      <c r="C5709" s="287"/>
      <c r="D5709" s="286"/>
      <c r="E5709" s="286"/>
    </row>
    <row r="5710">
      <c r="A5710" s="286"/>
      <c r="B5710" s="286"/>
      <c r="C5710" s="287"/>
      <c r="D5710" s="286"/>
      <c r="E5710" s="286"/>
    </row>
    <row r="5711">
      <c r="A5711" s="286"/>
      <c r="B5711" s="286"/>
      <c r="C5711" s="287"/>
      <c r="D5711" s="286"/>
      <c r="E5711" s="286"/>
    </row>
    <row r="5712">
      <c r="A5712" s="286"/>
      <c r="B5712" s="286"/>
      <c r="C5712" s="287"/>
      <c r="D5712" s="286"/>
      <c r="E5712" s="286"/>
    </row>
    <row r="5713">
      <c r="A5713" s="286"/>
      <c r="B5713" s="286"/>
      <c r="C5713" s="287"/>
      <c r="D5713" s="286"/>
      <c r="E5713" s="286"/>
    </row>
    <row r="5714">
      <c r="A5714" s="286"/>
      <c r="B5714" s="286"/>
      <c r="C5714" s="287"/>
      <c r="D5714" s="286"/>
      <c r="E5714" s="286"/>
    </row>
    <row r="5715">
      <c r="A5715" s="286"/>
      <c r="B5715" s="286"/>
      <c r="C5715" s="287"/>
      <c r="D5715" s="286"/>
      <c r="E5715" s="286"/>
    </row>
    <row r="5716">
      <c r="A5716" s="286"/>
      <c r="B5716" s="286"/>
      <c r="C5716" s="287"/>
      <c r="D5716" s="286"/>
      <c r="E5716" s="286"/>
    </row>
    <row r="5717">
      <c r="A5717" s="286"/>
      <c r="B5717" s="286"/>
      <c r="C5717" s="287"/>
      <c r="D5717" s="286"/>
      <c r="E5717" s="286"/>
    </row>
    <row r="5718">
      <c r="A5718" s="286"/>
      <c r="B5718" s="286"/>
      <c r="C5718" s="287"/>
      <c r="D5718" s="286"/>
      <c r="E5718" s="286"/>
    </row>
    <row r="5719">
      <c r="A5719" s="286"/>
      <c r="B5719" s="286"/>
      <c r="C5719" s="287"/>
      <c r="D5719" s="286"/>
      <c r="E5719" s="286"/>
    </row>
    <row r="5720">
      <c r="A5720" s="286"/>
      <c r="B5720" s="286"/>
      <c r="C5720" s="287"/>
      <c r="D5720" s="286"/>
      <c r="E5720" s="286"/>
    </row>
    <row r="5721">
      <c r="A5721" s="286"/>
      <c r="B5721" s="286"/>
      <c r="C5721" s="287"/>
      <c r="D5721" s="286"/>
      <c r="E5721" s="286"/>
    </row>
    <row r="5722">
      <c r="A5722" s="286"/>
      <c r="B5722" s="286"/>
      <c r="C5722" s="287"/>
      <c r="D5722" s="286"/>
      <c r="E5722" s="286"/>
    </row>
    <row r="5723">
      <c r="A5723" s="286"/>
      <c r="B5723" s="286"/>
      <c r="C5723" s="287"/>
      <c r="D5723" s="286"/>
      <c r="E5723" s="286"/>
    </row>
    <row r="5724">
      <c r="A5724" s="286"/>
      <c r="B5724" s="286"/>
      <c r="C5724" s="287"/>
      <c r="D5724" s="286"/>
      <c r="E5724" s="286"/>
    </row>
    <row r="5725">
      <c r="A5725" s="286"/>
      <c r="B5725" s="286"/>
      <c r="C5725" s="287"/>
      <c r="D5725" s="286"/>
      <c r="E5725" s="286"/>
    </row>
    <row r="5726">
      <c r="A5726" s="286"/>
      <c r="B5726" s="286"/>
      <c r="C5726" s="287"/>
      <c r="D5726" s="286"/>
      <c r="E5726" s="286"/>
    </row>
    <row r="5727">
      <c r="A5727" s="286"/>
      <c r="B5727" s="286"/>
      <c r="C5727" s="287"/>
      <c r="D5727" s="286"/>
      <c r="E5727" s="286"/>
    </row>
    <row r="5728">
      <c r="A5728" s="286"/>
      <c r="B5728" s="286"/>
      <c r="C5728" s="287"/>
      <c r="D5728" s="286"/>
      <c r="E5728" s="286"/>
    </row>
    <row r="5729">
      <c r="A5729" s="286"/>
      <c r="B5729" s="286"/>
      <c r="C5729" s="287"/>
      <c r="D5729" s="286"/>
      <c r="E5729" s="286"/>
    </row>
    <row r="5730">
      <c r="A5730" s="286"/>
      <c r="B5730" s="286"/>
      <c r="C5730" s="287"/>
      <c r="D5730" s="286"/>
      <c r="E5730" s="286"/>
    </row>
    <row r="5731">
      <c r="A5731" s="286"/>
      <c r="B5731" s="286"/>
      <c r="C5731" s="287"/>
      <c r="D5731" s="286"/>
      <c r="E5731" s="286"/>
    </row>
    <row r="5732">
      <c r="A5732" s="286"/>
      <c r="B5732" s="286"/>
      <c r="C5732" s="287"/>
      <c r="D5732" s="286"/>
      <c r="E5732" s="286"/>
    </row>
    <row r="5733">
      <c r="A5733" s="286"/>
      <c r="B5733" s="286"/>
      <c r="C5733" s="287"/>
      <c r="D5733" s="286"/>
      <c r="E5733" s="286"/>
    </row>
    <row r="5734">
      <c r="A5734" s="286"/>
      <c r="B5734" s="286"/>
      <c r="C5734" s="287"/>
      <c r="D5734" s="286"/>
      <c r="E5734" s="286"/>
    </row>
    <row r="5735">
      <c r="A5735" s="286"/>
      <c r="B5735" s="286"/>
      <c r="C5735" s="287"/>
      <c r="D5735" s="286"/>
      <c r="E5735" s="286"/>
    </row>
    <row r="5736">
      <c r="A5736" s="286"/>
      <c r="B5736" s="286"/>
      <c r="C5736" s="287"/>
      <c r="D5736" s="286"/>
      <c r="E5736" s="286"/>
    </row>
    <row r="5737">
      <c r="A5737" s="286"/>
      <c r="B5737" s="286"/>
      <c r="C5737" s="287"/>
      <c r="D5737" s="286"/>
      <c r="E5737" s="286"/>
    </row>
    <row r="5738">
      <c r="A5738" s="286"/>
      <c r="B5738" s="286"/>
      <c r="C5738" s="287"/>
      <c r="D5738" s="286"/>
      <c r="E5738" s="286"/>
    </row>
    <row r="5739">
      <c r="A5739" s="286"/>
      <c r="B5739" s="286"/>
      <c r="C5739" s="287"/>
      <c r="D5739" s="286"/>
      <c r="E5739" s="286"/>
    </row>
    <row r="5740">
      <c r="A5740" s="286"/>
      <c r="B5740" s="286"/>
      <c r="C5740" s="287"/>
      <c r="D5740" s="286"/>
      <c r="E5740" s="286"/>
    </row>
    <row r="5741">
      <c r="A5741" s="286"/>
      <c r="B5741" s="286"/>
      <c r="C5741" s="287"/>
      <c r="D5741" s="286"/>
      <c r="E5741" s="286"/>
    </row>
    <row r="5742">
      <c r="A5742" s="286"/>
      <c r="B5742" s="286"/>
      <c r="C5742" s="287"/>
      <c r="D5742" s="286"/>
      <c r="E5742" s="286"/>
    </row>
    <row r="5743">
      <c r="A5743" s="286"/>
      <c r="B5743" s="286"/>
      <c r="C5743" s="287"/>
      <c r="D5743" s="286"/>
      <c r="E5743" s="286"/>
    </row>
    <row r="5744">
      <c r="A5744" s="286"/>
      <c r="B5744" s="286"/>
      <c r="C5744" s="287"/>
      <c r="D5744" s="286"/>
      <c r="E5744" s="286"/>
    </row>
    <row r="5745">
      <c r="A5745" s="286"/>
      <c r="B5745" s="286"/>
      <c r="C5745" s="287"/>
      <c r="D5745" s="286"/>
      <c r="E5745" s="286"/>
    </row>
    <row r="5746">
      <c r="A5746" s="286"/>
      <c r="B5746" s="286"/>
      <c r="C5746" s="287"/>
      <c r="D5746" s="286"/>
      <c r="E5746" s="286"/>
    </row>
    <row r="5747">
      <c r="A5747" s="286"/>
      <c r="B5747" s="286"/>
      <c r="C5747" s="287"/>
      <c r="D5747" s="286"/>
      <c r="E5747" s="286"/>
    </row>
    <row r="5748">
      <c r="A5748" s="286"/>
      <c r="B5748" s="286"/>
      <c r="C5748" s="287"/>
      <c r="D5748" s="286"/>
      <c r="E5748" s="286"/>
    </row>
    <row r="5749">
      <c r="A5749" s="286"/>
      <c r="B5749" s="286"/>
      <c r="C5749" s="287"/>
      <c r="D5749" s="286"/>
      <c r="E5749" s="286"/>
    </row>
    <row r="5750">
      <c r="A5750" s="286"/>
      <c r="B5750" s="286"/>
      <c r="C5750" s="287"/>
      <c r="D5750" s="286"/>
      <c r="E5750" s="286"/>
    </row>
    <row r="5751">
      <c r="A5751" s="286"/>
      <c r="B5751" s="286"/>
      <c r="C5751" s="287"/>
      <c r="D5751" s="286"/>
      <c r="E5751" s="286"/>
    </row>
    <row r="5752">
      <c r="A5752" s="286"/>
      <c r="B5752" s="286"/>
      <c r="C5752" s="287"/>
      <c r="D5752" s="286"/>
      <c r="E5752" s="286"/>
    </row>
    <row r="5753">
      <c r="A5753" s="286"/>
      <c r="B5753" s="286"/>
      <c r="C5753" s="287"/>
      <c r="D5753" s="286"/>
      <c r="E5753" s="286"/>
    </row>
    <row r="5754">
      <c r="A5754" s="286"/>
      <c r="B5754" s="286"/>
      <c r="C5754" s="287"/>
      <c r="D5754" s="286"/>
      <c r="E5754" s="286"/>
    </row>
    <row r="5755">
      <c r="A5755" s="286"/>
      <c r="B5755" s="286"/>
      <c r="C5755" s="287"/>
      <c r="D5755" s="286"/>
      <c r="E5755" s="286"/>
    </row>
    <row r="5756">
      <c r="A5756" s="286"/>
      <c r="B5756" s="286"/>
      <c r="C5756" s="287"/>
      <c r="D5756" s="286"/>
      <c r="E5756" s="286"/>
    </row>
    <row r="5757">
      <c r="A5757" s="286"/>
      <c r="B5757" s="286"/>
      <c r="C5757" s="287"/>
      <c r="D5757" s="286"/>
      <c r="E5757" s="286"/>
    </row>
    <row r="5758">
      <c r="A5758" s="286"/>
      <c r="B5758" s="286"/>
      <c r="C5758" s="287"/>
      <c r="D5758" s="286"/>
      <c r="E5758" s="286"/>
    </row>
    <row r="5759">
      <c r="A5759" s="286"/>
      <c r="B5759" s="286"/>
      <c r="C5759" s="287"/>
      <c r="D5759" s="286"/>
      <c r="E5759" s="286"/>
    </row>
    <row r="5760">
      <c r="A5760" s="286"/>
      <c r="B5760" s="286"/>
      <c r="C5760" s="287"/>
      <c r="D5760" s="286"/>
      <c r="E5760" s="286"/>
    </row>
    <row r="5761">
      <c r="A5761" s="286"/>
      <c r="B5761" s="286"/>
      <c r="C5761" s="287"/>
      <c r="D5761" s="286"/>
      <c r="E5761" s="286"/>
    </row>
    <row r="5762">
      <c r="A5762" s="286"/>
      <c r="B5762" s="286"/>
      <c r="C5762" s="287"/>
      <c r="D5762" s="286"/>
      <c r="E5762" s="286"/>
    </row>
    <row r="5763">
      <c r="A5763" s="286"/>
      <c r="B5763" s="286"/>
      <c r="C5763" s="287"/>
      <c r="D5763" s="286"/>
      <c r="E5763" s="286"/>
    </row>
    <row r="5764">
      <c r="A5764" s="286"/>
      <c r="B5764" s="286"/>
      <c r="C5764" s="287"/>
      <c r="D5764" s="286"/>
      <c r="E5764" s="286"/>
    </row>
    <row r="5765">
      <c r="A5765" s="286"/>
      <c r="B5765" s="286"/>
      <c r="C5765" s="287"/>
      <c r="D5765" s="286"/>
      <c r="E5765" s="286"/>
    </row>
    <row r="5766">
      <c r="A5766" s="286"/>
      <c r="B5766" s="286"/>
      <c r="C5766" s="287"/>
      <c r="D5766" s="286"/>
      <c r="E5766" s="286"/>
    </row>
    <row r="5767">
      <c r="A5767" s="286"/>
      <c r="B5767" s="286"/>
      <c r="C5767" s="287"/>
      <c r="D5767" s="286"/>
      <c r="E5767" s="286"/>
    </row>
    <row r="5768">
      <c r="A5768" s="286"/>
      <c r="B5768" s="286"/>
      <c r="C5768" s="287"/>
      <c r="D5768" s="286"/>
      <c r="E5768" s="286"/>
    </row>
    <row r="5769">
      <c r="A5769" s="286"/>
      <c r="B5769" s="286"/>
      <c r="C5769" s="287"/>
      <c r="D5769" s="286"/>
      <c r="E5769" s="286"/>
    </row>
    <row r="5770">
      <c r="A5770" s="286"/>
      <c r="B5770" s="286"/>
      <c r="C5770" s="287"/>
      <c r="D5770" s="286"/>
      <c r="E5770" s="286"/>
    </row>
    <row r="5771">
      <c r="A5771" s="286"/>
      <c r="B5771" s="286"/>
      <c r="C5771" s="287"/>
      <c r="D5771" s="286"/>
      <c r="E5771" s="286"/>
    </row>
    <row r="5772">
      <c r="A5772" s="286"/>
      <c r="B5772" s="286"/>
      <c r="C5772" s="287"/>
      <c r="D5772" s="286"/>
      <c r="E5772" s="286"/>
    </row>
    <row r="5773">
      <c r="A5773" s="286"/>
      <c r="B5773" s="286"/>
      <c r="C5773" s="287"/>
      <c r="D5773" s="286"/>
      <c r="E5773" s="286"/>
    </row>
    <row r="5774">
      <c r="A5774" s="286"/>
      <c r="B5774" s="286"/>
      <c r="C5774" s="287"/>
      <c r="D5774" s="286"/>
      <c r="E5774" s="286"/>
    </row>
    <row r="5775">
      <c r="A5775" s="286"/>
      <c r="B5775" s="286"/>
      <c r="C5775" s="287"/>
      <c r="D5775" s="286"/>
      <c r="E5775" s="286"/>
    </row>
    <row r="5776">
      <c r="A5776" s="286"/>
      <c r="B5776" s="286"/>
      <c r="C5776" s="287"/>
      <c r="D5776" s="286"/>
      <c r="E5776" s="286"/>
    </row>
    <row r="5777">
      <c r="A5777" s="286"/>
      <c r="B5777" s="286"/>
      <c r="C5777" s="287"/>
      <c r="D5777" s="286"/>
      <c r="E5777" s="286"/>
    </row>
    <row r="5778">
      <c r="A5778" s="286"/>
      <c r="B5778" s="286"/>
      <c r="C5778" s="287"/>
      <c r="D5778" s="286"/>
      <c r="E5778" s="286"/>
    </row>
    <row r="5779">
      <c r="A5779" s="286"/>
      <c r="B5779" s="286"/>
      <c r="C5779" s="287"/>
      <c r="D5779" s="286"/>
      <c r="E5779" s="286"/>
    </row>
    <row r="5780">
      <c r="A5780" s="286"/>
      <c r="B5780" s="286"/>
      <c r="C5780" s="287"/>
      <c r="D5780" s="286"/>
      <c r="E5780" s="286"/>
    </row>
    <row r="5781">
      <c r="A5781" s="286"/>
      <c r="B5781" s="286"/>
      <c r="C5781" s="287"/>
      <c r="D5781" s="286"/>
      <c r="E5781" s="286"/>
    </row>
    <row r="5782">
      <c r="A5782" s="286"/>
      <c r="B5782" s="286"/>
      <c r="C5782" s="287"/>
      <c r="D5782" s="286"/>
      <c r="E5782" s="286"/>
    </row>
    <row r="5783">
      <c r="A5783" s="286"/>
      <c r="B5783" s="286"/>
      <c r="C5783" s="287"/>
      <c r="D5783" s="286"/>
      <c r="E5783" s="286"/>
    </row>
    <row r="5784">
      <c r="A5784" s="286"/>
      <c r="B5784" s="286"/>
      <c r="C5784" s="287"/>
      <c r="D5784" s="286"/>
      <c r="E5784" s="286"/>
    </row>
    <row r="5785">
      <c r="A5785" s="286"/>
      <c r="B5785" s="286"/>
      <c r="C5785" s="287"/>
      <c r="D5785" s="286"/>
      <c r="E5785" s="286"/>
    </row>
    <row r="5786">
      <c r="A5786" s="286"/>
      <c r="B5786" s="286"/>
      <c r="C5786" s="287"/>
      <c r="D5786" s="286"/>
      <c r="E5786" s="286"/>
    </row>
    <row r="5787">
      <c r="A5787" s="286"/>
      <c r="B5787" s="286"/>
      <c r="C5787" s="287"/>
      <c r="D5787" s="286"/>
      <c r="E5787" s="286"/>
    </row>
    <row r="5788">
      <c r="A5788" s="286"/>
      <c r="B5788" s="286"/>
      <c r="C5788" s="287"/>
      <c r="D5788" s="286"/>
      <c r="E5788" s="286"/>
    </row>
    <row r="5789">
      <c r="A5789" s="286"/>
      <c r="B5789" s="286"/>
      <c r="C5789" s="287"/>
      <c r="D5789" s="286"/>
      <c r="E5789" s="286"/>
    </row>
    <row r="5790">
      <c r="A5790" s="286"/>
      <c r="B5790" s="286"/>
      <c r="C5790" s="287"/>
      <c r="D5790" s="286"/>
      <c r="E5790" s="286"/>
    </row>
    <row r="5791">
      <c r="A5791" s="286"/>
      <c r="B5791" s="286"/>
      <c r="C5791" s="287"/>
      <c r="D5791" s="286"/>
      <c r="E5791" s="286"/>
    </row>
    <row r="5792">
      <c r="A5792" s="286"/>
      <c r="B5792" s="286"/>
      <c r="C5792" s="287"/>
      <c r="D5792" s="286"/>
      <c r="E5792" s="286"/>
    </row>
    <row r="5793">
      <c r="A5793" s="286"/>
      <c r="B5793" s="286"/>
      <c r="C5793" s="287"/>
      <c r="D5793" s="286"/>
      <c r="E5793" s="286"/>
    </row>
    <row r="5794">
      <c r="A5794" s="286"/>
      <c r="B5794" s="286"/>
      <c r="C5794" s="287"/>
      <c r="D5794" s="286"/>
      <c r="E5794" s="286"/>
    </row>
    <row r="5795">
      <c r="A5795" s="286"/>
      <c r="B5795" s="286"/>
      <c r="C5795" s="287"/>
      <c r="D5795" s="286"/>
      <c r="E5795" s="286"/>
    </row>
    <row r="5796">
      <c r="A5796" s="286"/>
      <c r="B5796" s="286"/>
      <c r="C5796" s="287"/>
      <c r="D5796" s="286"/>
      <c r="E5796" s="286"/>
    </row>
    <row r="5797">
      <c r="A5797" s="286"/>
      <c r="B5797" s="286"/>
      <c r="C5797" s="287"/>
      <c r="D5797" s="286"/>
      <c r="E5797" s="286"/>
    </row>
    <row r="5798">
      <c r="A5798" s="286"/>
      <c r="B5798" s="286"/>
      <c r="C5798" s="287"/>
      <c r="D5798" s="286"/>
      <c r="E5798" s="286"/>
    </row>
    <row r="5799">
      <c r="A5799" s="286"/>
      <c r="B5799" s="286"/>
      <c r="C5799" s="287"/>
      <c r="D5799" s="286"/>
      <c r="E5799" s="286"/>
    </row>
    <row r="5800">
      <c r="A5800" s="286"/>
      <c r="B5800" s="286"/>
      <c r="C5800" s="287"/>
      <c r="D5800" s="286"/>
      <c r="E5800" s="286"/>
    </row>
    <row r="5801">
      <c r="A5801" s="286"/>
      <c r="B5801" s="286"/>
      <c r="C5801" s="287"/>
      <c r="D5801" s="286"/>
      <c r="E5801" s="286"/>
    </row>
    <row r="5802">
      <c r="A5802" s="286"/>
      <c r="B5802" s="286"/>
      <c r="C5802" s="287"/>
      <c r="D5802" s="286"/>
      <c r="E5802" s="286"/>
    </row>
    <row r="5803">
      <c r="A5803" s="286"/>
      <c r="B5803" s="286"/>
      <c r="C5803" s="287"/>
      <c r="D5803" s="286"/>
      <c r="E5803" s="286"/>
    </row>
    <row r="5804">
      <c r="A5804" s="286"/>
      <c r="B5804" s="286"/>
      <c r="C5804" s="287"/>
      <c r="D5804" s="286"/>
      <c r="E5804" s="286"/>
    </row>
    <row r="5805">
      <c r="A5805" s="286"/>
      <c r="B5805" s="286"/>
      <c r="C5805" s="287"/>
      <c r="D5805" s="286"/>
      <c r="E5805" s="286"/>
    </row>
    <row r="5806">
      <c r="A5806" s="286"/>
      <c r="B5806" s="286"/>
      <c r="C5806" s="287"/>
      <c r="D5806" s="286"/>
      <c r="E5806" s="286"/>
    </row>
    <row r="5807">
      <c r="A5807" s="286"/>
      <c r="B5807" s="286"/>
      <c r="C5807" s="287"/>
      <c r="D5807" s="286"/>
      <c r="E5807" s="286"/>
    </row>
    <row r="5808">
      <c r="A5808" s="286"/>
      <c r="B5808" s="286"/>
      <c r="C5808" s="287"/>
      <c r="D5808" s="286"/>
      <c r="E5808" s="286"/>
    </row>
    <row r="5809">
      <c r="A5809" s="286"/>
      <c r="B5809" s="286"/>
      <c r="C5809" s="287"/>
      <c r="D5809" s="286"/>
      <c r="E5809" s="286"/>
    </row>
    <row r="5810">
      <c r="A5810" s="286"/>
      <c r="B5810" s="286"/>
      <c r="C5810" s="287"/>
      <c r="D5810" s="286"/>
      <c r="E5810" s="286"/>
    </row>
    <row r="5811">
      <c r="A5811" s="286"/>
      <c r="B5811" s="286"/>
      <c r="C5811" s="287"/>
      <c r="D5811" s="286"/>
      <c r="E5811" s="286"/>
    </row>
    <row r="5812">
      <c r="A5812" s="286"/>
      <c r="B5812" s="286"/>
      <c r="C5812" s="287"/>
      <c r="D5812" s="286"/>
      <c r="E5812" s="286"/>
    </row>
    <row r="5813">
      <c r="A5813" s="286"/>
      <c r="B5813" s="286"/>
      <c r="C5813" s="287"/>
      <c r="D5813" s="286"/>
      <c r="E5813" s="286"/>
    </row>
    <row r="5814">
      <c r="A5814" s="286"/>
      <c r="B5814" s="286"/>
      <c r="C5814" s="287"/>
      <c r="D5814" s="286"/>
      <c r="E5814" s="286"/>
    </row>
    <row r="5815">
      <c r="A5815" s="286"/>
      <c r="B5815" s="286"/>
      <c r="C5815" s="287"/>
      <c r="D5815" s="286"/>
      <c r="E5815" s="286"/>
    </row>
    <row r="5816">
      <c r="A5816" s="286"/>
      <c r="B5816" s="286"/>
      <c r="C5816" s="287"/>
      <c r="D5816" s="286"/>
      <c r="E5816" s="286"/>
    </row>
    <row r="5817">
      <c r="A5817" s="286"/>
      <c r="B5817" s="286"/>
      <c r="C5817" s="287"/>
      <c r="D5817" s="286"/>
      <c r="E5817" s="286"/>
    </row>
    <row r="5818">
      <c r="A5818" s="286"/>
      <c r="B5818" s="286"/>
      <c r="C5818" s="287"/>
      <c r="D5818" s="286"/>
      <c r="E5818" s="286"/>
    </row>
    <row r="5819">
      <c r="A5819" s="286"/>
      <c r="B5819" s="286"/>
      <c r="C5819" s="287"/>
      <c r="D5819" s="286"/>
      <c r="E5819" s="286"/>
    </row>
    <row r="5820">
      <c r="A5820" s="286"/>
      <c r="B5820" s="286"/>
      <c r="C5820" s="287"/>
      <c r="D5820" s="286"/>
      <c r="E5820" s="286"/>
    </row>
    <row r="5821">
      <c r="A5821" s="286"/>
      <c r="B5821" s="286"/>
      <c r="C5821" s="287"/>
      <c r="D5821" s="286"/>
      <c r="E5821" s="286"/>
    </row>
    <row r="5822">
      <c r="A5822" s="286"/>
      <c r="B5822" s="286"/>
      <c r="C5822" s="287"/>
      <c r="D5822" s="286"/>
      <c r="E5822" s="286"/>
    </row>
    <row r="5823">
      <c r="A5823" s="286"/>
      <c r="B5823" s="286"/>
      <c r="C5823" s="287"/>
      <c r="D5823" s="286"/>
      <c r="E5823" s="286"/>
    </row>
    <row r="5824">
      <c r="A5824" s="286"/>
      <c r="B5824" s="286"/>
      <c r="C5824" s="287"/>
      <c r="D5824" s="286"/>
      <c r="E5824" s="286"/>
    </row>
    <row r="5825">
      <c r="A5825" s="286"/>
      <c r="B5825" s="286"/>
      <c r="C5825" s="287"/>
      <c r="D5825" s="286"/>
      <c r="E5825" s="286"/>
    </row>
    <row r="5826">
      <c r="A5826" s="286"/>
      <c r="B5826" s="286"/>
      <c r="C5826" s="287"/>
      <c r="D5826" s="286"/>
      <c r="E5826" s="286"/>
    </row>
    <row r="5827">
      <c r="A5827" s="286"/>
      <c r="B5827" s="286"/>
      <c r="C5827" s="287"/>
      <c r="D5827" s="286"/>
      <c r="E5827" s="286"/>
    </row>
    <row r="5828">
      <c r="A5828" s="286"/>
      <c r="B5828" s="286"/>
      <c r="C5828" s="287"/>
      <c r="D5828" s="286"/>
      <c r="E5828" s="286"/>
    </row>
    <row r="5829">
      <c r="A5829" s="286"/>
      <c r="B5829" s="286"/>
      <c r="C5829" s="287"/>
      <c r="D5829" s="286"/>
      <c r="E5829" s="286"/>
    </row>
    <row r="5830">
      <c r="A5830" s="286"/>
      <c r="B5830" s="286"/>
      <c r="C5830" s="287"/>
      <c r="D5830" s="286"/>
      <c r="E5830" s="286"/>
    </row>
    <row r="5831">
      <c r="A5831" s="286"/>
      <c r="B5831" s="286"/>
      <c r="C5831" s="287"/>
      <c r="D5831" s="286"/>
      <c r="E5831" s="286"/>
    </row>
    <row r="5832">
      <c r="A5832" s="286"/>
      <c r="B5832" s="286"/>
      <c r="C5832" s="287"/>
      <c r="D5832" s="286"/>
      <c r="E5832" s="286"/>
    </row>
    <row r="5833">
      <c r="A5833" s="286"/>
      <c r="B5833" s="286"/>
      <c r="C5833" s="287"/>
      <c r="D5833" s="286"/>
      <c r="E5833" s="286"/>
    </row>
    <row r="5834">
      <c r="A5834" s="286"/>
      <c r="B5834" s="286"/>
      <c r="C5834" s="287"/>
      <c r="D5834" s="286"/>
      <c r="E5834" s="286"/>
    </row>
    <row r="5835">
      <c r="A5835" s="286"/>
      <c r="B5835" s="286"/>
      <c r="C5835" s="287"/>
      <c r="D5835" s="286"/>
      <c r="E5835" s="286"/>
    </row>
    <row r="5836">
      <c r="A5836" s="286"/>
      <c r="B5836" s="286"/>
      <c r="C5836" s="287"/>
      <c r="D5836" s="286"/>
      <c r="E5836" s="286"/>
    </row>
    <row r="5837">
      <c r="A5837" s="286"/>
      <c r="B5837" s="286"/>
      <c r="C5837" s="287"/>
      <c r="D5837" s="286"/>
      <c r="E5837" s="286"/>
    </row>
    <row r="5838">
      <c r="A5838" s="286"/>
      <c r="B5838" s="286"/>
      <c r="C5838" s="287"/>
      <c r="D5838" s="286"/>
      <c r="E5838" s="286"/>
    </row>
    <row r="5839">
      <c r="A5839" s="286"/>
      <c r="B5839" s="286"/>
      <c r="C5839" s="287"/>
      <c r="D5839" s="286"/>
      <c r="E5839" s="286"/>
    </row>
    <row r="5840">
      <c r="A5840" s="286"/>
      <c r="B5840" s="286"/>
      <c r="C5840" s="287"/>
      <c r="D5840" s="286"/>
      <c r="E5840" s="286"/>
    </row>
    <row r="5841">
      <c r="A5841" s="286"/>
      <c r="B5841" s="286"/>
      <c r="C5841" s="287"/>
      <c r="D5841" s="286"/>
      <c r="E5841" s="286"/>
    </row>
    <row r="5842">
      <c r="A5842" s="286"/>
      <c r="B5842" s="286"/>
      <c r="C5842" s="287"/>
      <c r="D5842" s="286"/>
      <c r="E5842" s="286"/>
    </row>
    <row r="5843">
      <c r="A5843" s="286"/>
      <c r="B5843" s="286"/>
      <c r="C5843" s="287"/>
      <c r="D5843" s="286"/>
      <c r="E5843" s="286"/>
    </row>
    <row r="5844">
      <c r="A5844" s="286"/>
      <c r="B5844" s="286"/>
      <c r="C5844" s="287"/>
      <c r="D5844" s="286"/>
      <c r="E5844" s="286"/>
    </row>
    <row r="5845">
      <c r="A5845" s="286"/>
      <c r="B5845" s="286"/>
      <c r="C5845" s="287"/>
      <c r="D5845" s="286"/>
      <c r="E5845" s="286"/>
    </row>
    <row r="5846">
      <c r="A5846" s="286"/>
      <c r="B5846" s="286"/>
      <c r="C5846" s="287"/>
      <c r="D5846" s="286"/>
      <c r="E5846" s="286"/>
    </row>
    <row r="5847">
      <c r="A5847" s="286"/>
      <c r="B5847" s="286"/>
      <c r="C5847" s="287"/>
      <c r="D5847" s="286"/>
      <c r="E5847" s="286"/>
    </row>
    <row r="5848">
      <c r="A5848" s="286"/>
      <c r="B5848" s="286"/>
      <c r="C5848" s="287"/>
      <c r="D5848" s="286"/>
      <c r="E5848" s="286"/>
    </row>
    <row r="5849">
      <c r="A5849" s="286"/>
      <c r="B5849" s="286"/>
      <c r="C5849" s="287"/>
      <c r="D5849" s="286"/>
      <c r="E5849" s="286"/>
    </row>
    <row r="5850">
      <c r="A5850" s="286"/>
      <c r="B5850" s="286"/>
      <c r="C5850" s="287"/>
      <c r="D5850" s="286"/>
      <c r="E5850" s="286"/>
    </row>
    <row r="5851">
      <c r="A5851" s="286"/>
      <c r="B5851" s="286"/>
      <c r="C5851" s="287"/>
      <c r="D5851" s="286"/>
      <c r="E5851" s="286"/>
    </row>
    <row r="5852">
      <c r="A5852" s="286"/>
      <c r="B5852" s="286"/>
      <c r="C5852" s="287"/>
      <c r="D5852" s="286"/>
      <c r="E5852" s="286"/>
    </row>
    <row r="5853">
      <c r="A5853" s="286"/>
      <c r="B5853" s="286"/>
      <c r="C5853" s="287"/>
      <c r="D5853" s="286"/>
      <c r="E5853" s="286"/>
    </row>
    <row r="5854">
      <c r="A5854" s="286"/>
      <c r="B5854" s="286"/>
      <c r="C5854" s="287"/>
      <c r="D5854" s="286"/>
      <c r="E5854" s="286"/>
    </row>
    <row r="5855">
      <c r="A5855" s="286"/>
      <c r="B5855" s="286"/>
      <c r="C5855" s="287"/>
      <c r="D5855" s="286"/>
      <c r="E5855" s="286"/>
    </row>
    <row r="5856">
      <c r="A5856" s="286"/>
      <c r="B5856" s="286"/>
      <c r="C5856" s="287"/>
      <c r="D5856" s="286"/>
      <c r="E5856" s="286"/>
    </row>
    <row r="5857">
      <c r="A5857" s="286"/>
      <c r="B5857" s="286"/>
      <c r="C5857" s="287"/>
      <c r="D5857" s="286"/>
      <c r="E5857" s="286"/>
    </row>
    <row r="5858">
      <c r="A5858" s="286"/>
      <c r="B5858" s="286"/>
      <c r="C5858" s="287"/>
      <c r="D5858" s="286"/>
      <c r="E5858" s="286"/>
    </row>
    <row r="5859">
      <c r="A5859" s="286"/>
      <c r="B5859" s="286"/>
      <c r="C5859" s="287"/>
      <c r="D5859" s="286"/>
      <c r="E5859" s="286"/>
    </row>
    <row r="5860">
      <c r="A5860" s="286"/>
      <c r="B5860" s="286"/>
      <c r="C5860" s="287"/>
      <c r="D5860" s="286"/>
      <c r="E5860" s="286"/>
    </row>
    <row r="5861">
      <c r="A5861" s="286"/>
      <c r="B5861" s="286"/>
      <c r="C5861" s="287"/>
      <c r="D5861" s="286"/>
      <c r="E5861" s="286"/>
    </row>
    <row r="5862">
      <c r="A5862" s="286"/>
      <c r="B5862" s="286"/>
      <c r="C5862" s="287"/>
      <c r="D5862" s="286"/>
      <c r="E5862" s="286"/>
    </row>
    <row r="5863">
      <c r="A5863" s="286"/>
      <c r="B5863" s="286"/>
      <c r="C5863" s="287"/>
      <c r="D5863" s="286"/>
      <c r="E5863" s="286"/>
    </row>
    <row r="5864">
      <c r="A5864" s="286"/>
      <c r="B5864" s="286"/>
      <c r="C5864" s="287"/>
      <c r="D5864" s="286"/>
      <c r="E5864" s="286"/>
    </row>
    <row r="5865">
      <c r="A5865" s="286"/>
      <c r="B5865" s="286"/>
      <c r="C5865" s="287"/>
      <c r="D5865" s="286"/>
      <c r="E5865" s="286"/>
    </row>
    <row r="5866">
      <c r="A5866" s="286"/>
      <c r="B5866" s="286"/>
      <c r="C5866" s="287"/>
      <c r="D5866" s="286"/>
      <c r="E5866" s="286"/>
    </row>
    <row r="5867">
      <c r="A5867" s="286"/>
      <c r="B5867" s="286"/>
      <c r="C5867" s="287"/>
      <c r="D5867" s="286"/>
      <c r="E5867" s="286"/>
    </row>
    <row r="5868">
      <c r="A5868" s="286"/>
      <c r="B5868" s="286"/>
      <c r="C5868" s="287"/>
      <c r="D5868" s="286"/>
      <c r="E5868" s="286"/>
    </row>
    <row r="5869">
      <c r="A5869" s="286"/>
      <c r="B5869" s="286"/>
      <c r="C5869" s="287"/>
      <c r="D5869" s="286"/>
      <c r="E5869" s="286"/>
    </row>
    <row r="5870">
      <c r="A5870" s="286"/>
      <c r="B5870" s="286"/>
      <c r="C5870" s="287"/>
      <c r="D5870" s="286"/>
      <c r="E5870" s="286"/>
    </row>
    <row r="5871">
      <c r="A5871" s="286"/>
      <c r="B5871" s="286"/>
      <c r="C5871" s="287"/>
      <c r="D5871" s="286"/>
      <c r="E5871" s="286"/>
    </row>
    <row r="5872">
      <c r="A5872" s="286"/>
      <c r="B5872" s="286"/>
      <c r="C5872" s="287"/>
      <c r="D5872" s="286"/>
      <c r="E5872" s="286"/>
    </row>
    <row r="5873">
      <c r="A5873" s="286"/>
      <c r="B5873" s="286"/>
      <c r="C5873" s="287"/>
      <c r="D5873" s="286"/>
      <c r="E5873" s="286"/>
    </row>
    <row r="5874">
      <c r="A5874" s="286"/>
      <c r="B5874" s="286"/>
      <c r="C5874" s="287"/>
      <c r="D5874" s="286"/>
      <c r="E5874" s="286"/>
    </row>
    <row r="5875">
      <c r="A5875" s="286"/>
      <c r="B5875" s="286"/>
      <c r="C5875" s="287"/>
      <c r="D5875" s="286"/>
      <c r="E5875" s="286"/>
    </row>
    <row r="5876">
      <c r="A5876" s="286"/>
      <c r="B5876" s="286"/>
      <c r="C5876" s="287"/>
      <c r="D5876" s="286"/>
      <c r="E5876" s="286"/>
    </row>
    <row r="5877">
      <c r="A5877" s="286"/>
      <c r="B5877" s="286"/>
      <c r="C5877" s="287"/>
      <c r="D5877" s="286"/>
      <c r="E5877" s="286"/>
    </row>
    <row r="5878">
      <c r="A5878" s="286"/>
      <c r="B5878" s="286"/>
      <c r="C5878" s="287"/>
      <c r="D5878" s="286"/>
      <c r="E5878" s="286"/>
    </row>
    <row r="5879">
      <c r="A5879" s="286"/>
      <c r="B5879" s="286"/>
      <c r="C5879" s="287"/>
      <c r="D5879" s="286"/>
      <c r="E5879" s="286"/>
    </row>
    <row r="5880">
      <c r="A5880" s="286"/>
      <c r="B5880" s="286"/>
      <c r="C5880" s="287"/>
      <c r="D5880" s="286"/>
      <c r="E5880" s="286"/>
    </row>
    <row r="5881">
      <c r="A5881" s="286"/>
      <c r="B5881" s="286"/>
      <c r="C5881" s="287"/>
      <c r="D5881" s="286"/>
      <c r="E5881" s="286"/>
    </row>
    <row r="5882">
      <c r="A5882" s="286"/>
      <c r="B5882" s="286"/>
      <c r="C5882" s="287"/>
      <c r="D5882" s="286"/>
      <c r="E5882" s="286"/>
    </row>
    <row r="5883">
      <c r="A5883" s="286"/>
      <c r="B5883" s="286"/>
      <c r="C5883" s="287"/>
      <c r="D5883" s="286"/>
      <c r="E5883" s="286"/>
    </row>
    <row r="5884">
      <c r="A5884" s="286"/>
      <c r="B5884" s="286"/>
      <c r="C5884" s="287"/>
      <c r="D5884" s="286"/>
      <c r="E5884" s="286"/>
    </row>
    <row r="5885">
      <c r="A5885" s="286"/>
      <c r="B5885" s="286"/>
      <c r="C5885" s="287"/>
      <c r="D5885" s="286"/>
      <c r="E5885" s="286"/>
    </row>
    <row r="5886">
      <c r="A5886" s="286"/>
      <c r="B5886" s="286"/>
      <c r="C5886" s="287"/>
      <c r="D5886" s="286"/>
      <c r="E5886" s="286"/>
    </row>
    <row r="5887">
      <c r="A5887" s="286"/>
      <c r="B5887" s="286"/>
      <c r="C5887" s="287"/>
      <c r="D5887" s="286"/>
      <c r="E5887" s="286"/>
    </row>
    <row r="5888">
      <c r="A5888" s="286"/>
      <c r="B5888" s="286"/>
      <c r="C5888" s="287"/>
      <c r="D5888" s="286"/>
      <c r="E5888" s="286"/>
    </row>
    <row r="5889">
      <c r="A5889" s="286"/>
      <c r="B5889" s="286"/>
      <c r="C5889" s="287"/>
      <c r="D5889" s="286"/>
      <c r="E5889" s="286"/>
    </row>
    <row r="5890">
      <c r="A5890" s="286"/>
      <c r="B5890" s="286"/>
      <c r="C5890" s="287"/>
      <c r="D5890" s="286"/>
      <c r="E5890" s="286"/>
    </row>
    <row r="5891">
      <c r="A5891" s="286"/>
      <c r="B5891" s="286"/>
      <c r="C5891" s="287"/>
      <c r="D5891" s="286"/>
      <c r="E5891" s="286"/>
    </row>
    <row r="5892">
      <c r="A5892" s="286"/>
      <c r="B5892" s="286"/>
      <c r="C5892" s="287"/>
      <c r="D5892" s="286"/>
      <c r="E5892" s="286"/>
    </row>
    <row r="5893">
      <c r="A5893" s="286"/>
      <c r="B5893" s="286"/>
      <c r="C5893" s="287"/>
      <c r="D5893" s="286"/>
      <c r="E5893" s="286"/>
    </row>
    <row r="5894">
      <c r="A5894" s="286"/>
      <c r="B5894" s="286"/>
      <c r="C5894" s="287"/>
      <c r="D5894" s="286"/>
      <c r="E5894" s="286"/>
    </row>
    <row r="5895">
      <c r="A5895" s="286"/>
      <c r="B5895" s="286"/>
      <c r="C5895" s="287"/>
      <c r="D5895" s="286"/>
      <c r="E5895" s="286"/>
    </row>
    <row r="5896">
      <c r="A5896" s="286"/>
      <c r="B5896" s="286"/>
      <c r="C5896" s="287"/>
      <c r="D5896" s="286"/>
      <c r="E5896" s="286"/>
    </row>
    <row r="5897">
      <c r="A5897" s="286"/>
      <c r="B5897" s="286"/>
      <c r="C5897" s="287"/>
      <c r="D5897" s="286"/>
      <c r="E5897" s="286"/>
    </row>
    <row r="5898">
      <c r="A5898" s="286"/>
      <c r="B5898" s="286"/>
      <c r="C5898" s="287"/>
      <c r="D5898" s="286"/>
      <c r="E5898" s="286"/>
    </row>
    <row r="5899">
      <c r="A5899" s="286"/>
      <c r="B5899" s="286"/>
      <c r="C5899" s="287"/>
      <c r="D5899" s="286"/>
      <c r="E5899" s="286"/>
    </row>
    <row r="5900">
      <c r="A5900" s="286"/>
      <c r="B5900" s="286"/>
      <c r="C5900" s="287"/>
      <c r="D5900" s="286"/>
      <c r="E5900" s="286"/>
    </row>
    <row r="5901">
      <c r="A5901" s="286"/>
      <c r="B5901" s="286"/>
      <c r="C5901" s="287"/>
      <c r="D5901" s="286"/>
      <c r="E5901" s="286"/>
    </row>
    <row r="5902">
      <c r="A5902" s="286"/>
      <c r="B5902" s="286"/>
      <c r="C5902" s="287"/>
      <c r="D5902" s="286"/>
      <c r="E5902" s="286"/>
    </row>
    <row r="5903">
      <c r="A5903" s="286"/>
      <c r="B5903" s="286"/>
      <c r="C5903" s="287"/>
      <c r="D5903" s="286"/>
      <c r="E5903" s="286"/>
    </row>
    <row r="5904">
      <c r="A5904" s="286"/>
      <c r="B5904" s="286"/>
      <c r="C5904" s="287"/>
      <c r="D5904" s="286"/>
      <c r="E5904" s="286"/>
    </row>
    <row r="5905">
      <c r="A5905" s="286"/>
      <c r="B5905" s="286"/>
      <c r="C5905" s="287"/>
      <c r="D5905" s="286"/>
      <c r="E5905" s="286"/>
    </row>
    <row r="5906">
      <c r="A5906" s="286"/>
      <c r="B5906" s="286"/>
      <c r="C5906" s="287"/>
      <c r="D5906" s="286"/>
      <c r="E5906" s="286"/>
    </row>
    <row r="5907">
      <c r="A5907" s="286"/>
      <c r="B5907" s="286"/>
      <c r="C5907" s="287"/>
      <c r="D5907" s="286"/>
      <c r="E5907" s="286"/>
    </row>
    <row r="5908">
      <c r="A5908" s="286"/>
      <c r="B5908" s="286"/>
      <c r="C5908" s="287"/>
      <c r="D5908" s="286"/>
      <c r="E5908" s="286"/>
    </row>
    <row r="5909">
      <c r="A5909" s="286"/>
      <c r="B5909" s="286"/>
      <c r="C5909" s="287"/>
      <c r="D5909" s="286"/>
      <c r="E5909" s="286"/>
    </row>
    <row r="5910">
      <c r="A5910" s="286"/>
      <c r="B5910" s="286"/>
      <c r="C5910" s="287"/>
      <c r="D5910" s="286"/>
      <c r="E5910" s="286"/>
    </row>
    <row r="5911">
      <c r="A5911" s="286"/>
      <c r="B5911" s="286"/>
      <c r="C5911" s="287"/>
      <c r="D5911" s="286"/>
      <c r="E5911" s="286"/>
    </row>
    <row r="5912">
      <c r="A5912" s="286"/>
      <c r="B5912" s="286"/>
      <c r="C5912" s="287"/>
      <c r="D5912" s="286"/>
      <c r="E5912" s="286"/>
    </row>
    <row r="5913">
      <c r="A5913" s="286"/>
      <c r="B5913" s="286"/>
      <c r="C5913" s="287"/>
      <c r="D5913" s="286"/>
      <c r="E5913" s="286"/>
    </row>
    <row r="5914">
      <c r="A5914" s="286"/>
      <c r="B5914" s="286"/>
      <c r="C5914" s="287"/>
      <c r="D5914" s="286"/>
      <c r="E5914" s="286"/>
    </row>
    <row r="5915">
      <c r="A5915" s="286"/>
      <c r="B5915" s="286"/>
      <c r="C5915" s="287"/>
      <c r="D5915" s="286"/>
      <c r="E5915" s="286"/>
    </row>
    <row r="5916">
      <c r="A5916" s="286"/>
      <c r="B5916" s="286"/>
      <c r="C5916" s="287"/>
      <c r="D5916" s="286"/>
      <c r="E5916" s="286"/>
    </row>
    <row r="5917">
      <c r="A5917" s="286"/>
      <c r="B5917" s="286"/>
      <c r="C5917" s="287"/>
      <c r="D5917" s="286"/>
      <c r="E5917" s="286"/>
    </row>
    <row r="5918">
      <c r="A5918" s="286"/>
      <c r="B5918" s="286"/>
      <c r="C5918" s="287"/>
      <c r="D5918" s="286"/>
      <c r="E5918" s="286"/>
    </row>
    <row r="5919">
      <c r="A5919" s="286"/>
      <c r="B5919" s="286"/>
      <c r="C5919" s="287"/>
      <c r="D5919" s="286"/>
      <c r="E5919" s="286"/>
    </row>
    <row r="5920">
      <c r="A5920" s="286"/>
      <c r="B5920" s="286"/>
      <c r="C5920" s="287"/>
      <c r="D5920" s="286"/>
      <c r="E5920" s="286"/>
    </row>
    <row r="5921">
      <c r="A5921" s="286"/>
      <c r="B5921" s="286"/>
      <c r="C5921" s="287"/>
      <c r="D5921" s="286"/>
      <c r="E5921" s="286"/>
    </row>
    <row r="5922">
      <c r="A5922" s="286"/>
      <c r="B5922" s="286"/>
      <c r="C5922" s="287"/>
      <c r="D5922" s="286"/>
      <c r="E5922" s="286"/>
    </row>
    <row r="5923">
      <c r="A5923" s="286"/>
      <c r="B5923" s="286"/>
      <c r="C5923" s="287"/>
      <c r="D5923" s="286"/>
      <c r="E5923" s="286"/>
    </row>
    <row r="5924">
      <c r="A5924" s="286"/>
      <c r="B5924" s="286"/>
      <c r="C5924" s="287"/>
      <c r="D5924" s="286"/>
      <c r="E5924" s="286"/>
    </row>
    <row r="5925">
      <c r="A5925" s="286"/>
      <c r="B5925" s="286"/>
      <c r="C5925" s="287"/>
      <c r="D5925" s="286"/>
      <c r="E5925" s="286"/>
    </row>
    <row r="5926">
      <c r="A5926" s="286"/>
      <c r="B5926" s="286"/>
      <c r="C5926" s="287"/>
      <c r="D5926" s="286"/>
      <c r="E5926" s="286"/>
    </row>
    <row r="5927">
      <c r="A5927" s="286"/>
      <c r="B5927" s="286"/>
      <c r="C5927" s="287"/>
      <c r="D5927" s="286"/>
      <c r="E5927" s="286"/>
    </row>
    <row r="5928">
      <c r="A5928" s="286"/>
      <c r="B5928" s="286"/>
      <c r="C5928" s="287"/>
      <c r="D5928" s="286"/>
      <c r="E5928" s="286"/>
    </row>
    <row r="5929">
      <c r="A5929" s="286"/>
      <c r="B5929" s="286"/>
      <c r="C5929" s="287"/>
      <c r="D5929" s="286"/>
      <c r="E5929" s="286"/>
    </row>
    <row r="5930">
      <c r="A5930" s="286"/>
      <c r="B5930" s="286"/>
      <c r="C5930" s="287"/>
      <c r="D5930" s="286"/>
      <c r="E5930" s="286"/>
    </row>
    <row r="5931">
      <c r="A5931" s="286"/>
      <c r="B5931" s="286"/>
      <c r="C5931" s="287"/>
      <c r="D5931" s="286"/>
      <c r="E5931" s="286"/>
    </row>
    <row r="5932">
      <c r="A5932" s="286"/>
      <c r="B5932" s="286"/>
      <c r="C5932" s="287"/>
      <c r="D5932" s="286"/>
      <c r="E5932" s="286"/>
    </row>
    <row r="5933">
      <c r="A5933" s="286"/>
      <c r="B5933" s="286"/>
      <c r="C5933" s="287"/>
      <c r="D5933" s="286"/>
      <c r="E5933" s="286"/>
    </row>
    <row r="5934">
      <c r="A5934" s="286"/>
      <c r="B5934" s="286"/>
      <c r="C5934" s="287"/>
      <c r="D5934" s="286"/>
      <c r="E5934" s="286"/>
    </row>
    <row r="5935">
      <c r="A5935" s="286"/>
      <c r="B5935" s="286"/>
      <c r="C5935" s="287"/>
      <c r="D5935" s="286"/>
      <c r="E5935" s="286"/>
    </row>
    <row r="5936">
      <c r="A5936" s="286"/>
      <c r="B5936" s="286"/>
      <c r="C5936" s="287"/>
      <c r="D5936" s="286"/>
      <c r="E5936" s="286"/>
    </row>
    <row r="5937">
      <c r="A5937" s="286"/>
      <c r="B5937" s="286"/>
      <c r="C5937" s="287"/>
      <c r="D5937" s="286"/>
      <c r="E5937" s="286"/>
    </row>
    <row r="5938">
      <c r="A5938" s="286"/>
      <c r="B5938" s="286"/>
      <c r="C5938" s="287"/>
      <c r="D5938" s="286"/>
      <c r="E5938" s="286"/>
    </row>
    <row r="5939">
      <c r="A5939" s="286"/>
      <c r="B5939" s="286"/>
      <c r="C5939" s="287"/>
      <c r="D5939" s="286"/>
      <c r="E5939" s="286"/>
    </row>
    <row r="5940">
      <c r="A5940" s="286"/>
      <c r="B5940" s="286"/>
      <c r="C5940" s="287"/>
      <c r="D5940" s="286"/>
      <c r="E5940" s="286"/>
    </row>
    <row r="5941">
      <c r="A5941" s="286"/>
      <c r="B5941" s="286"/>
      <c r="C5941" s="287"/>
      <c r="D5941" s="286"/>
      <c r="E5941" s="286"/>
    </row>
    <row r="5942">
      <c r="A5942" s="286"/>
      <c r="B5942" s="286"/>
      <c r="C5942" s="287"/>
      <c r="D5942" s="286"/>
      <c r="E5942" s="286"/>
    </row>
    <row r="5943">
      <c r="A5943" s="286"/>
      <c r="B5943" s="286"/>
      <c r="C5943" s="287"/>
      <c r="D5943" s="286"/>
      <c r="E5943" s="286"/>
    </row>
    <row r="5944">
      <c r="A5944" s="286"/>
      <c r="B5944" s="286"/>
      <c r="C5944" s="287"/>
      <c r="D5944" s="286"/>
      <c r="E5944" s="286"/>
    </row>
    <row r="5945">
      <c r="A5945" s="286"/>
      <c r="B5945" s="286"/>
      <c r="C5945" s="287"/>
      <c r="D5945" s="286"/>
      <c r="E5945" s="286"/>
    </row>
    <row r="5946">
      <c r="A5946" s="286"/>
      <c r="B5946" s="286"/>
      <c r="C5946" s="287"/>
      <c r="D5946" s="286"/>
      <c r="E5946" s="286"/>
    </row>
    <row r="5947">
      <c r="A5947" s="286"/>
      <c r="B5947" s="286"/>
      <c r="C5947" s="287"/>
      <c r="D5947" s="286"/>
      <c r="E5947" s="286"/>
    </row>
    <row r="5948">
      <c r="A5948" s="286"/>
      <c r="B5948" s="286"/>
      <c r="C5948" s="287"/>
      <c r="D5948" s="286"/>
      <c r="E5948" s="286"/>
    </row>
    <row r="5949">
      <c r="A5949" s="286"/>
      <c r="B5949" s="286"/>
      <c r="C5949" s="287"/>
      <c r="D5949" s="286"/>
      <c r="E5949" s="286"/>
    </row>
    <row r="5950">
      <c r="A5950" s="286"/>
      <c r="B5950" s="286"/>
      <c r="C5950" s="287"/>
      <c r="D5950" s="286"/>
      <c r="E5950" s="286"/>
    </row>
    <row r="5951">
      <c r="A5951" s="286"/>
      <c r="B5951" s="286"/>
      <c r="C5951" s="287"/>
      <c r="D5951" s="286"/>
      <c r="E5951" s="286"/>
    </row>
    <row r="5952">
      <c r="A5952" s="286"/>
      <c r="B5952" s="286"/>
      <c r="C5952" s="287"/>
      <c r="D5952" s="286"/>
      <c r="E5952" s="286"/>
    </row>
    <row r="5953">
      <c r="A5953" s="286"/>
      <c r="B5953" s="286"/>
      <c r="C5953" s="287"/>
      <c r="D5953" s="286"/>
      <c r="E5953" s="286"/>
    </row>
    <row r="5954">
      <c r="A5954" s="286"/>
      <c r="B5954" s="286"/>
      <c r="C5954" s="287"/>
      <c r="D5954" s="286"/>
      <c r="E5954" s="286"/>
    </row>
    <row r="5955">
      <c r="A5955" s="286"/>
      <c r="B5955" s="286"/>
      <c r="C5955" s="287"/>
      <c r="D5955" s="286"/>
      <c r="E5955" s="286"/>
    </row>
    <row r="5956">
      <c r="A5956" s="286"/>
      <c r="B5956" s="286"/>
      <c r="C5956" s="287"/>
      <c r="D5956" s="286"/>
      <c r="E5956" s="286"/>
    </row>
    <row r="5957">
      <c r="A5957" s="286"/>
      <c r="B5957" s="286"/>
      <c r="C5957" s="287"/>
      <c r="D5957" s="286"/>
      <c r="E5957" s="286"/>
    </row>
    <row r="5958">
      <c r="A5958" s="286"/>
      <c r="B5958" s="286"/>
      <c r="C5958" s="287"/>
      <c r="D5958" s="286"/>
      <c r="E5958" s="286"/>
    </row>
    <row r="5959">
      <c r="A5959" s="286"/>
      <c r="B5959" s="286"/>
      <c r="C5959" s="287"/>
      <c r="D5959" s="286"/>
      <c r="E5959" s="286"/>
    </row>
    <row r="5960">
      <c r="A5960" s="286"/>
      <c r="B5960" s="286"/>
      <c r="C5960" s="287"/>
      <c r="D5960" s="286"/>
      <c r="E5960" s="286"/>
    </row>
    <row r="5961">
      <c r="A5961" s="286"/>
      <c r="B5961" s="286"/>
      <c r="C5961" s="287"/>
      <c r="D5961" s="286"/>
      <c r="E5961" s="286"/>
    </row>
    <row r="5962">
      <c r="A5962" s="286"/>
      <c r="B5962" s="286"/>
      <c r="C5962" s="287"/>
      <c r="D5962" s="286"/>
      <c r="E5962" s="286"/>
    </row>
    <row r="5963">
      <c r="A5963" s="286"/>
      <c r="B5963" s="286"/>
      <c r="C5963" s="287"/>
      <c r="D5963" s="286"/>
      <c r="E5963" s="286"/>
    </row>
    <row r="5964">
      <c r="A5964" s="286"/>
      <c r="B5964" s="286"/>
      <c r="C5964" s="287"/>
      <c r="D5964" s="286"/>
      <c r="E5964" s="286"/>
    </row>
    <row r="5965">
      <c r="A5965" s="286"/>
      <c r="B5965" s="286"/>
      <c r="C5965" s="287"/>
      <c r="D5965" s="286"/>
      <c r="E5965" s="286"/>
    </row>
    <row r="5966">
      <c r="A5966" s="286"/>
      <c r="B5966" s="286"/>
      <c r="C5966" s="287"/>
      <c r="D5966" s="286"/>
      <c r="E5966" s="286"/>
    </row>
    <row r="5967">
      <c r="A5967" s="286"/>
      <c r="B5967" s="286"/>
      <c r="C5967" s="287"/>
      <c r="D5967" s="286"/>
      <c r="E5967" s="286"/>
    </row>
    <row r="5968">
      <c r="A5968" s="286"/>
      <c r="B5968" s="286"/>
      <c r="C5968" s="287"/>
      <c r="D5968" s="286"/>
      <c r="E5968" s="286"/>
    </row>
    <row r="5969">
      <c r="A5969" s="286"/>
      <c r="B5969" s="286"/>
      <c r="C5969" s="287"/>
      <c r="D5969" s="286"/>
      <c r="E5969" s="286"/>
    </row>
    <row r="5970">
      <c r="A5970" s="286"/>
      <c r="B5970" s="286"/>
      <c r="C5970" s="287"/>
      <c r="D5970" s="286"/>
      <c r="E5970" s="286"/>
    </row>
    <row r="5971">
      <c r="A5971" s="286"/>
      <c r="B5971" s="286"/>
      <c r="C5971" s="287"/>
      <c r="D5971" s="286"/>
      <c r="E5971" s="286"/>
    </row>
    <row r="5972">
      <c r="A5972" s="286"/>
      <c r="B5972" s="286"/>
      <c r="C5972" s="287"/>
      <c r="D5972" s="286"/>
      <c r="E5972" s="286"/>
    </row>
    <row r="5973">
      <c r="A5973" s="286"/>
      <c r="B5973" s="286"/>
      <c r="C5973" s="287"/>
      <c r="D5973" s="286"/>
      <c r="E5973" s="286"/>
    </row>
    <row r="5974">
      <c r="A5974" s="286"/>
      <c r="B5974" s="286"/>
      <c r="C5974" s="287"/>
      <c r="D5974" s="286"/>
      <c r="E5974" s="286"/>
    </row>
    <row r="5975">
      <c r="A5975" s="286"/>
      <c r="B5975" s="286"/>
      <c r="C5975" s="287"/>
      <c r="D5975" s="286"/>
      <c r="E5975" s="286"/>
    </row>
    <row r="5976">
      <c r="A5976" s="286"/>
      <c r="B5976" s="286"/>
      <c r="C5976" s="287"/>
      <c r="D5976" s="286"/>
      <c r="E5976" s="286"/>
    </row>
    <row r="5977">
      <c r="A5977" s="286"/>
      <c r="B5977" s="286"/>
      <c r="C5977" s="287"/>
      <c r="D5977" s="286"/>
      <c r="E5977" s="286"/>
    </row>
    <row r="5978">
      <c r="A5978" s="286"/>
      <c r="B5978" s="286"/>
      <c r="C5978" s="287"/>
      <c r="D5978" s="286"/>
      <c r="E5978" s="286"/>
    </row>
    <row r="5979">
      <c r="A5979" s="286"/>
      <c r="B5979" s="286"/>
      <c r="C5979" s="287"/>
      <c r="D5979" s="286"/>
      <c r="E5979" s="286"/>
    </row>
    <row r="5980">
      <c r="A5980" s="286"/>
      <c r="B5980" s="286"/>
      <c r="C5980" s="287"/>
      <c r="D5980" s="286"/>
      <c r="E5980" s="286"/>
    </row>
    <row r="5981">
      <c r="A5981" s="286"/>
      <c r="B5981" s="286"/>
      <c r="C5981" s="287"/>
      <c r="D5981" s="286"/>
      <c r="E5981" s="286"/>
    </row>
    <row r="5982">
      <c r="A5982" s="286"/>
      <c r="B5982" s="286"/>
      <c r="C5982" s="287"/>
      <c r="D5982" s="286"/>
      <c r="E5982" s="286"/>
    </row>
    <row r="5983">
      <c r="A5983" s="286"/>
      <c r="B5983" s="286"/>
      <c r="C5983" s="287"/>
      <c r="D5983" s="286"/>
      <c r="E5983" s="286"/>
    </row>
    <row r="5984">
      <c r="A5984" s="286"/>
      <c r="B5984" s="286"/>
      <c r="C5984" s="287"/>
      <c r="D5984" s="286"/>
      <c r="E5984" s="286"/>
    </row>
    <row r="5985">
      <c r="A5985" s="286"/>
      <c r="B5985" s="286"/>
      <c r="C5985" s="287"/>
      <c r="D5985" s="286"/>
      <c r="E5985" s="286"/>
    </row>
    <row r="5986">
      <c r="A5986" s="286"/>
      <c r="B5986" s="286"/>
      <c r="C5986" s="287"/>
      <c r="D5986" s="286"/>
      <c r="E5986" s="286"/>
    </row>
    <row r="5987">
      <c r="A5987" s="286"/>
      <c r="B5987" s="286"/>
      <c r="C5987" s="287"/>
      <c r="D5987" s="286"/>
      <c r="E5987" s="286"/>
    </row>
    <row r="5988">
      <c r="A5988" s="286"/>
      <c r="B5988" s="286"/>
      <c r="C5988" s="287"/>
      <c r="D5988" s="286"/>
      <c r="E5988" s="286"/>
    </row>
    <row r="5989">
      <c r="A5989" s="286"/>
      <c r="B5989" s="286"/>
      <c r="C5989" s="287"/>
      <c r="D5989" s="286"/>
      <c r="E5989" s="286"/>
    </row>
    <row r="5990">
      <c r="A5990" s="286"/>
      <c r="B5990" s="286"/>
      <c r="C5990" s="287"/>
      <c r="D5990" s="286"/>
      <c r="E5990" s="286"/>
    </row>
    <row r="5991">
      <c r="A5991" s="286"/>
      <c r="B5991" s="286"/>
      <c r="C5991" s="287"/>
      <c r="D5991" s="286"/>
      <c r="E5991" s="286"/>
    </row>
    <row r="5992">
      <c r="A5992" s="286"/>
      <c r="B5992" s="286"/>
      <c r="C5992" s="287"/>
      <c r="D5992" s="286"/>
      <c r="E5992" s="286"/>
    </row>
    <row r="5993">
      <c r="A5993" s="286"/>
      <c r="B5993" s="286"/>
      <c r="C5993" s="287"/>
      <c r="D5993" s="286"/>
      <c r="E5993" s="286"/>
    </row>
    <row r="5994">
      <c r="A5994" s="286"/>
      <c r="B5994" s="286"/>
      <c r="C5994" s="287"/>
      <c r="D5994" s="286"/>
      <c r="E5994" s="286"/>
    </row>
    <row r="5995">
      <c r="A5995" s="286"/>
      <c r="B5995" s="286"/>
      <c r="C5995" s="287"/>
      <c r="D5995" s="286"/>
      <c r="E5995" s="286"/>
    </row>
    <row r="5996">
      <c r="A5996" s="286"/>
      <c r="B5996" s="286"/>
      <c r="C5996" s="287"/>
      <c r="D5996" s="286"/>
      <c r="E5996" s="286"/>
    </row>
    <row r="5997">
      <c r="A5997" s="286"/>
      <c r="B5997" s="286"/>
      <c r="C5997" s="287"/>
      <c r="D5997" s="286"/>
      <c r="E5997" s="286"/>
    </row>
    <row r="5998">
      <c r="A5998" s="286"/>
      <c r="B5998" s="286"/>
      <c r="C5998" s="287"/>
      <c r="D5998" s="286"/>
      <c r="E5998" s="286"/>
    </row>
    <row r="5999">
      <c r="A5999" s="286"/>
      <c r="B5999" s="286"/>
      <c r="C5999" s="287"/>
      <c r="D5999" s="286"/>
      <c r="E5999" s="286"/>
    </row>
    <row r="6000">
      <c r="A6000" s="286"/>
      <c r="B6000" s="286"/>
      <c r="C6000" s="287"/>
      <c r="D6000" s="286"/>
      <c r="E6000" s="286"/>
    </row>
    <row r="6001">
      <c r="A6001" s="286"/>
      <c r="B6001" s="286"/>
      <c r="C6001" s="287"/>
      <c r="D6001" s="286"/>
      <c r="E6001" s="286"/>
    </row>
    <row r="6002">
      <c r="A6002" s="286"/>
      <c r="B6002" s="286"/>
      <c r="C6002" s="287"/>
      <c r="D6002" s="286"/>
      <c r="E6002" s="286"/>
    </row>
    <row r="6003">
      <c r="A6003" s="286"/>
      <c r="B6003" s="286"/>
      <c r="C6003" s="287"/>
      <c r="D6003" s="286"/>
      <c r="E6003" s="286"/>
    </row>
    <row r="6004">
      <c r="A6004" s="286"/>
      <c r="B6004" s="286"/>
      <c r="C6004" s="287"/>
      <c r="D6004" s="286"/>
      <c r="E6004" s="286"/>
    </row>
    <row r="6005">
      <c r="A6005" s="286"/>
      <c r="B6005" s="286"/>
      <c r="C6005" s="287"/>
      <c r="D6005" s="286"/>
      <c r="E6005" s="286"/>
    </row>
    <row r="6006">
      <c r="A6006" s="286"/>
      <c r="B6006" s="286"/>
      <c r="C6006" s="287"/>
      <c r="D6006" s="286"/>
      <c r="E6006" s="286"/>
    </row>
    <row r="6007">
      <c r="A6007" s="286"/>
      <c r="B6007" s="286"/>
      <c r="C6007" s="287"/>
      <c r="D6007" s="286"/>
      <c r="E6007" s="286"/>
    </row>
    <row r="6008">
      <c r="A6008" s="286"/>
      <c r="B6008" s="286"/>
      <c r="C6008" s="287"/>
      <c r="D6008" s="286"/>
      <c r="E6008" s="286"/>
    </row>
    <row r="6009">
      <c r="A6009" s="286"/>
      <c r="B6009" s="286"/>
      <c r="C6009" s="287"/>
      <c r="D6009" s="286"/>
      <c r="E6009" s="286"/>
    </row>
    <row r="6010">
      <c r="A6010" s="286"/>
      <c r="B6010" s="286"/>
      <c r="C6010" s="287"/>
      <c r="D6010" s="286"/>
      <c r="E6010" s="286"/>
    </row>
    <row r="6011">
      <c r="A6011" s="286"/>
      <c r="B6011" s="286"/>
      <c r="C6011" s="287"/>
      <c r="D6011" s="286"/>
      <c r="E6011" s="286"/>
    </row>
    <row r="6012">
      <c r="A6012" s="286"/>
      <c r="B6012" s="286"/>
      <c r="C6012" s="287"/>
      <c r="D6012" s="286"/>
      <c r="E6012" s="286"/>
    </row>
    <row r="6013">
      <c r="A6013" s="286"/>
      <c r="B6013" s="286"/>
      <c r="C6013" s="287"/>
      <c r="D6013" s="286"/>
      <c r="E6013" s="286"/>
    </row>
    <row r="6014">
      <c r="A6014" s="286"/>
      <c r="B6014" s="286"/>
      <c r="C6014" s="287"/>
      <c r="D6014" s="286"/>
      <c r="E6014" s="286"/>
    </row>
    <row r="6015">
      <c r="A6015" s="286"/>
      <c r="B6015" s="286"/>
      <c r="C6015" s="287"/>
      <c r="D6015" s="286"/>
      <c r="E6015" s="286"/>
    </row>
    <row r="6016">
      <c r="A6016" s="286"/>
      <c r="B6016" s="286"/>
      <c r="C6016" s="287"/>
      <c r="D6016" s="286"/>
      <c r="E6016" s="286"/>
    </row>
    <row r="6017">
      <c r="A6017" s="286"/>
      <c r="B6017" s="286"/>
      <c r="C6017" s="287"/>
      <c r="D6017" s="286"/>
      <c r="E6017" s="286"/>
    </row>
    <row r="6018">
      <c r="A6018" s="286"/>
      <c r="B6018" s="286"/>
      <c r="C6018" s="287"/>
      <c r="D6018" s="286"/>
      <c r="E6018" s="286"/>
    </row>
    <row r="6019">
      <c r="A6019" s="286"/>
      <c r="B6019" s="286"/>
      <c r="C6019" s="287"/>
      <c r="D6019" s="286"/>
      <c r="E6019" s="286"/>
    </row>
    <row r="6020">
      <c r="A6020" s="286"/>
      <c r="B6020" s="286"/>
      <c r="C6020" s="287"/>
      <c r="D6020" s="286"/>
      <c r="E6020" s="286"/>
    </row>
    <row r="6021">
      <c r="A6021" s="286"/>
      <c r="B6021" s="286"/>
      <c r="C6021" s="287"/>
      <c r="D6021" s="286"/>
      <c r="E6021" s="286"/>
    </row>
    <row r="6022">
      <c r="A6022" s="286"/>
      <c r="B6022" s="286"/>
      <c r="C6022" s="287"/>
      <c r="D6022" s="286"/>
      <c r="E6022" s="286"/>
    </row>
    <row r="6023">
      <c r="A6023" s="286"/>
      <c r="B6023" s="286"/>
      <c r="C6023" s="287"/>
      <c r="D6023" s="286"/>
      <c r="E6023" s="286"/>
    </row>
    <row r="6024">
      <c r="A6024" s="286"/>
      <c r="B6024" s="286"/>
      <c r="C6024" s="287"/>
      <c r="D6024" s="286"/>
      <c r="E6024" s="286"/>
    </row>
    <row r="6025">
      <c r="A6025" s="286"/>
      <c r="B6025" s="286"/>
      <c r="C6025" s="287"/>
      <c r="D6025" s="286"/>
      <c r="E6025" s="286"/>
    </row>
    <row r="6026">
      <c r="A6026" s="286"/>
      <c r="B6026" s="286"/>
      <c r="C6026" s="287"/>
      <c r="D6026" s="286"/>
      <c r="E6026" s="286"/>
    </row>
    <row r="6027">
      <c r="A6027" s="286"/>
      <c r="B6027" s="286"/>
      <c r="C6027" s="287"/>
      <c r="D6027" s="286"/>
      <c r="E6027" s="286"/>
    </row>
    <row r="6028">
      <c r="A6028" s="286"/>
      <c r="B6028" s="286"/>
      <c r="C6028" s="287"/>
      <c r="D6028" s="286"/>
      <c r="E6028" s="286"/>
    </row>
    <row r="6029">
      <c r="A6029" s="286"/>
      <c r="B6029" s="286"/>
      <c r="C6029" s="287"/>
      <c r="D6029" s="286"/>
      <c r="E6029" s="286"/>
    </row>
    <row r="6030">
      <c r="A6030" s="286"/>
      <c r="B6030" s="286"/>
      <c r="C6030" s="287"/>
      <c r="D6030" s="286"/>
      <c r="E6030" s="286"/>
    </row>
    <row r="6031">
      <c r="A6031" s="286"/>
      <c r="B6031" s="286"/>
      <c r="C6031" s="287"/>
      <c r="D6031" s="286"/>
      <c r="E6031" s="286"/>
    </row>
    <row r="6032">
      <c r="A6032" s="286"/>
      <c r="B6032" s="286"/>
      <c r="C6032" s="287"/>
      <c r="D6032" s="286"/>
      <c r="E6032" s="286"/>
    </row>
    <row r="6033">
      <c r="A6033" s="286"/>
      <c r="B6033" s="286"/>
      <c r="C6033" s="287"/>
      <c r="D6033" s="286"/>
      <c r="E6033" s="286"/>
    </row>
    <row r="6034">
      <c r="A6034" s="286"/>
      <c r="B6034" s="286"/>
      <c r="C6034" s="287"/>
      <c r="D6034" s="286"/>
      <c r="E6034" s="286"/>
    </row>
    <row r="6035">
      <c r="A6035" s="286"/>
      <c r="B6035" s="286"/>
      <c r="C6035" s="287"/>
      <c r="D6035" s="286"/>
      <c r="E6035" s="286"/>
    </row>
    <row r="6036">
      <c r="A6036" s="286"/>
      <c r="B6036" s="286"/>
      <c r="C6036" s="287"/>
      <c r="D6036" s="286"/>
      <c r="E6036" s="286"/>
    </row>
    <row r="6037">
      <c r="A6037" s="286"/>
      <c r="B6037" s="286"/>
      <c r="C6037" s="287"/>
      <c r="D6037" s="286"/>
      <c r="E6037" s="286"/>
    </row>
    <row r="6038">
      <c r="A6038" s="286"/>
      <c r="B6038" s="286"/>
      <c r="C6038" s="287"/>
      <c r="D6038" s="286"/>
      <c r="E6038" s="286"/>
    </row>
    <row r="6039">
      <c r="A6039" s="286"/>
      <c r="B6039" s="286"/>
      <c r="C6039" s="287"/>
      <c r="D6039" s="286"/>
      <c r="E6039" s="286"/>
    </row>
    <row r="6040">
      <c r="A6040" s="286"/>
      <c r="B6040" s="286"/>
      <c r="C6040" s="287"/>
      <c r="D6040" s="286"/>
      <c r="E6040" s="286"/>
    </row>
    <row r="6041">
      <c r="A6041" s="286"/>
      <c r="B6041" s="286"/>
      <c r="C6041" s="287"/>
      <c r="D6041" s="286"/>
      <c r="E6041" s="286"/>
    </row>
    <row r="6042">
      <c r="A6042" s="286"/>
      <c r="B6042" s="286"/>
      <c r="C6042" s="287"/>
      <c r="D6042" s="286"/>
      <c r="E6042" s="286"/>
    </row>
    <row r="6043">
      <c r="A6043" s="286"/>
      <c r="B6043" s="286"/>
      <c r="C6043" s="287"/>
      <c r="D6043" s="286"/>
      <c r="E6043" s="286"/>
    </row>
    <row r="6044">
      <c r="A6044" s="286"/>
      <c r="B6044" s="286"/>
      <c r="C6044" s="287"/>
      <c r="D6044" s="286"/>
      <c r="E6044" s="286"/>
    </row>
    <row r="6045">
      <c r="A6045" s="286"/>
      <c r="B6045" s="286"/>
      <c r="C6045" s="287"/>
      <c r="D6045" s="286"/>
      <c r="E6045" s="286"/>
    </row>
    <row r="6046">
      <c r="A6046" s="286"/>
      <c r="B6046" s="286"/>
      <c r="C6046" s="287"/>
      <c r="D6046" s="286"/>
      <c r="E6046" s="286"/>
    </row>
    <row r="6047">
      <c r="A6047" s="286"/>
      <c r="B6047" s="286"/>
      <c r="C6047" s="287"/>
      <c r="D6047" s="286"/>
      <c r="E6047" s="286"/>
    </row>
    <row r="6048">
      <c r="A6048" s="286"/>
      <c r="B6048" s="286"/>
      <c r="C6048" s="287"/>
      <c r="D6048" s="286"/>
      <c r="E6048" s="286"/>
    </row>
    <row r="6049">
      <c r="A6049" s="286"/>
      <c r="B6049" s="286"/>
      <c r="C6049" s="287"/>
      <c r="D6049" s="286"/>
      <c r="E6049" s="286"/>
    </row>
    <row r="6050">
      <c r="A6050" s="286"/>
      <c r="B6050" s="286"/>
      <c r="C6050" s="287"/>
      <c r="D6050" s="286"/>
      <c r="E6050" s="286"/>
    </row>
    <row r="6051">
      <c r="A6051" s="286"/>
      <c r="B6051" s="286"/>
      <c r="C6051" s="287"/>
      <c r="D6051" s="286"/>
      <c r="E6051" s="286"/>
    </row>
    <row r="6052">
      <c r="A6052" s="286"/>
      <c r="B6052" s="286"/>
      <c r="C6052" s="287"/>
      <c r="D6052" s="286"/>
      <c r="E6052" s="286"/>
    </row>
    <row r="6053">
      <c r="A6053" s="286"/>
      <c r="B6053" s="286"/>
      <c r="C6053" s="287"/>
      <c r="D6053" s="286"/>
      <c r="E6053" s="286"/>
    </row>
    <row r="6054">
      <c r="A6054" s="286"/>
      <c r="B6054" s="286"/>
      <c r="C6054" s="287"/>
      <c r="D6054" s="286"/>
      <c r="E6054" s="286"/>
    </row>
    <row r="6055">
      <c r="A6055" s="286"/>
      <c r="B6055" s="286"/>
      <c r="C6055" s="287"/>
      <c r="D6055" s="286"/>
      <c r="E6055" s="286"/>
    </row>
    <row r="6056">
      <c r="A6056" s="286"/>
      <c r="B6056" s="286"/>
      <c r="C6056" s="287"/>
      <c r="D6056" s="286"/>
      <c r="E6056" s="286"/>
    </row>
    <row r="6057">
      <c r="A6057" s="286"/>
      <c r="B6057" s="286"/>
      <c r="C6057" s="287"/>
      <c r="D6057" s="286"/>
      <c r="E6057" s="286"/>
    </row>
    <row r="6058">
      <c r="A6058" s="286"/>
      <c r="B6058" s="286"/>
      <c r="C6058" s="287"/>
      <c r="D6058" s="286"/>
      <c r="E6058" s="286"/>
    </row>
    <row r="6059">
      <c r="A6059" s="286"/>
      <c r="B6059" s="286"/>
      <c r="C6059" s="287"/>
      <c r="D6059" s="286"/>
      <c r="E6059" s="286"/>
    </row>
    <row r="6060">
      <c r="A6060" s="286"/>
      <c r="B6060" s="286"/>
      <c r="C6060" s="287"/>
      <c r="D6060" s="286"/>
      <c r="E6060" s="286"/>
    </row>
    <row r="6061">
      <c r="A6061" s="286"/>
      <c r="B6061" s="286"/>
      <c r="C6061" s="287"/>
      <c r="D6061" s="286"/>
      <c r="E6061" s="286"/>
    </row>
    <row r="6062">
      <c r="A6062" s="286"/>
      <c r="B6062" s="286"/>
      <c r="C6062" s="287"/>
      <c r="D6062" s="286"/>
      <c r="E6062" s="286"/>
    </row>
    <row r="6063">
      <c r="A6063" s="286"/>
      <c r="B6063" s="286"/>
      <c r="C6063" s="287"/>
      <c r="D6063" s="286"/>
      <c r="E6063" s="286"/>
    </row>
    <row r="6064">
      <c r="A6064" s="286"/>
      <c r="B6064" s="286"/>
      <c r="C6064" s="287"/>
      <c r="D6064" s="286"/>
      <c r="E6064" s="286"/>
    </row>
    <row r="6065">
      <c r="A6065" s="286"/>
      <c r="B6065" s="286"/>
      <c r="C6065" s="287"/>
      <c r="D6065" s="286"/>
      <c r="E6065" s="286"/>
    </row>
    <row r="6066">
      <c r="A6066" s="286"/>
      <c r="B6066" s="286"/>
      <c r="C6066" s="287"/>
      <c r="D6066" s="286"/>
      <c r="E6066" s="286"/>
    </row>
    <row r="6067">
      <c r="A6067" s="286"/>
      <c r="B6067" s="286"/>
      <c r="C6067" s="287"/>
      <c r="D6067" s="286"/>
      <c r="E6067" s="286"/>
    </row>
    <row r="6068">
      <c r="A6068" s="286"/>
      <c r="B6068" s="286"/>
      <c r="C6068" s="287"/>
      <c r="D6068" s="286"/>
      <c r="E6068" s="286"/>
    </row>
    <row r="6069">
      <c r="A6069" s="286"/>
      <c r="B6069" s="286"/>
      <c r="C6069" s="287"/>
      <c r="D6069" s="286"/>
      <c r="E6069" s="286"/>
    </row>
    <row r="6070">
      <c r="A6070" s="286"/>
      <c r="B6070" s="286"/>
      <c r="C6070" s="287"/>
      <c r="D6070" s="286"/>
      <c r="E6070" s="286"/>
    </row>
    <row r="6071">
      <c r="A6071" s="286"/>
      <c r="B6071" s="286"/>
      <c r="C6071" s="287"/>
      <c r="D6071" s="286"/>
      <c r="E6071" s="286"/>
    </row>
    <row r="6072">
      <c r="A6072" s="286"/>
      <c r="B6072" s="286"/>
      <c r="C6072" s="287"/>
      <c r="D6072" s="286"/>
      <c r="E6072" s="286"/>
    </row>
    <row r="6073">
      <c r="A6073" s="286"/>
      <c r="B6073" s="286"/>
      <c r="C6073" s="287"/>
      <c r="D6073" s="286"/>
      <c r="E6073" s="286"/>
    </row>
    <row r="6074">
      <c r="A6074" s="286"/>
      <c r="B6074" s="286"/>
      <c r="C6074" s="287"/>
      <c r="D6074" s="286"/>
      <c r="E6074" s="286"/>
    </row>
    <row r="6075">
      <c r="A6075" s="286"/>
      <c r="B6075" s="286"/>
      <c r="C6075" s="287"/>
      <c r="D6075" s="286"/>
      <c r="E6075" s="286"/>
    </row>
    <row r="6076">
      <c r="A6076" s="286"/>
      <c r="B6076" s="286"/>
      <c r="C6076" s="287"/>
      <c r="D6076" s="286"/>
      <c r="E6076" s="286"/>
    </row>
    <row r="6077">
      <c r="A6077" s="286"/>
      <c r="B6077" s="286"/>
      <c r="C6077" s="287"/>
      <c r="D6077" s="286"/>
      <c r="E6077" s="286"/>
    </row>
    <row r="6078">
      <c r="A6078" s="286"/>
      <c r="B6078" s="286"/>
      <c r="C6078" s="287"/>
      <c r="D6078" s="286"/>
      <c r="E6078" s="286"/>
    </row>
    <row r="6079">
      <c r="A6079" s="286"/>
      <c r="B6079" s="286"/>
      <c r="C6079" s="287"/>
      <c r="D6079" s="286"/>
      <c r="E6079" s="286"/>
    </row>
    <row r="6080">
      <c r="A6080" s="286"/>
      <c r="B6080" s="286"/>
      <c r="C6080" s="287"/>
      <c r="D6080" s="286"/>
      <c r="E6080" s="286"/>
    </row>
    <row r="6081">
      <c r="A6081" s="286"/>
      <c r="B6081" s="286"/>
      <c r="C6081" s="287"/>
      <c r="D6081" s="286"/>
      <c r="E6081" s="286"/>
    </row>
    <row r="6082">
      <c r="A6082" s="286"/>
      <c r="B6082" s="286"/>
      <c r="C6082" s="287"/>
      <c r="D6082" s="286"/>
      <c r="E6082" s="286"/>
    </row>
    <row r="6083">
      <c r="A6083" s="286"/>
      <c r="B6083" s="286"/>
      <c r="C6083" s="287"/>
      <c r="D6083" s="286"/>
      <c r="E6083" s="286"/>
    </row>
    <row r="6084">
      <c r="A6084" s="286"/>
      <c r="B6084" s="286"/>
      <c r="C6084" s="287"/>
      <c r="D6084" s="286"/>
      <c r="E6084" s="286"/>
    </row>
    <row r="6085">
      <c r="A6085" s="286"/>
      <c r="B6085" s="286"/>
      <c r="C6085" s="287"/>
      <c r="D6085" s="286"/>
      <c r="E6085" s="286"/>
    </row>
    <row r="6086">
      <c r="A6086" s="286"/>
      <c r="B6086" s="286"/>
      <c r="C6086" s="287"/>
      <c r="D6086" s="286"/>
      <c r="E6086" s="286"/>
    </row>
    <row r="6087">
      <c r="A6087" s="286"/>
      <c r="B6087" s="286"/>
      <c r="C6087" s="287"/>
      <c r="D6087" s="286"/>
      <c r="E6087" s="286"/>
    </row>
    <row r="6088">
      <c r="A6088" s="286"/>
      <c r="B6088" s="286"/>
      <c r="C6088" s="287"/>
      <c r="D6088" s="286"/>
      <c r="E6088" s="286"/>
    </row>
    <row r="6089">
      <c r="A6089" s="286"/>
      <c r="B6089" s="286"/>
      <c r="C6089" s="287"/>
      <c r="D6089" s="286"/>
      <c r="E6089" s="286"/>
    </row>
    <row r="6090">
      <c r="A6090" s="286"/>
      <c r="B6090" s="286"/>
      <c r="C6090" s="287"/>
      <c r="D6090" s="286"/>
      <c r="E6090" s="286"/>
    </row>
    <row r="6091">
      <c r="A6091" s="286"/>
      <c r="B6091" s="286"/>
      <c r="C6091" s="287"/>
      <c r="D6091" s="286"/>
      <c r="E6091" s="286"/>
    </row>
    <row r="6092">
      <c r="A6092" s="286"/>
      <c r="B6092" s="286"/>
      <c r="C6092" s="287"/>
      <c r="D6092" s="286"/>
      <c r="E6092" s="286"/>
    </row>
    <row r="6093">
      <c r="A6093" s="286"/>
      <c r="B6093" s="286"/>
      <c r="C6093" s="287"/>
      <c r="D6093" s="286"/>
      <c r="E6093" s="286"/>
    </row>
    <row r="6094">
      <c r="A6094" s="286"/>
      <c r="B6094" s="286"/>
      <c r="C6094" s="287"/>
      <c r="D6094" s="286"/>
      <c r="E6094" s="286"/>
    </row>
    <row r="6095">
      <c r="A6095" s="286"/>
      <c r="B6095" s="286"/>
      <c r="C6095" s="287"/>
      <c r="D6095" s="286"/>
      <c r="E6095" s="286"/>
    </row>
    <row r="6096">
      <c r="A6096" s="286"/>
      <c r="B6096" s="286"/>
      <c r="C6096" s="287"/>
      <c r="D6096" s="286"/>
      <c r="E6096" s="286"/>
    </row>
    <row r="6097">
      <c r="A6097" s="286"/>
      <c r="B6097" s="286"/>
      <c r="C6097" s="287"/>
      <c r="D6097" s="286"/>
      <c r="E6097" s="286"/>
    </row>
    <row r="6098">
      <c r="A6098" s="286"/>
      <c r="B6098" s="286"/>
      <c r="C6098" s="287"/>
      <c r="D6098" s="286"/>
      <c r="E6098" s="286"/>
    </row>
    <row r="6099">
      <c r="A6099" s="286"/>
      <c r="B6099" s="286"/>
      <c r="C6099" s="287"/>
      <c r="D6099" s="286"/>
      <c r="E6099" s="286"/>
    </row>
    <row r="6100">
      <c r="A6100" s="286"/>
      <c r="B6100" s="286"/>
      <c r="C6100" s="287"/>
      <c r="D6100" s="286"/>
      <c r="E6100" s="286"/>
    </row>
    <row r="6101">
      <c r="A6101" s="286"/>
      <c r="B6101" s="286"/>
      <c r="C6101" s="287"/>
      <c r="D6101" s="286"/>
      <c r="E6101" s="286"/>
    </row>
    <row r="6102">
      <c r="A6102" s="286"/>
      <c r="B6102" s="286"/>
      <c r="C6102" s="287"/>
      <c r="D6102" s="286"/>
      <c r="E6102" s="286"/>
    </row>
    <row r="6103">
      <c r="A6103" s="286"/>
      <c r="B6103" s="286"/>
      <c r="C6103" s="287"/>
      <c r="D6103" s="286"/>
      <c r="E6103" s="286"/>
    </row>
    <row r="6104">
      <c r="A6104" s="286"/>
      <c r="B6104" s="286"/>
      <c r="C6104" s="287"/>
      <c r="D6104" s="286"/>
      <c r="E6104" s="286"/>
    </row>
    <row r="6105">
      <c r="A6105" s="286"/>
      <c r="B6105" s="286"/>
      <c r="C6105" s="287"/>
      <c r="D6105" s="286"/>
      <c r="E6105" s="286"/>
    </row>
    <row r="6106">
      <c r="A6106" s="286"/>
      <c r="B6106" s="286"/>
      <c r="C6106" s="287"/>
      <c r="D6106" s="286"/>
      <c r="E6106" s="286"/>
    </row>
    <row r="6107">
      <c r="A6107" s="286"/>
      <c r="B6107" s="286"/>
      <c r="C6107" s="287"/>
      <c r="D6107" s="286"/>
      <c r="E6107" s="286"/>
    </row>
    <row r="6108">
      <c r="A6108" s="286"/>
      <c r="B6108" s="286"/>
      <c r="C6108" s="287"/>
      <c r="D6108" s="286"/>
      <c r="E6108" s="286"/>
    </row>
    <row r="6109">
      <c r="A6109" s="286"/>
      <c r="B6109" s="286"/>
      <c r="C6109" s="287"/>
      <c r="D6109" s="286"/>
      <c r="E6109" s="286"/>
    </row>
    <row r="6110">
      <c r="A6110" s="286"/>
      <c r="B6110" s="286"/>
      <c r="C6110" s="287"/>
      <c r="D6110" s="286"/>
      <c r="E6110" s="286"/>
    </row>
    <row r="6111">
      <c r="A6111" s="286"/>
      <c r="B6111" s="286"/>
      <c r="C6111" s="287"/>
      <c r="D6111" s="286"/>
      <c r="E6111" s="286"/>
    </row>
    <row r="6112">
      <c r="A6112" s="286"/>
      <c r="B6112" s="286"/>
      <c r="C6112" s="287"/>
      <c r="D6112" s="286"/>
      <c r="E6112" s="286"/>
    </row>
    <row r="6113">
      <c r="A6113" s="286"/>
      <c r="B6113" s="286"/>
      <c r="C6113" s="287"/>
      <c r="D6113" s="286"/>
      <c r="E6113" s="286"/>
    </row>
    <row r="6114">
      <c r="A6114" s="286"/>
      <c r="B6114" s="286"/>
      <c r="C6114" s="287"/>
      <c r="D6114" s="286"/>
      <c r="E6114" s="286"/>
    </row>
    <row r="6115">
      <c r="A6115" s="286"/>
      <c r="B6115" s="286"/>
      <c r="C6115" s="287"/>
      <c r="D6115" s="286"/>
      <c r="E6115" s="286"/>
    </row>
    <row r="6116">
      <c r="A6116" s="286"/>
      <c r="B6116" s="286"/>
      <c r="C6116" s="287"/>
      <c r="D6116" s="286"/>
      <c r="E6116" s="286"/>
    </row>
    <row r="6117">
      <c r="A6117" s="286"/>
      <c r="B6117" s="286"/>
      <c r="C6117" s="287"/>
      <c r="D6117" s="286"/>
      <c r="E6117" s="286"/>
    </row>
    <row r="6118">
      <c r="A6118" s="286"/>
      <c r="B6118" s="286"/>
      <c r="C6118" s="287"/>
      <c r="D6118" s="286"/>
      <c r="E6118" s="286"/>
    </row>
    <row r="6119">
      <c r="A6119" s="286"/>
      <c r="B6119" s="286"/>
      <c r="C6119" s="287"/>
      <c r="D6119" s="286"/>
      <c r="E6119" s="286"/>
    </row>
    <row r="6120">
      <c r="A6120" s="286"/>
      <c r="B6120" s="286"/>
      <c r="C6120" s="287"/>
      <c r="D6120" s="286"/>
      <c r="E6120" s="286"/>
    </row>
    <row r="6121">
      <c r="A6121" s="286"/>
      <c r="B6121" s="286"/>
      <c r="C6121" s="287"/>
      <c r="D6121" s="286"/>
      <c r="E6121" s="286"/>
    </row>
    <row r="6122">
      <c r="A6122" s="286"/>
      <c r="B6122" s="286"/>
      <c r="C6122" s="287"/>
      <c r="D6122" s="286"/>
      <c r="E6122" s="286"/>
    </row>
    <row r="6123">
      <c r="A6123" s="286"/>
      <c r="B6123" s="286"/>
      <c r="C6123" s="287"/>
      <c r="D6123" s="286"/>
      <c r="E6123" s="286"/>
    </row>
    <row r="6124">
      <c r="A6124" s="286"/>
      <c r="B6124" s="286"/>
      <c r="C6124" s="287"/>
      <c r="D6124" s="286"/>
      <c r="E6124" s="286"/>
    </row>
    <row r="6125">
      <c r="A6125" s="286"/>
      <c r="B6125" s="286"/>
      <c r="C6125" s="287"/>
      <c r="D6125" s="286"/>
      <c r="E6125" s="286"/>
    </row>
    <row r="6126">
      <c r="A6126" s="286"/>
      <c r="B6126" s="286"/>
      <c r="C6126" s="287"/>
      <c r="D6126" s="286"/>
      <c r="E6126" s="286"/>
    </row>
    <row r="6127">
      <c r="A6127" s="286"/>
      <c r="B6127" s="286"/>
      <c r="C6127" s="287"/>
      <c r="D6127" s="286"/>
      <c r="E6127" s="286"/>
    </row>
    <row r="6128">
      <c r="A6128" s="286"/>
      <c r="B6128" s="286"/>
      <c r="C6128" s="287"/>
      <c r="D6128" s="286"/>
      <c r="E6128" s="286"/>
    </row>
    <row r="6129">
      <c r="A6129" s="286"/>
      <c r="B6129" s="286"/>
      <c r="C6129" s="287"/>
      <c r="D6129" s="286"/>
      <c r="E6129" s="286"/>
    </row>
    <row r="6130">
      <c r="A6130" s="286"/>
      <c r="B6130" s="286"/>
      <c r="C6130" s="287"/>
      <c r="D6130" s="286"/>
      <c r="E6130" s="286"/>
    </row>
    <row r="6131">
      <c r="A6131" s="286"/>
      <c r="B6131" s="286"/>
      <c r="C6131" s="287"/>
      <c r="D6131" s="286"/>
      <c r="E6131" s="286"/>
    </row>
    <row r="6132">
      <c r="A6132" s="286"/>
      <c r="B6132" s="286"/>
      <c r="C6132" s="287"/>
      <c r="D6132" s="286"/>
      <c r="E6132" s="286"/>
    </row>
    <row r="6133">
      <c r="A6133" s="286"/>
      <c r="B6133" s="286"/>
      <c r="C6133" s="287"/>
      <c r="D6133" s="286"/>
      <c r="E6133" s="286"/>
    </row>
    <row r="6134">
      <c r="A6134" s="286"/>
      <c r="B6134" s="286"/>
      <c r="C6134" s="287"/>
      <c r="D6134" s="286"/>
      <c r="E6134" s="286"/>
    </row>
    <row r="6135">
      <c r="A6135" s="286"/>
      <c r="B6135" s="286"/>
      <c r="C6135" s="287"/>
      <c r="D6135" s="286"/>
      <c r="E6135" s="286"/>
    </row>
    <row r="6136">
      <c r="A6136" s="286"/>
      <c r="B6136" s="286"/>
      <c r="C6136" s="287"/>
      <c r="D6136" s="286"/>
      <c r="E6136" s="286"/>
    </row>
    <row r="6137">
      <c r="A6137" s="286"/>
      <c r="B6137" s="286"/>
      <c r="C6137" s="287"/>
      <c r="D6137" s="286"/>
      <c r="E6137" s="286"/>
    </row>
    <row r="6138">
      <c r="A6138" s="286"/>
      <c r="B6138" s="286"/>
      <c r="C6138" s="287"/>
      <c r="D6138" s="286"/>
      <c r="E6138" s="286"/>
    </row>
    <row r="6139">
      <c r="A6139" s="286"/>
      <c r="B6139" s="286"/>
      <c r="C6139" s="287"/>
      <c r="D6139" s="286"/>
      <c r="E6139" s="286"/>
    </row>
    <row r="6140">
      <c r="A6140" s="286"/>
      <c r="B6140" s="286"/>
      <c r="C6140" s="287"/>
      <c r="D6140" s="286"/>
      <c r="E6140" s="286"/>
    </row>
    <row r="6141">
      <c r="A6141" s="286"/>
      <c r="B6141" s="286"/>
      <c r="C6141" s="287"/>
      <c r="D6141" s="286"/>
      <c r="E6141" s="286"/>
    </row>
    <row r="6142">
      <c r="A6142" s="286"/>
      <c r="B6142" s="286"/>
      <c r="C6142" s="287"/>
      <c r="D6142" s="286"/>
      <c r="E6142" s="286"/>
    </row>
    <row r="6143">
      <c r="A6143" s="286"/>
      <c r="B6143" s="286"/>
      <c r="C6143" s="287"/>
      <c r="D6143" s="286"/>
      <c r="E6143" s="286"/>
    </row>
    <row r="6144">
      <c r="A6144" s="286"/>
      <c r="B6144" s="286"/>
      <c r="C6144" s="287"/>
      <c r="D6144" s="286"/>
      <c r="E6144" s="286"/>
    </row>
    <row r="6145">
      <c r="A6145" s="286"/>
      <c r="B6145" s="286"/>
      <c r="C6145" s="287"/>
      <c r="D6145" s="286"/>
      <c r="E6145" s="286"/>
    </row>
    <row r="6146">
      <c r="A6146" s="286"/>
      <c r="B6146" s="286"/>
      <c r="C6146" s="287"/>
      <c r="D6146" s="286"/>
      <c r="E6146" s="286"/>
    </row>
    <row r="6147">
      <c r="A6147" s="286"/>
      <c r="B6147" s="286"/>
      <c r="C6147" s="287"/>
      <c r="D6147" s="286"/>
      <c r="E6147" s="286"/>
    </row>
    <row r="6148">
      <c r="A6148" s="286"/>
      <c r="B6148" s="286"/>
      <c r="C6148" s="287"/>
      <c r="D6148" s="286"/>
      <c r="E6148" s="286"/>
    </row>
    <row r="6149">
      <c r="A6149" s="286"/>
      <c r="B6149" s="286"/>
      <c r="C6149" s="287"/>
      <c r="D6149" s="286"/>
      <c r="E6149" s="286"/>
    </row>
    <row r="6150">
      <c r="A6150" s="286"/>
      <c r="B6150" s="286"/>
      <c r="C6150" s="287"/>
      <c r="D6150" s="286"/>
      <c r="E6150" s="286"/>
    </row>
    <row r="6151">
      <c r="A6151" s="286"/>
      <c r="B6151" s="286"/>
      <c r="C6151" s="287"/>
      <c r="D6151" s="286"/>
      <c r="E6151" s="286"/>
    </row>
    <row r="6152">
      <c r="A6152" s="286"/>
      <c r="B6152" s="286"/>
      <c r="C6152" s="287"/>
      <c r="D6152" s="286"/>
      <c r="E6152" s="286"/>
    </row>
    <row r="6153">
      <c r="A6153" s="286"/>
      <c r="B6153" s="286"/>
      <c r="C6153" s="287"/>
      <c r="D6153" s="286"/>
      <c r="E6153" s="286"/>
    </row>
    <row r="6154">
      <c r="A6154" s="286"/>
      <c r="B6154" s="286"/>
      <c r="C6154" s="287"/>
      <c r="D6154" s="286"/>
      <c r="E6154" s="286"/>
    </row>
    <row r="6155">
      <c r="A6155" s="286"/>
      <c r="B6155" s="286"/>
      <c r="C6155" s="287"/>
      <c r="D6155" s="286"/>
      <c r="E6155" s="286"/>
    </row>
    <row r="6156">
      <c r="A6156" s="286"/>
      <c r="B6156" s="286"/>
      <c r="C6156" s="287"/>
      <c r="D6156" s="286"/>
      <c r="E6156" s="286"/>
    </row>
    <row r="6157">
      <c r="A6157" s="286"/>
      <c r="B6157" s="286"/>
      <c r="C6157" s="287"/>
      <c r="D6157" s="286"/>
      <c r="E6157" s="286"/>
    </row>
    <row r="6158">
      <c r="A6158" s="286"/>
      <c r="B6158" s="286"/>
      <c r="C6158" s="287"/>
      <c r="D6158" s="286"/>
      <c r="E6158" s="286"/>
    </row>
    <row r="6159">
      <c r="A6159" s="286"/>
      <c r="B6159" s="286"/>
      <c r="C6159" s="287"/>
      <c r="D6159" s="286"/>
      <c r="E6159" s="286"/>
    </row>
    <row r="6160">
      <c r="A6160" s="286"/>
      <c r="B6160" s="286"/>
      <c r="C6160" s="287"/>
      <c r="D6160" s="286"/>
      <c r="E6160" s="286"/>
    </row>
    <row r="6161">
      <c r="A6161" s="286"/>
      <c r="B6161" s="286"/>
      <c r="C6161" s="287"/>
      <c r="D6161" s="286"/>
      <c r="E6161" s="286"/>
    </row>
    <row r="6162">
      <c r="A6162" s="286"/>
      <c r="B6162" s="286"/>
      <c r="C6162" s="287"/>
      <c r="D6162" s="286"/>
      <c r="E6162" s="286"/>
    </row>
    <row r="6163">
      <c r="A6163" s="286"/>
      <c r="B6163" s="286"/>
      <c r="C6163" s="287"/>
      <c r="D6163" s="286"/>
      <c r="E6163" s="286"/>
    </row>
    <row r="6164">
      <c r="A6164" s="286"/>
      <c r="B6164" s="286"/>
      <c r="C6164" s="287"/>
      <c r="D6164" s="286"/>
      <c r="E6164" s="286"/>
    </row>
    <row r="6165">
      <c r="A6165" s="286"/>
      <c r="B6165" s="286"/>
      <c r="C6165" s="287"/>
      <c r="D6165" s="286"/>
      <c r="E6165" s="286"/>
    </row>
    <row r="6166">
      <c r="A6166" s="286"/>
      <c r="B6166" s="286"/>
      <c r="C6166" s="287"/>
      <c r="D6166" s="286"/>
      <c r="E6166" s="286"/>
    </row>
    <row r="6167">
      <c r="A6167" s="286"/>
      <c r="B6167" s="286"/>
      <c r="C6167" s="287"/>
      <c r="D6167" s="286"/>
      <c r="E6167" s="286"/>
    </row>
    <row r="6168">
      <c r="A6168" s="286"/>
      <c r="B6168" s="286"/>
      <c r="C6168" s="287"/>
      <c r="D6168" s="286"/>
      <c r="E6168" s="286"/>
    </row>
    <row r="6169">
      <c r="A6169" s="286"/>
      <c r="B6169" s="286"/>
      <c r="C6169" s="287"/>
      <c r="D6169" s="286"/>
      <c r="E6169" s="286"/>
    </row>
    <row r="6170">
      <c r="A6170" s="286"/>
      <c r="B6170" s="286"/>
      <c r="C6170" s="287"/>
      <c r="D6170" s="286"/>
      <c r="E6170" s="286"/>
    </row>
    <row r="6171">
      <c r="A6171" s="286"/>
      <c r="B6171" s="286"/>
      <c r="C6171" s="287"/>
      <c r="D6171" s="286"/>
      <c r="E6171" s="286"/>
    </row>
    <row r="6172">
      <c r="A6172" s="286"/>
      <c r="B6172" s="286"/>
      <c r="C6172" s="287"/>
      <c r="D6172" s="286"/>
      <c r="E6172" s="286"/>
    </row>
    <row r="6173">
      <c r="A6173" s="286"/>
      <c r="B6173" s="286"/>
      <c r="C6173" s="287"/>
      <c r="D6173" s="286"/>
      <c r="E6173" s="286"/>
    </row>
    <row r="6174">
      <c r="A6174" s="286"/>
      <c r="B6174" s="286"/>
      <c r="C6174" s="287"/>
      <c r="D6174" s="286"/>
      <c r="E6174" s="286"/>
    </row>
    <row r="6175">
      <c r="A6175" s="286"/>
      <c r="B6175" s="286"/>
      <c r="C6175" s="287"/>
      <c r="D6175" s="286"/>
      <c r="E6175" s="286"/>
    </row>
    <row r="6176">
      <c r="A6176" s="286"/>
      <c r="B6176" s="286"/>
      <c r="C6176" s="287"/>
      <c r="D6176" s="286"/>
      <c r="E6176" s="286"/>
    </row>
    <row r="6177">
      <c r="A6177" s="286"/>
      <c r="B6177" s="286"/>
      <c r="C6177" s="287"/>
      <c r="D6177" s="286"/>
      <c r="E6177" s="286"/>
    </row>
    <row r="6178">
      <c r="A6178" s="286"/>
      <c r="B6178" s="286"/>
      <c r="C6178" s="287"/>
      <c r="D6178" s="286"/>
      <c r="E6178" s="286"/>
    </row>
    <row r="6179">
      <c r="A6179" s="286"/>
      <c r="B6179" s="286"/>
      <c r="C6179" s="287"/>
      <c r="D6179" s="286"/>
      <c r="E6179" s="286"/>
    </row>
    <row r="6180">
      <c r="A6180" s="286"/>
      <c r="B6180" s="286"/>
      <c r="C6180" s="287"/>
      <c r="D6180" s="286"/>
      <c r="E6180" s="286"/>
    </row>
    <row r="6181">
      <c r="A6181" s="286"/>
      <c r="B6181" s="286"/>
      <c r="C6181" s="287"/>
      <c r="D6181" s="286"/>
      <c r="E6181" s="286"/>
    </row>
    <row r="6182">
      <c r="A6182" s="286"/>
      <c r="B6182" s="286"/>
      <c r="C6182" s="287"/>
      <c r="D6182" s="286"/>
      <c r="E6182" s="286"/>
    </row>
    <row r="6183">
      <c r="A6183" s="286"/>
      <c r="B6183" s="286"/>
      <c r="C6183" s="287"/>
      <c r="D6183" s="286"/>
      <c r="E6183" s="286"/>
    </row>
    <row r="6184">
      <c r="A6184" s="286"/>
      <c r="B6184" s="286"/>
      <c r="C6184" s="287"/>
      <c r="D6184" s="286"/>
      <c r="E6184" s="286"/>
    </row>
    <row r="6185">
      <c r="A6185" s="286"/>
      <c r="B6185" s="286"/>
      <c r="C6185" s="287"/>
      <c r="D6185" s="286"/>
      <c r="E6185" s="286"/>
    </row>
    <row r="6186">
      <c r="A6186" s="286"/>
      <c r="B6186" s="286"/>
      <c r="C6186" s="287"/>
      <c r="D6186" s="286"/>
      <c r="E6186" s="286"/>
    </row>
    <row r="6187">
      <c r="A6187" s="286"/>
      <c r="B6187" s="286"/>
      <c r="C6187" s="287"/>
      <c r="D6187" s="286"/>
      <c r="E6187" s="286"/>
    </row>
    <row r="6188">
      <c r="A6188" s="286"/>
      <c r="B6188" s="286"/>
      <c r="C6188" s="287"/>
      <c r="D6188" s="286"/>
      <c r="E6188" s="286"/>
    </row>
    <row r="6189">
      <c r="A6189" s="286"/>
      <c r="B6189" s="286"/>
      <c r="C6189" s="287"/>
      <c r="D6189" s="286"/>
      <c r="E6189" s="286"/>
    </row>
    <row r="6190">
      <c r="A6190" s="286"/>
      <c r="B6190" s="286"/>
      <c r="C6190" s="287"/>
      <c r="D6190" s="286"/>
      <c r="E6190" s="286"/>
    </row>
    <row r="6191">
      <c r="A6191" s="286"/>
      <c r="B6191" s="286"/>
      <c r="C6191" s="287"/>
      <c r="D6191" s="286"/>
      <c r="E6191" s="286"/>
    </row>
    <row r="6192">
      <c r="A6192" s="286"/>
      <c r="B6192" s="286"/>
      <c r="C6192" s="287"/>
      <c r="D6192" s="286"/>
      <c r="E6192" s="286"/>
    </row>
    <row r="6193">
      <c r="A6193" s="286"/>
      <c r="B6193" s="286"/>
      <c r="C6193" s="287"/>
      <c r="D6193" s="286"/>
      <c r="E6193" s="286"/>
    </row>
    <row r="6194">
      <c r="A6194" s="286"/>
      <c r="B6194" s="286"/>
      <c r="C6194" s="287"/>
      <c r="D6194" s="286"/>
      <c r="E6194" s="286"/>
    </row>
    <row r="6195">
      <c r="A6195" s="286"/>
      <c r="B6195" s="286"/>
      <c r="C6195" s="287"/>
      <c r="D6195" s="286"/>
      <c r="E6195" s="286"/>
    </row>
    <row r="6196">
      <c r="A6196" s="286"/>
      <c r="B6196" s="286"/>
      <c r="C6196" s="287"/>
      <c r="D6196" s="286"/>
      <c r="E6196" s="286"/>
    </row>
    <row r="6197">
      <c r="A6197" s="286"/>
      <c r="B6197" s="286"/>
      <c r="C6197" s="287"/>
      <c r="D6197" s="286"/>
      <c r="E6197" s="286"/>
    </row>
    <row r="6198">
      <c r="A6198" s="286"/>
      <c r="B6198" s="286"/>
      <c r="C6198" s="287"/>
      <c r="D6198" s="286"/>
      <c r="E6198" s="286"/>
    </row>
    <row r="6199">
      <c r="A6199" s="286"/>
      <c r="B6199" s="286"/>
      <c r="C6199" s="287"/>
      <c r="D6199" s="286"/>
      <c r="E6199" s="286"/>
    </row>
    <row r="6200">
      <c r="A6200" s="286"/>
      <c r="B6200" s="286"/>
      <c r="C6200" s="287"/>
      <c r="D6200" s="286"/>
      <c r="E6200" s="286"/>
    </row>
    <row r="6201">
      <c r="A6201" s="286"/>
      <c r="B6201" s="286"/>
      <c r="C6201" s="287"/>
      <c r="D6201" s="286"/>
      <c r="E6201" s="286"/>
    </row>
    <row r="6202">
      <c r="A6202" s="286"/>
      <c r="B6202" s="286"/>
      <c r="C6202" s="287"/>
      <c r="D6202" s="286"/>
      <c r="E6202" s="286"/>
    </row>
    <row r="6203">
      <c r="A6203" s="286"/>
      <c r="B6203" s="286"/>
      <c r="C6203" s="287"/>
      <c r="D6203" s="286"/>
      <c r="E6203" s="286"/>
    </row>
    <row r="6204">
      <c r="A6204" s="286"/>
      <c r="B6204" s="286"/>
      <c r="C6204" s="287"/>
      <c r="D6204" s="286"/>
      <c r="E6204" s="286"/>
    </row>
    <row r="6205">
      <c r="A6205" s="286"/>
      <c r="B6205" s="286"/>
      <c r="C6205" s="287"/>
      <c r="D6205" s="286"/>
      <c r="E6205" s="286"/>
    </row>
    <row r="6206">
      <c r="A6206" s="286"/>
      <c r="B6206" s="286"/>
      <c r="C6206" s="287"/>
      <c r="D6206" s="286"/>
      <c r="E6206" s="286"/>
    </row>
    <row r="6207">
      <c r="A6207" s="286"/>
      <c r="B6207" s="286"/>
      <c r="C6207" s="287"/>
      <c r="D6207" s="286"/>
      <c r="E6207" s="286"/>
    </row>
    <row r="6208">
      <c r="A6208" s="286"/>
      <c r="B6208" s="286"/>
      <c r="C6208" s="287"/>
      <c r="D6208" s="286"/>
      <c r="E6208" s="286"/>
    </row>
    <row r="6209">
      <c r="A6209" s="286"/>
      <c r="B6209" s="286"/>
      <c r="C6209" s="287"/>
      <c r="D6209" s="286"/>
      <c r="E6209" s="286"/>
    </row>
    <row r="6210">
      <c r="A6210" s="286"/>
      <c r="B6210" s="286"/>
      <c r="C6210" s="287"/>
      <c r="D6210" s="286"/>
      <c r="E6210" s="286"/>
    </row>
    <row r="6211">
      <c r="A6211" s="286"/>
      <c r="B6211" s="286"/>
      <c r="C6211" s="287"/>
      <c r="D6211" s="286"/>
      <c r="E6211" s="286"/>
    </row>
    <row r="6212">
      <c r="A6212" s="286"/>
      <c r="B6212" s="286"/>
      <c r="C6212" s="287"/>
      <c r="D6212" s="286"/>
      <c r="E6212" s="286"/>
    </row>
    <row r="6213">
      <c r="A6213" s="286"/>
      <c r="B6213" s="286"/>
      <c r="C6213" s="287"/>
      <c r="D6213" s="286"/>
      <c r="E6213" s="286"/>
    </row>
    <row r="6214">
      <c r="A6214" s="286"/>
      <c r="B6214" s="286"/>
      <c r="C6214" s="287"/>
      <c r="D6214" s="286"/>
      <c r="E6214" s="286"/>
    </row>
    <row r="6215">
      <c r="A6215" s="286"/>
      <c r="B6215" s="286"/>
      <c r="C6215" s="287"/>
      <c r="D6215" s="286"/>
      <c r="E6215" s="286"/>
    </row>
    <row r="6216">
      <c r="A6216" s="286"/>
      <c r="B6216" s="286"/>
      <c r="C6216" s="287"/>
      <c r="D6216" s="286"/>
      <c r="E6216" s="286"/>
    </row>
    <row r="6217">
      <c r="A6217" s="286"/>
      <c r="B6217" s="286"/>
      <c r="C6217" s="287"/>
      <c r="D6217" s="286"/>
      <c r="E6217" s="286"/>
    </row>
    <row r="6218">
      <c r="A6218" s="286"/>
      <c r="B6218" s="286"/>
      <c r="C6218" s="287"/>
      <c r="D6218" s="286"/>
      <c r="E6218" s="286"/>
    </row>
    <row r="6219">
      <c r="A6219" s="286"/>
      <c r="B6219" s="286"/>
      <c r="C6219" s="287"/>
      <c r="D6219" s="286"/>
      <c r="E6219" s="286"/>
    </row>
    <row r="6220">
      <c r="A6220" s="286"/>
      <c r="B6220" s="286"/>
      <c r="C6220" s="287"/>
      <c r="D6220" s="286"/>
      <c r="E6220" s="286"/>
    </row>
    <row r="6221">
      <c r="A6221" s="286"/>
      <c r="B6221" s="286"/>
      <c r="C6221" s="287"/>
      <c r="D6221" s="286"/>
      <c r="E6221" s="286"/>
    </row>
    <row r="6222">
      <c r="A6222" s="286"/>
      <c r="B6222" s="286"/>
      <c r="C6222" s="287"/>
      <c r="D6222" s="286"/>
      <c r="E6222" s="286"/>
    </row>
    <row r="6223">
      <c r="A6223" s="286"/>
      <c r="B6223" s="286"/>
      <c r="C6223" s="287"/>
      <c r="D6223" s="286"/>
      <c r="E6223" s="286"/>
    </row>
    <row r="6224">
      <c r="A6224" s="286"/>
      <c r="B6224" s="286"/>
      <c r="C6224" s="287"/>
      <c r="D6224" s="286"/>
      <c r="E6224" s="286"/>
    </row>
    <row r="6225">
      <c r="A6225" s="286"/>
      <c r="B6225" s="286"/>
      <c r="C6225" s="287"/>
      <c r="D6225" s="286"/>
      <c r="E6225" s="286"/>
    </row>
    <row r="6226">
      <c r="A6226" s="286"/>
      <c r="B6226" s="286"/>
      <c r="C6226" s="287"/>
      <c r="D6226" s="286"/>
      <c r="E6226" s="286"/>
    </row>
    <row r="6227">
      <c r="A6227" s="286"/>
      <c r="B6227" s="286"/>
      <c r="C6227" s="287"/>
      <c r="D6227" s="286"/>
      <c r="E6227" s="286"/>
    </row>
    <row r="6228">
      <c r="A6228" s="286"/>
      <c r="B6228" s="286"/>
      <c r="C6228" s="287"/>
      <c r="D6228" s="286"/>
      <c r="E6228" s="286"/>
    </row>
    <row r="6229">
      <c r="A6229" s="286"/>
      <c r="B6229" s="286"/>
      <c r="C6229" s="287"/>
      <c r="D6229" s="286"/>
      <c r="E6229" s="286"/>
    </row>
    <row r="6230">
      <c r="A6230" s="286"/>
      <c r="B6230" s="286"/>
      <c r="C6230" s="287"/>
      <c r="D6230" s="286"/>
      <c r="E6230" s="286"/>
    </row>
    <row r="6231">
      <c r="A6231" s="286"/>
      <c r="B6231" s="286"/>
      <c r="C6231" s="287"/>
      <c r="D6231" s="286"/>
      <c r="E6231" s="286"/>
    </row>
    <row r="6232">
      <c r="A6232" s="286"/>
      <c r="B6232" s="286"/>
      <c r="C6232" s="287"/>
      <c r="D6232" s="286"/>
      <c r="E6232" s="286"/>
    </row>
    <row r="6233">
      <c r="A6233" s="286"/>
      <c r="B6233" s="286"/>
      <c r="C6233" s="287"/>
      <c r="D6233" s="286"/>
      <c r="E6233" s="286"/>
    </row>
    <row r="6234">
      <c r="A6234" s="286"/>
      <c r="B6234" s="286"/>
      <c r="C6234" s="287"/>
      <c r="D6234" s="286"/>
      <c r="E6234" s="286"/>
    </row>
    <row r="6235">
      <c r="A6235" s="286"/>
      <c r="B6235" s="286"/>
      <c r="C6235" s="287"/>
      <c r="D6235" s="286"/>
      <c r="E6235" s="286"/>
    </row>
    <row r="6236">
      <c r="A6236" s="286"/>
      <c r="B6236" s="286"/>
      <c r="C6236" s="287"/>
      <c r="D6236" s="286"/>
      <c r="E6236" s="286"/>
    </row>
    <row r="6237">
      <c r="A6237" s="286"/>
      <c r="B6237" s="286"/>
      <c r="C6237" s="287"/>
      <c r="D6237" s="286"/>
      <c r="E6237" s="286"/>
    </row>
    <row r="6238">
      <c r="A6238" s="286"/>
      <c r="B6238" s="286"/>
      <c r="C6238" s="287"/>
      <c r="D6238" s="286"/>
      <c r="E6238" s="286"/>
    </row>
    <row r="6239">
      <c r="A6239" s="286"/>
      <c r="B6239" s="286"/>
      <c r="C6239" s="287"/>
      <c r="D6239" s="286"/>
      <c r="E6239" s="286"/>
    </row>
    <row r="6240">
      <c r="A6240" s="286"/>
      <c r="B6240" s="286"/>
      <c r="C6240" s="287"/>
      <c r="D6240" s="286"/>
      <c r="E6240" s="286"/>
    </row>
    <row r="6241">
      <c r="A6241" s="286"/>
      <c r="B6241" s="286"/>
      <c r="C6241" s="287"/>
      <c r="D6241" s="286"/>
      <c r="E6241" s="286"/>
    </row>
    <row r="6242">
      <c r="A6242" s="286"/>
      <c r="B6242" s="286"/>
      <c r="C6242" s="287"/>
      <c r="D6242" s="286"/>
      <c r="E6242" s="286"/>
    </row>
    <row r="6243">
      <c r="A6243" s="286"/>
      <c r="B6243" s="286"/>
      <c r="C6243" s="287"/>
      <c r="D6243" s="286"/>
      <c r="E6243" s="286"/>
    </row>
    <row r="6244">
      <c r="A6244" s="286"/>
      <c r="B6244" s="286"/>
      <c r="C6244" s="287"/>
      <c r="D6244" s="286"/>
      <c r="E6244" s="286"/>
    </row>
    <row r="6245">
      <c r="A6245" s="286"/>
      <c r="B6245" s="286"/>
      <c r="C6245" s="287"/>
      <c r="D6245" s="286"/>
      <c r="E6245" s="286"/>
    </row>
    <row r="6246">
      <c r="A6246" s="286"/>
      <c r="B6246" s="286"/>
      <c r="C6246" s="287"/>
      <c r="D6246" s="286"/>
      <c r="E6246" s="286"/>
    </row>
    <row r="6247">
      <c r="A6247" s="286"/>
      <c r="B6247" s="286"/>
      <c r="C6247" s="287"/>
      <c r="D6247" s="286"/>
      <c r="E6247" s="286"/>
    </row>
    <row r="6248">
      <c r="A6248" s="286"/>
      <c r="B6248" s="286"/>
      <c r="C6248" s="287"/>
      <c r="D6248" s="286"/>
      <c r="E6248" s="286"/>
    </row>
    <row r="6249">
      <c r="A6249" s="286"/>
      <c r="B6249" s="286"/>
      <c r="C6249" s="287"/>
      <c r="D6249" s="286"/>
      <c r="E6249" s="286"/>
    </row>
    <row r="6250">
      <c r="A6250" s="286"/>
      <c r="B6250" s="286"/>
      <c r="C6250" s="287"/>
      <c r="D6250" s="286"/>
      <c r="E6250" s="286"/>
    </row>
    <row r="6251">
      <c r="A6251" s="286"/>
      <c r="B6251" s="286"/>
      <c r="C6251" s="287"/>
      <c r="D6251" s="286"/>
      <c r="E6251" s="286"/>
    </row>
    <row r="6252">
      <c r="A6252" s="286"/>
      <c r="B6252" s="286"/>
      <c r="C6252" s="287"/>
      <c r="D6252" s="286"/>
      <c r="E6252" s="286"/>
    </row>
    <row r="6253">
      <c r="A6253" s="286"/>
      <c r="B6253" s="286"/>
      <c r="C6253" s="287"/>
      <c r="D6253" s="286"/>
      <c r="E6253" s="286"/>
    </row>
    <row r="6254">
      <c r="A6254" s="286"/>
      <c r="B6254" s="286"/>
      <c r="C6254" s="287"/>
      <c r="D6254" s="286"/>
      <c r="E6254" s="286"/>
    </row>
    <row r="6255">
      <c r="A6255" s="286"/>
      <c r="B6255" s="286"/>
      <c r="C6255" s="287"/>
      <c r="D6255" s="286"/>
      <c r="E6255" s="286"/>
    </row>
    <row r="6256">
      <c r="A6256" s="286"/>
      <c r="B6256" s="286"/>
      <c r="C6256" s="287"/>
      <c r="D6256" s="286"/>
      <c r="E6256" s="286"/>
    </row>
    <row r="6257">
      <c r="A6257" s="286"/>
      <c r="B6257" s="286"/>
      <c r="C6257" s="287"/>
      <c r="D6257" s="286"/>
      <c r="E6257" s="286"/>
    </row>
    <row r="6258">
      <c r="A6258" s="286"/>
      <c r="B6258" s="286"/>
      <c r="C6258" s="287"/>
      <c r="D6258" s="286"/>
      <c r="E6258" s="286"/>
    </row>
    <row r="6259">
      <c r="A6259" s="286"/>
      <c r="B6259" s="286"/>
      <c r="C6259" s="287"/>
      <c r="D6259" s="286"/>
      <c r="E6259" s="286"/>
    </row>
    <row r="6260">
      <c r="A6260" s="286"/>
      <c r="B6260" s="286"/>
      <c r="C6260" s="287"/>
      <c r="D6260" s="286"/>
      <c r="E6260" s="286"/>
    </row>
    <row r="6261">
      <c r="A6261" s="286"/>
      <c r="B6261" s="286"/>
      <c r="C6261" s="287"/>
      <c r="D6261" s="286"/>
      <c r="E6261" s="286"/>
    </row>
    <row r="6262">
      <c r="A6262" s="286"/>
      <c r="B6262" s="286"/>
      <c r="C6262" s="287"/>
      <c r="D6262" s="286"/>
      <c r="E6262" s="286"/>
    </row>
    <row r="6263">
      <c r="A6263" s="286"/>
      <c r="B6263" s="286"/>
      <c r="C6263" s="287"/>
      <c r="D6263" s="286"/>
      <c r="E6263" s="286"/>
    </row>
    <row r="6264">
      <c r="A6264" s="286"/>
      <c r="B6264" s="286"/>
      <c r="C6264" s="287"/>
      <c r="D6264" s="286"/>
      <c r="E6264" s="286"/>
    </row>
    <row r="6265">
      <c r="A6265" s="286"/>
      <c r="B6265" s="286"/>
      <c r="C6265" s="287"/>
      <c r="D6265" s="286"/>
      <c r="E6265" s="286"/>
    </row>
    <row r="6266">
      <c r="A6266" s="286"/>
      <c r="B6266" s="286"/>
      <c r="C6266" s="287"/>
      <c r="D6266" s="286"/>
      <c r="E6266" s="286"/>
    </row>
    <row r="6267">
      <c r="A6267" s="286"/>
      <c r="B6267" s="286"/>
      <c r="C6267" s="287"/>
      <c r="D6267" s="286"/>
      <c r="E6267" s="286"/>
    </row>
    <row r="6268">
      <c r="A6268" s="286"/>
      <c r="B6268" s="286"/>
      <c r="C6268" s="287"/>
      <c r="D6268" s="286"/>
      <c r="E6268" s="286"/>
    </row>
    <row r="6269">
      <c r="A6269" s="286"/>
      <c r="B6269" s="286"/>
      <c r="C6269" s="287"/>
      <c r="D6269" s="286"/>
      <c r="E6269" s="286"/>
    </row>
    <row r="6270">
      <c r="A6270" s="286"/>
      <c r="B6270" s="286"/>
      <c r="C6270" s="287"/>
      <c r="D6270" s="286"/>
      <c r="E6270" s="286"/>
    </row>
    <row r="6271">
      <c r="A6271" s="286"/>
      <c r="B6271" s="286"/>
      <c r="C6271" s="287"/>
      <c r="D6271" s="286"/>
      <c r="E6271" s="286"/>
    </row>
    <row r="6272">
      <c r="A6272" s="286"/>
      <c r="B6272" s="286"/>
      <c r="C6272" s="287"/>
      <c r="D6272" s="286"/>
      <c r="E6272" s="286"/>
    </row>
    <row r="6273">
      <c r="A6273" s="286"/>
      <c r="B6273" s="286"/>
      <c r="C6273" s="287"/>
      <c r="D6273" s="286"/>
      <c r="E6273" s="286"/>
    </row>
    <row r="6274">
      <c r="A6274" s="286"/>
      <c r="B6274" s="286"/>
      <c r="C6274" s="287"/>
      <c r="D6274" s="286"/>
      <c r="E6274" s="286"/>
    </row>
    <row r="6275">
      <c r="A6275" s="286"/>
      <c r="B6275" s="286"/>
      <c r="C6275" s="287"/>
      <c r="D6275" s="286"/>
      <c r="E6275" s="286"/>
    </row>
    <row r="6276">
      <c r="A6276" s="286"/>
      <c r="B6276" s="286"/>
      <c r="C6276" s="287"/>
      <c r="D6276" s="286"/>
      <c r="E6276" s="286"/>
    </row>
    <row r="6277">
      <c r="A6277" s="286"/>
      <c r="B6277" s="286"/>
      <c r="C6277" s="287"/>
      <c r="D6277" s="286"/>
      <c r="E6277" s="286"/>
    </row>
    <row r="6278">
      <c r="A6278" s="286"/>
      <c r="B6278" s="286"/>
      <c r="C6278" s="287"/>
      <c r="D6278" s="286"/>
      <c r="E6278" s="286"/>
    </row>
    <row r="6279">
      <c r="A6279" s="286"/>
      <c r="B6279" s="286"/>
      <c r="C6279" s="287"/>
      <c r="D6279" s="286"/>
      <c r="E6279" s="286"/>
    </row>
    <row r="6280">
      <c r="A6280" s="286"/>
      <c r="B6280" s="286"/>
      <c r="C6280" s="287"/>
      <c r="D6280" s="286"/>
      <c r="E6280" s="286"/>
    </row>
    <row r="6281">
      <c r="A6281" s="286"/>
      <c r="B6281" s="286"/>
      <c r="C6281" s="287"/>
      <c r="D6281" s="286"/>
      <c r="E6281" s="286"/>
    </row>
    <row r="6282">
      <c r="A6282" s="286"/>
      <c r="B6282" s="286"/>
      <c r="C6282" s="287"/>
      <c r="D6282" s="286"/>
      <c r="E6282" s="286"/>
    </row>
    <row r="6283">
      <c r="A6283" s="286"/>
      <c r="B6283" s="286"/>
      <c r="C6283" s="287"/>
      <c r="D6283" s="286"/>
      <c r="E6283" s="286"/>
    </row>
    <row r="6284">
      <c r="A6284" s="286"/>
      <c r="B6284" s="286"/>
      <c r="C6284" s="287"/>
      <c r="D6284" s="286"/>
      <c r="E6284" s="286"/>
    </row>
    <row r="6285">
      <c r="A6285" s="286"/>
      <c r="B6285" s="286"/>
      <c r="C6285" s="287"/>
      <c r="D6285" s="286"/>
      <c r="E6285" s="286"/>
    </row>
    <row r="6286">
      <c r="A6286" s="286"/>
      <c r="B6286" s="286"/>
      <c r="C6286" s="287"/>
      <c r="D6286" s="286"/>
      <c r="E6286" s="286"/>
    </row>
    <row r="6287">
      <c r="A6287" s="286"/>
      <c r="B6287" s="286"/>
      <c r="C6287" s="287"/>
      <c r="D6287" s="286"/>
      <c r="E6287" s="286"/>
    </row>
    <row r="6288">
      <c r="A6288" s="286"/>
      <c r="B6288" s="286"/>
      <c r="C6288" s="287"/>
      <c r="D6288" s="286"/>
      <c r="E6288" s="286"/>
    </row>
    <row r="6289">
      <c r="A6289" s="286"/>
      <c r="B6289" s="286"/>
      <c r="C6289" s="287"/>
      <c r="D6289" s="286"/>
      <c r="E6289" s="286"/>
    </row>
    <row r="6290">
      <c r="A6290" s="286"/>
      <c r="B6290" s="286"/>
      <c r="C6290" s="287"/>
      <c r="D6290" s="286"/>
      <c r="E6290" s="286"/>
    </row>
    <row r="6291">
      <c r="A6291" s="286"/>
      <c r="B6291" s="286"/>
      <c r="C6291" s="287"/>
      <c r="D6291" s="286"/>
      <c r="E6291" s="286"/>
    </row>
    <row r="6292">
      <c r="A6292" s="286"/>
      <c r="B6292" s="286"/>
      <c r="C6292" s="287"/>
      <c r="D6292" s="286"/>
      <c r="E6292" s="286"/>
    </row>
    <row r="6293">
      <c r="A6293" s="286"/>
      <c r="B6293" s="286"/>
      <c r="C6293" s="287"/>
      <c r="D6293" s="286"/>
      <c r="E6293" s="286"/>
    </row>
    <row r="6294">
      <c r="A6294" s="286"/>
      <c r="B6294" s="286"/>
      <c r="C6294" s="287"/>
      <c r="D6294" s="286"/>
      <c r="E6294" s="286"/>
    </row>
    <row r="6295">
      <c r="A6295" s="286"/>
      <c r="B6295" s="286"/>
      <c r="C6295" s="287"/>
      <c r="D6295" s="286"/>
      <c r="E6295" s="286"/>
    </row>
    <row r="6296">
      <c r="A6296" s="286"/>
      <c r="B6296" s="286"/>
      <c r="C6296" s="287"/>
      <c r="D6296" s="286"/>
      <c r="E6296" s="286"/>
    </row>
    <row r="6297">
      <c r="A6297" s="286"/>
      <c r="B6297" s="286"/>
      <c r="C6297" s="287"/>
      <c r="D6297" s="286"/>
      <c r="E6297" s="286"/>
    </row>
    <row r="6298">
      <c r="A6298" s="286"/>
      <c r="B6298" s="286"/>
      <c r="C6298" s="287"/>
      <c r="D6298" s="286"/>
      <c r="E6298" s="286"/>
    </row>
    <row r="6299">
      <c r="A6299" s="286"/>
      <c r="B6299" s="286"/>
      <c r="C6299" s="287"/>
      <c r="D6299" s="286"/>
      <c r="E6299" s="286"/>
    </row>
    <row r="6300">
      <c r="A6300" s="286"/>
      <c r="B6300" s="286"/>
      <c r="C6300" s="287"/>
      <c r="D6300" s="286"/>
      <c r="E6300" s="286"/>
    </row>
    <row r="6301">
      <c r="A6301" s="286"/>
      <c r="B6301" s="286"/>
      <c r="C6301" s="287"/>
      <c r="D6301" s="286"/>
      <c r="E6301" s="286"/>
    </row>
    <row r="6302">
      <c r="A6302" s="286"/>
      <c r="B6302" s="286"/>
      <c r="C6302" s="287"/>
      <c r="D6302" s="286"/>
      <c r="E6302" s="286"/>
    </row>
    <row r="6303">
      <c r="A6303" s="286"/>
      <c r="B6303" s="286"/>
      <c r="C6303" s="287"/>
      <c r="D6303" s="286"/>
      <c r="E6303" s="286"/>
    </row>
    <row r="6304">
      <c r="A6304" s="286"/>
      <c r="B6304" s="286"/>
      <c r="C6304" s="287"/>
      <c r="D6304" s="286"/>
      <c r="E6304" s="286"/>
    </row>
    <row r="6305">
      <c r="A6305" s="286"/>
      <c r="B6305" s="286"/>
      <c r="C6305" s="287"/>
      <c r="D6305" s="286"/>
      <c r="E6305" s="286"/>
    </row>
    <row r="6306">
      <c r="A6306" s="286"/>
      <c r="B6306" s="286"/>
      <c r="C6306" s="287"/>
      <c r="D6306" s="286"/>
      <c r="E6306" s="286"/>
    </row>
    <row r="6307">
      <c r="A6307" s="286"/>
      <c r="B6307" s="286"/>
      <c r="C6307" s="287"/>
      <c r="D6307" s="286"/>
      <c r="E6307" s="286"/>
    </row>
    <row r="6308">
      <c r="A6308" s="286"/>
      <c r="B6308" s="286"/>
      <c r="C6308" s="287"/>
      <c r="D6308" s="286"/>
      <c r="E6308" s="286"/>
    </row>
    <row r="6309">
      <c r="A6309" s="286"/>
      <c r="B6309" s="286"/>
      <c r="C6309" s="287"/>
      <c r="D6309" s="286"/>
      <c r="E6309" s="286"/>
    </row>
    <row r="6310">
      <c r="A6310" s="286"/>
      <c r="B6310" s="286"/>
      <c r="C6310" s="287"/>
      <c r="D6310" s="286"/>
      <c r="E6310" s="286"/>
    </row>
    <row r="6311">
      <c r="A6311" s="286"/>
      <c r="B6311" s="286"/>
      <c r="C6311" s="287"/>
      <c r="D6311" s="286"/>
      <c r="E6311" s="286"/>
    </row>
    <row r="6312">
      <c r="A6312" s="286"/>
      <c r="B6312" s="286"/>
      <c r="C6312" s="287"/>
      <c r="D6312" s="286"/>
      <c r="E6312" s="286"/>
    </row>
    <row r="6313">
      <c r="A6313" s="286"/>
      <c r="B6313" s="286"/>
      <c r="C6313" s="287"/>
      <c r="D6313" s="286"/>
      <c r="E6313" s="286"/>
    </row>
    <row r="6314">
      <c r="A6314" s="286"/>
      <c r="B6314" s="286"/>
      <c r="C6314" s="287"/>
      <c r="D6314" s="286"/>
      <c r="E6314" s="286"/>
    </row>
    <row r="6315">
      <c r="A6315" s="286"/>
      <c r="B6315" s="286"/>
      <c r="C6315" s="287"/>
      <c r="D6315" s="286"/>
      <c r="E6315" s="286"/>
    </row>
    <row r="6316">
      <c r="A6316" s="286"/>
      <c r="B6316" s="286"/>
      <c r="C6316" s="287"/>
      <c r="D6316" s="286"/>
      <c r="E6316" s="286"/>
    </row>
    <row r="6317">
      <c r="A6317" s="286"/>
      <c r="B6317" s="286"/>
      <c r="C6317" s="287"/>
      <c r="D6317" s="286"/>
      <c r="E6317" s="286"/>
    </row>
    <row r="6318">
      <c r="A6318" s="286"/>
      <c r="B6318" s="286"/>
      <c r="C6318" s="287"/>
      <c r="D6318" s="286"/>
      <c r="E6318" s="286"/>
    </row>
    <row r="6319">
      <c r="A6319" s="286"/>
      <c r="B6319" s="286"/>
      <c r="C6319" s="287"/>
      <c r="D6319" s="286"/>
      <c r="E6319" s="286"/>
    </row>
    <row r="6320">
      <c r="A6320" s="286"/>
      <c r="B6320" s="286"/>
      <c r="C6320" s="287"/>
      <c r="D6320" s="286"/>
      <c r="E6320" s="286"/>
    </row>
    <row r="6321">
      <c r="A6321" s="286"/>
      <c r="B6321" s="286"/>
      <c r="C6321" s="287"/>
      <c r="D6321" s="286"/>
      <c r="E6321" s="286"/>
    </row>
    <row r="6322">
      <c r="A6322" s="286"/>
      <c r="B6322" s="286"/>
      <c r="C6322" s="287"/>
      <c r="D6322" s="286"/>
      <c r="E6322" s="286"/>
    </row>
    <row r="6323">
      <c r="A6323" s="286"/>
      <c r="B6323" s="286"/>
      <c r="C6323" s="287"/>
      <c r="D6323" s="286"/>
      <c r="E6323" s="286"/>
    </row>
    <row r="6324">
      <c r="A6324" s="286"/>
      <c r="B6324" s="286"/>
      <c r="C6324" s="287"/>
      <c r="D6324" s="286"/>
      <c r="E6324" s="286"/>
    </row>
    <row r="6325">
      <c r="A6325" s="286"/>
      <c r="B6325" s="286"/>
      <c r="C6325" s="287"/>
      <c r="D6325" s="286"/>
      <c r="E6325" s="286"/>
    </row>
    <row r="6326">
      <c r="A6326" s="286"/>
      <c r="B6326" s="286"/>
      <c r="C6326" s="287"/>
      <c r="D6326" s="286"/>
      <c r="E6326" s="286"/>
    </row>
    <row r="6327">
      <c r="A6327" s="286"/>
      <c r="B6327" s="286"/>
      <c r="C6327" s="287"/>
      <c r="D6327" s="286"/>
      <c r="E6327" s="286"/>
    </row>
    <row r="6328">
      <c r="A6328" s="286"/>
      <c r="B6328" s="286"/>
      <c r="C6328" s="287"/>
      <c r="D6328" s="286"/>
      <c r="E6328" s="286"/>
    </row>
    <row r="6329">
      <c r="A6329" s="286"/>
      <c r="B6329" s="286"/>
      <c r="C6329" s="287"/>
      <c r="D6329" s="286"/>
      <c r="E6329" s="286"/>
    </row>
    <row r="6330">
      <c r="A6330" s="286"/>
      <c r="B6330" s="286"/>
      <c r="C6330" s="287"/>
      <c r="D6330" s="286"/>
      <c r="E6330" s="286"/>
    </row>
    <row r="6331">
      <c r="A6331" s="286"/>
      <c r="B6331" s="286"/>
      <c r="C6331" s="287"/>
      <c r="D6331" s="286"/>
      <c r="E6331" s="286"/>
    </row>
    <row r="6332">
      <c r="A6332" s="286"/>
      <c r="B6332" s="286"/>
      <c r="C6332" s="287"/>
      <c r="D6332" s="286"/>
      <c r="E6332" s="286"/>
    </row>
    <row r="6333">
      <c r="A6333" s="286"/>
      <c r="B6333" s="286"/>
      <c r="C6333" s="287"/>
      <c r="D6333" s="286"/>
      <c r="E6333" s="286"/>
    </row>
    <row r="6334">
      <c r="A6334" s="286"/>
      <c r="B6334" s="286"/>
      <c r="C6334" s="287"/>
      <c r="D6334" s="286"/>
      <c r="E6334" s="286"/>
    </row>
    <row r="6335">
      <c r="A6335" s="286"/>
      <c r="B6335" s="286"/>
      <c r="C6335" s="287"/>
      <c r="D6335" s="286"/>
      <c r="E6335" s="286"/>
    </row>
    <row r="6336">
      <c r="A6336" s="286"/>
      <c r="B6336" s="286"/>
      <c r="C6336" s="287"/>
      <c r="D6336" s="286"/>
      <c r="E6336" s="286"/>
    </row>
    <row r="6337">
      <c r="A6337" s="286"/>
      <c r="B6337" s="286"/>
      <c r="C6337" s="287"/>
      <c r="D6337" s="286"/>
      <c r="E6337" s="286"/>
    </row>
    <row r="6338">
      <c r="A6338" s="286"/>
      <c r="B6338" s="286"/>
      <c r="C6338" s="287"/>
      <c r="D6338" s="286"/>
      <c r="E6338" s="286"/>
    </row>
    <row r="6339">
      <c r="A6339" s="286"/>
      <c r="B6339" s="286"/>
      <c r="C6339" s="287"/>
      <c r="D6339" s="286"/>
      <c r="E6339" s="286"/>
    </row>
    <row r="6340">
      <c r="A6340" s="286"/>
      <c r="B6340" s="286"/>
      <c r="C6340" s="287"/>
      <c r="D6340" s="286"/>
      <c r="E6340" s="286"/>
    </row>
    <row r="6341">
      <c r="A6341" s="286"/>
      <c r="B6341" s="286"/>
      <c r="C6341" s="287"/>
      <c r="D6341" s="286"/>
      <c r="E6341" s="286"/>
    </row>
    <row r="6342">
      <c r="A6342" s="286"/>
      <c r="B6342" s="286"/>
      <c r="C6342" s="287"/>
      <c r="D6342" s="286"/>
      <c r="E6342" s="286"/>
    </row>
    <row r="6343">
      <c r="A6343" s="286"/>
      <c r="B6343" s="286"/>
      <c r="C6343" s="287"/>
      <c r="D6343" s="286"/>
      <c r="E6343" s="286"/>
    </row>
    <row r="6344">
      <c r="A6344" s="286"/>
      <c r="B6344" s="286"/>
      <c r="C6344" s="287"/>
      <c r="D6344" s="286"/>
      <c r="E6344" s="286"/>
    </row>
    <row r="6345">
      <c r="A6345" s="286"/>
      <c r="B6345" s="286"/>
      <c r="C6345" s="287"/>
      <c r="D6345" s="286"/>
      <c r="E6345" s="286"/>
    </row>
    <row r="6346">
      <c r="A6346" s="286"/>
      <c r="B6346" s="286"/>
      <c r="C6346" s="287"/>
      <c r="D6346" s="286"/>
      <c r="E6346" s="286"/>
    </row>
    <row r="6347">
      <c r="A6347" s="286"/>
      <c r="B6347" s="286"/>
      <c r="C6347" s="287"/>
      <c r="D6347" s="286"/>
      <c r="E6347" s="286"/>
    </row>
    <row r="6348">
      <c r="A6348" s="286"/>
      <c r="B6348" s="286"/>
      <c r="C6348" s="287"/>
      <c r="D6348" s="286"/>
      <c r="E6348" s="286"/>
    </row>
    <row r="6349">
      <c r="A6349" s="286"/>
      <c r="B6349" s="286"/>
      <c r="C6349" s="287"/>
      <c r="D6349" s="286"/>
      <c r="E6349" s="286"/>
    </row>
    <row r="6350">
      <c r="A6350" s="286"/>
      <c r="B6350" s="286"/>
      <c r="C6350" s="287"/>
      <c r="D6350" s="286"/>
      <c r="E6350" s="286"/>
    </row>
    <row r="6351">
      <c r="A6351" s="286"/>
      <c r="B6351" s="286"/>
      <c r="C6351" s="287"/>
      <c r="D6351" s="286"/>
      <c r="E6351" s="286"/>
    </row>
    <row r="6352">
      <c r="A6352" s="286"/>
      <c r="B6352" s="286"/>
      <c r="C6352" s="287"/>
      <c r="D6352" s="286"/>
      <c r="E6352" s="286"/>
    </row>
    <row r="6353">
      <c r="A6353" s="286"/>
      <c r="B6353" s="286"/>
      <c r="C6353" s="287"/>
      <c r="D6353" s="286"/>
      <c r="E6353" s="286"/>
    </row>
    <row r="6354">
      <c r="A6354" s="286"/>
      <c r="B6354" s="286"/>
      <c r="C6354" s="287"/>
      <c r="D6354" s="286"/>
      <c r="E6354" s="286"/>
    </row>
    <row r="6355">
      <c r="A6355" s="286"/>
      <c r="B6355" s="286"/>
      <c r="C6355" s="287"/>
      <c r="D6355" s="286"/>
      <c r="E6355" s="286"/>
    </row>
    <row r="6356">
      <c r="A6356" s="286"/>
      <c r="B6356" s="286"/>
      <c r="C6356" s="287"/>
      <c r="D6356" s="286"/>
      <c r="E6356" s="286"/>
    </row>
    <row r="6357">
      <c r="A6357" s="286"/>
      <c r="B6357" s="286"/>
      <c r="C6357" s="287"/>
      <c r="D6357" s="286"/>
      <c r="E6357" s="286"/>
    </row>
    <row r="6358">
      <c r="A6358" s="286"/>
      <c r="B6358" s="286"/>
      <c r="C6358" s="287"/>
      <c r="D6358" s="286"/>
      <c r="E6358" s="286"/>
    </row>
    <row r="6359">
      <c r="A6359" s="286"/>
      <c r="B6359" s="286"/>
      <c r="C6359" s="287"/>
      <c r="D6359" s="286"/>
      <c r="E6359" s="286"/>
    </row>
    <row r="6360">
      <c r="A6360" s="286"/>
      <c r="B6360" s="286"/>
      <c r="C6360" s="287"/>
      <c r="D6360" s="286"/>
      <c r="E6360" s="286"/>
    </row>
    <row r="6361">
      <c r="A6361" s="286"/>
      <c r="B6361" s="286"/>
      <c r="C6361" s="287"/>
      <c r="D6361" s="286"/>
      <c r="E6361" s="286"/>
    </row>
    <row r="6362">
      <c r="A6362" s="286"/>
      <c r="B6362" s="286"/>
      <c r="C6362" s="287"/>
      <c r="D6362" s="286"/>
      <c r="E6362" s="286"/>
    </row>
    <row r="6363">
      <c r="A6363" s="286"/>
      <c r="B6363" s="286"/>
      <c r="C6363" s="287"/>
      <c r="D6363" s="286"/>
      <c r="E6363" s="286"/>
    </row>
    <row r="6364">
      <c r="A6364" s="286"/>
      <c r="B6364" s="286"/>
      <c r="C6364" s="287"/>
      <c r="D6364" s="286"/>
      <c r="E6364" s="286"/>
    </row>
    <row r="6365">
      <c r="A6365" s="286"/>
      <c r="B6365" s="286"/>
      <c r="C6365" s="287"/>
      <c r="D6365" s="286"/>
      <c r="E6365" s="286"/>
    </row>
    <row r="6366">
      <c r="A6366" s="286"/>
      <c r="B6366" s="286"/>
      <c r="C6366" s="287"/>
      <c r="D6366" s="286"/>
      <c r="E6366" s="286"/>
    </row>
    <row r="6367">
      <c r="A6367" s="286"/>
      <c r="B6367" s="286"/>
      <c r="C6367" s="287"/>
      <c r="D6367" s="286"/>
      <c r="E6367" s="286"/>
    </row>
    <row r="6368">
      <c r="A6368" s="286"/>
      <c r="B6368" s="286"/>
      <c r="C6368" s="287"/>
      <c r="D6368" s="286"/>
      <c r="E6368" s="286"/>
    </row>
    <row r="6369">
      <c r="A6369" s="286"/>
      <c r="B6369" s="286"/>
      <c r="C6369" s="287"/>
      <c r="D6369" s="286"/>
      <c r="E6369" s="286"/>
    </row>
    <row r="6370">
      <c r="A6370" s="286"/>
      <c r="B6370" s="286"/>
      <c r="C6370" s="287"/>
      <c r="D6370" s="286"/>
      <c r="E6370" s="286"/>
    </row>
    <row r="6371">
      <c r="A6371" s="286"/>
      <c r="B6371" s="286"/>
      <c r="C6371" s="287"/>
      <c r="D6371" s="286"/>
      <c r="E6371" s="286"/>
    </row>
    <row r="6372">
      <c r="A6372" s="286"/>
      <c r="B6372" s="286"/>
      <c r="C6372" s="287"/>
      <c r="D6372" s="286"/>
      <c r="E6372" s="286"/>
    </row>
    <row r="6373">
      <c r="A6373" s="286"/>
      <c r="B6373" s="286"/>
      <c r="C6373" s="287"/>
      <c r="D6373" s="286"/>
      <c r="E6373" s="286"/>
    </row>
    <row r="6374">
      <c r="A6374" s="286"/>
      <c r="B6374" s="286"/>
      <c r="C6374" s="287"/>
      <c r="D6374" s="286"/>
      <c r="E6374" s="286"/>
    </row>
    <row r="6375">
      <c r="A6375" s="286"/>
      <c r="B6375" s="286"/>
      <c r="C6375" s="287"/>
      <c r="D6375" s="286"/>
      <c r="E6375" s="286"/>
    </row>
    <row r="6376">
      <c r="A6376" s="286"/>
      <c r="B6376" s="286"/>
      <c r="C6376" s="287"/>
      <c r="D6376" s="286"/>
      <c r="E6376" s="286"/>
    </row>
    <row r="6377">
      <c r="A6377" s="286"/>
      <c r="B6377" s="286"/>
      <c r="C6377" s="287"/>
      <c r="D6377" s="286"/>
      <c r="E6377" s="286"/>
    </row>
    <row r="6378">
      <c r="A6378" s="286"/>
      <c r="B6378" s="286"/>
      <c r="C6378" s="287"/>
      <c r="D6378" s="286"/>
      <c r="E6378" s="286"/>
    </row>
    <row r="6379">
      <c r="A6379" s="286"/>
      <c r="B6379" s="286"/>
      <c r="C6379" s="287"/>
      <c r="D6379" s="286"/>
      <c r="E6379" s="286"/>
    </row>
    <row r="6380">
      <c r="A6380" s="286"/>
      <c r="B6380" s="286"/>
      <c r="C6380" s="287"/>
      <c r="D6380" s="286"/>
      <c r="E6380" s="286"/>
    </row>
    <row r="6381">
      <c r="A6381" s="286"/>
      <c r="B6381" s="286"/>
      <c r="C6381" s="287"/>
      <c r="D6381" s="286"/>
      <c r="E6381" s="286"/>
    </row>
    <row r="6382">
      <c r="A6382" s="286"/>
      <c r="B6382" s="286"/>
      <c r="C6382" s="287"/>
      <c r="D6382" s="286"/>
      <c r="E6382" s="286"/>
    </row>
    <row r="6383">
      <c r="A6383" s="286"/>
      <c r="B6383" s="286"/>
      <c r="C6383" s="287"/>
      <c r="D6383" s="286"/>
      <c r="E6383" s="286"/>
    </row>
    <row r="6384">
      <c r="A6384" s="286"/>
      <c r="B6384" s="286"/>
      <c r="C6384" s="287"/>
      <c r="D6384" s="286"/>
      <c r="E6384" s="286"/>
    </row>
    <row r="6385">
      <c r="A6385" s="286"/>
      <c r="B6385" s="286"/>
      <c r="C6385" s="287"/>
      <c r="D6385" s="286"/>
      <c r="E6385" s="286"/>
    </row>
    <row r="6386">
      <c r="A6386" s="286"/>
      <c r="B6386" s="286"/>
      <c r="C6386" s="287"/>
      <c r="D6386" s="286"/>
      <c r="E6386" s="286"/>
    </row>
    <row r="6387">
      <c r="A6387" s="286"/>
      <c r="B6387" s="286"/>
      <c r="C6387" s="287"/>
      <c r="D6387" s="286"/>
      <c r="E6387" s="286"/>
    </row>
    <row r="6388">
      <c r="A6388" s="286"/>
      <c r="B6388" s="286"/>
      <c r="C6388" s="287"/>
      <c r="D6388" s="286"/>
      <c r="E6388" s="286"/>
    </row>
    <row r="6389">
      <c r="A6389" s="286"/>
      <c r="B6389" s="286"/>
      <c r="C6389" s="287"/>
      <c r="D6389" s="286"/>
      <c r="E6389" s="286"/>
    </row>
    <row r="6390">
      <c r="A6390" s="286"/>
      <c r="B6390" s="286"/>
      <c r="C6390" s="287"/>
      <c r="D6390" s="286"/>
      <c r="E6390" s="286"/>
    </row>
    <row r="6391">
      <c r="A6391" s="286"/>
      <c r="B6391" s="286"/>
      <c r="C6391" s="287"/>
      <c r="D6391" s="286"/>
      <c r="E6391" s="286"/>
    </row>
    <row r="6392">
      <c r="A6392" s="286"/>
      <c r="B6392" s="286"/>
      <c r="C6392" s="287"/>
      <c r="D6392" s="286"/>
      <c r="E6392" s="286"/>
    </row>
    <row r="6393">
      <c r="A6393" s="286"/>
      <c r="B6393" s="286"/>
      <c r="C6393" s="287"/>
      <c r="D6393" s="286"/>
      <c r="E6393" s="286"/>
    </row>
    <row r="6394">
      <c r="A6394" s="286"/>
      <c r="B6394" s="286"/>
      <c r="C6394" s="287"/>
      <c r="D6394" s="286"/>
      <c r="E6394" s="286"/>
    </row>
    <row r="6395">
      <c r="A6395" s="286"/>
      <c r="B6395" s="286"/>
      <c r="C6395" s="287"/>
      <c r="D6395" s="286"/>
      <c r="E6395" s="286"/>
    </row>
    <row r="6396">
      <c r="A6396" s="286"/>
      <c r="B6396" s="286"/>
      <c r="C6396" s="287"/>
      <c r="D6396" s="286"/>
      <c r="E6396" s="286"/>
    </row>
    <row r="6397">
      <c r="A6397" s="286"/>
      <c r="B6397" s="286"/>
      <c r="C6397" s="287"/>
      <c r="D6397" s="286"/>
      <c r="E6397" s="286"/>
    </row>
    <row r="6398">
      <c r="A6398" s="286"/>
      <c r="B6398" s="286"/>
      <c r="C6398" s="287"/>
      <c r="D6398" s="286"/>
      <c r="E6398" s="286"/>
    </row>
    <row r="6399">
      <c r="A6399" s="286"/>
      <c r="B6399" s="286"/>
      <c r="C6399" s="287"/>
      <c r="D6399" s="286"/>
      <c r="E6399" s="286"/>
    </row>
    <row r="6400">
      <c r="A6400" s="286"/>
      <c r="B6400" s="286"/>
      <c r="C6400" s="287"/>
      <c r="D6400" s="286"/>
      <c r="E6400" s="286"/>
    </row>
    <row r="6401">
      <c r="A6401" s="286"/>
      <c r="B6401" s="286"/>
      <c r="C6401" s="287"/>
      <c r="D6401" s="286"/>
      <c r="E6401" s="286"/>
    </row>
    <row r="6402">
      <c r="A6402" s="286"/>
      <c r="B6402" s="286"/>
      <c r="C6402" s="287"/>
      <c r="D6402" s="286"/>
      <c r="E6402" s="286"/>
    </row>
    <row r="6403">
      <c r="A6403" s="286"/>
      <c r="B6403" s="286"/>
      <c r="C6403" s="287"/>
      <c r="D6403" s="286"/>
      <c r="E6403" s="286"/>
    </row>
    <row r="6404">
      <c r="A6404" s="286"/>
      <c r="B6404" s="286"/>
      <c r="C6404" s="287"/>
      <c r="D6404" s="286"/>
      <c r="E6404" s="286"/>
    </row>
    <row r="6405">
      <c r="A6405" s="286"/>
      <c r="B6405" s="286"/>
      <c r="C6405" s="287"/>
      <c r="D6405" s="286"/>
      <c r="E6405" s="286"/>
    </row>
    <row r="6406">
      <c r="A6406" s="286"/>
      <c r="B6406" s="286"/>
      <c r="C6406" s="287"/>
      <c r="D6406" s="286"/>
      <c r="E6406" s="286"/>
    </row>
    <row r="6407">
      <c r="A6407" s="286"/>
      <c r="B6407" s="286"/>
      <c r="C6407" s="287"/>
      <c r="D6407" s="286"/>
      <c r="E6407" s="286"/>
    </row>
    <row r="6408">
      <c r="A6408" s="286"/>
      <c r="B6408" s="286"/>
      <c r="C6408" s="287"/>
      <c r="D6408" s="286"/>
      <c r="E6408" s="286"/>
    </row>
    <row r="6409">
      <c r="A6409" s="286"/>
      <c r="B6409" s="286"/>
      <c r="C6409" s="287"/>
      <c r="D6409" s="286"/>
      <c r="E6409" s="286"/>
    </row>
    <row r="6410">
      <c r="A6410" s="286"/>
      <c r="B6410" s="286"/>
      <c r="C6410" s="287"/>
      <c r="D6410" s="286"/>
      <c r="E6410" s="286"/>
    </row>
    <row r="6411">
      <c r="A6411" s="286"/>
      <c r="B6411" s="286"/>
      <c r="C6411" s="287"/>
      <c r="D6411" s="286"/>
      <c r="E6411" s="286"/>
    </row>
    <row r="6412">
      <c r="A6412" s="286"/>
      <c r="B6412" s="286"/>
      <c r="C6412" s="287"/>
      <c r="D6412" s="286"/>
      <c r="E6412" s="286"/>
    </row>
    <row r="6413">
      <c r="A6413" s="286"/>
      <c r="B6413" s="286"/>
      <c r="C6413" s="287"/>
      <c r="D6413" s="286"/>
      <c r="E6413" s="286"/>
    </row>
    <row r="6414">
      <c r="A6414" s="286"/>
      <c r="B6414" s="286"/>
      <c r="C6414" s="287"/>
      <c r="D6414" s="286"/>
      <c r="E6414" s="286"/>
    </row>
    <row r="6415">
      <c r="A6415" s="286"/>
      <c r="B6415" s="286"/>
      <c r="C6415" s="287"/>
      <c r="D6415" s="286"/>
      <c r="E6415" s="286"/>
    </row>
    <row r="6416">
      <c r="A6416" s="286"/>
      <c r="B6416" s="286"/>
      <c r="C6416" s="287"/>
      <c r="D6416" s="286"/>
      <c r="E6416" s="286"/>
    </row>
    <row r="6417">
      <c r="A6417" s="286"/>
      <c r="B6417" s="286"/>
      <c r="C6417" s="287"/>
      <c r="D6417" s="286"/>
      <c r="E6417" s="286"/>
    </row>
    <row r="6418">
      <c r="A6418" s="286"/>
      <c r="B6418" s="286"/>
      <c r="C6418" s="287"/>
      <c r="D6418" s="286"/>
      <c r="E6418" s="286"/>
    </row>
    <row r="6419">
      <c r="A6419" s="286"/>
      <c r="B6419" s="286"/>
      <c r="C6419" s="287"/>
      <c r="D6419" s="286"/>
      <c r="E6419" s="286"/>
    </row>
    <row r="6420">
      <c r="A6420" s="286"/>
      <c r="B6420" s="286"/>
      <c r="C6420" s="287"/>
      <c r="D6420" s="286"/>
      <c r="E6420" s="286"/>
    </row>
    <row r="6421">
      <c r="A6421" s="286"/>
      <c r="B6421" s="286"/>
      <c r="C6421" s="287"/>
      <c r="D6421" s="286"/>
      <c r="E6421" s="286"/>
    </row>
    <row r="6422">
      <c r="A6422" s="286"/>
      <c r="B6422" s="286"/>
      <c r="C6422" s="287"/>
      <c r="D6422" s="286"/>
      <c r="E6422" s="286"/>
    </row>
    <row r="6423">
      <c r="A6423" s="286"/>
      <c r="B6423" s="286"/>
      <c r="C6423" s="287"/>
      <c r="D6423" s="286"/>
      <c r="E6423" s="286"/>
    </row>
    <row r="6424">
      <c r="A6424" s="286"/>
      <c r="B6424" s="286"/>
      <c r="C6424" s="287"/>
      <c r="D6424" s="286"/>
      <c r="E6424" s="286"/>
    </row>
    <row r="6425">
      <c r="A6425" s="286"/>
      <c r="B6425" s="286"/>
      <c r="C6425" s="287"/>
      <c r="D6425" s="286"/>
      <c r="E6425" s="286"/>
    </row>
    <row r="6426">
      <c r="A6426" s="286"/>
      <c r="B6426" s="286"/>
      <c r="C6426" s="287"/>
      <c r="D6426" s="286"/>
      <c r="E6426" s="286"/>
    </row>
    <row r="6427">
      <c r="A6427" s="286"/>
      <c r="B6427" s="286"/>
      <c r="C6427" s="287"/>
      <c r="D6427" s="286"/>
      <c r="E6427" s="286"/>
    </row>
    <row r="6428">
      <c r="A6428" s="286"/>
      <c r="B6428" s="286"/>
      <c r="C6428" s="287"/>
      <c r="D6428" s="286"/>
      <c r="E6428" s="286"/>
    </row>
    <row r="6429">
      <c r="A6429" s="286"/>
      <c r="B6429" s="286"/>
      <c r="C6429" s="287"/>
      <c r="D6429" s="286"/>
      <c r="E6429" s="286"/>
    </row>
    <row r="6430">
      <c r="A6430" s="286"/>
      <c r="B6430" s="286"/>
      <c r="C6430" s="287"/>
      <c r="D6430" s="286"/>
      <c r="E6430" s="286"/>
    </row>
    <row r="6431">
      <c r="A6431" s="286"/>
      <c r="B6431" s="286"/>
      <c r="C6431" s="287"/>
      <c r="D6431" s="286"/>
      <c r="E6431" s="286"/>
    </row>
    <row r="6432">
      <c r="A6432" s="286"/>
      <c r="B6432" s="286"/>
      <c r="C6432" s="287"/>
      <c r="D6432" s="286"/>
      <c r="E6432" s="286"/>
    </row>
    <row r="6433">
      <c r="A6433" s="286"/>
      <c r="B6433" s="286"/>
      <c r="C6433" s="287"/>
      <c r="D6433" s="286"/>
      <c r="E6433" s="286"/>
    </row>
    <row r="6434">
      <c r="A6434" s="286"/>
      <c r="B6434" s="286"/>
      <c r="C6434" s="287"/>
      <c r="D6434" s="286"/>
      <c r="E6434" s="286"/>
    </row>
    <row r="6435">
      <c r="A6435" s="286"/>
      <c r="B6435" s="286"/>
      <c r="C6435" s="287"/>
      <c r="D6435" s="286"/>
      <c r="E6435" s="286"/>
    </row>
    <row r="6436">
      <c r="A6436" s="286"/>
      <c r="B6436" s="286"/>
      <c r="C6436" s="287"/>
      <c r="D6436" s="286"/>
      <c r="E6436" s="286"/>
    </row>
    <row r="6437">
      <c r="A6437" s="286"/>
      <c r="B6437" s="286"/>
      <c r="C6437" s="287"/>
      <c r="D6437" s="286"/>
      <c r="E6437" s="286"/>
    </row>
    <row r="6438">
      <c r="A6438" s="286"/>
      <c r="B6438" s="286"/>
      <c r="C6438" s="287"/>
      <c r="D6438" s="286"/>
      <c r="E6438" s="286"/>
    </row>
    <row r="6439">
      <c r="A6439" s="286"/>
      <c r="B6439" s="286"/>
      <c r="C6439" s="287"/>
      <c r="D6439" s="286"/>
      <c r="E6439" s="286"/>
    </row>
    <row r="6440">
      <c r="A6440" s="286"/>
      <c r="B6440" s="286"/>
      <c r="C6440" s="287"/>
      <c r="D6440" s="286"/>
      <c r="E6440" s="286"/>
    </row>
    <row r="6441">
      <c r="A6441" s="286"/>
      <c r="B6441" s="286"/>
      <c r="C6441" s="287"/>
      <c r="D6441" s="286"/>
      <c r="E6441" s="286"/>
    </row>
    <row r="6442">
      <c r="A6442" s="286"/>
      <c r="B6442" s="286"/>
      <c r="C6442" s="287"/>
      <c r="D6442" s="286"/>
      <c r="E6442" s="286"/>
    </row>
    <row r="6443">
      <c r="A6443" s="286"/>
      <c r="B6443" s="286"/>
      <c r="C6443" s="287"/>
      <c r="D6443" s="286"/>
      <c r="E6443" s="286"/>
    </row>
    <row r="6444">
      <c r="A6444" s="286"/>
      <c r="B6444" s="286"/>
      <c r="C6444" s="287"/>
      <c r="D6444" s="286"/>
      <c r="E6444" s="286"/>
    </row>
    <row r="6445">
      <c r="A6445" s="286"/>
      <c r="B6445" s="286"/>
      <c r="C6445" s="287"/>
      <c r="D6445" s="286"/>
      <c r="E6445" s="286"/>
    </row>
    <row r="6446">
      <c r="A6446" s="286"/>
      <c r="B6446" s="286"/>
      <c r="C6446" s="287"/>
      <c r="D6446" s="286"/>
      <c r="E6446" s="286"/>
    </row>
    <row r="6447">
      <c r="A6447" s="286"/>
      <c r="B6447" s="286"/>
      <c r="C6447" s="287"/>
      <c r="D6447" s="286"/>
      <c r="E6447" s="286"/>
    </row>
    <row r="6448">
      <c r="A6448" s="286"/>
      <c r="B6448" s="286"/>
      <c r="C6448" s="287"/>
      <c r="D6448" s="286"/>
      <c r="E6448" s="286"/>
    </row>
    <row r="6449">
      <c r="A6449" s="286"/>
      <c r="B6449" s="286"/>
      <c r="C6449" s="287"/>
      <c r="D6449" s="286"/>
      <c r="E6449" s="286"/>
    </row>
    <row r="6450">
      <c r="A6450" s="286"/>
      <c r="B6450" s="286"/>
      <c r="C6450" s="287"/>
      <c r="D6450" s="286"/>
      <c r="E6450" s="286"/>
    </row>
    <row r="6451">
      <c r="A6451" s="286"/>
      <c r="B6451" s="286"/>
      <c r="C6451" s="287"/>
      <c r="D6451" s="286"/>
      <c r="E6451" s="286"/>
    </row>
  </sheetData>
  <autoFilter ref="$A$1:$Z$1451"/>
  <mergeCells count="8">
    <mergeCell ref="A35:B35"/>
    <mergeCell ref="A77:B77"/>
    <mergeCell ref="A179:B179"/>
    <mergeCell ref="A808:B808"/>
    <mergeCell ref="A827:B827"/>
    <mergeCell ref="A1083:B1083"/>
    <mergeCell ref="B1363:C1363"/>
    <mergeCell ref="A1444:B1444"/>
  </mergeCells>
  <conditionalFormatting sqref="D1:D6451">
    <cfRule type="expression" dxfId="5" priority="1">
      <formula>COUNTIF(D:D,D,D)&gt;1</formula>
    </cfRule>
  </conditionalFormatting>
  <hyperlinks>
    <hyperlink r:id="rId1" ref="A1007"/>
  </hyperlinks>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6.13"/>
    <col customWidth="1" min="2" max="2" width="10.38"/>
    <col customWidth="1" min="3" max="3" width="8.5"/>
    <col customWidth="1" min="4" max="4" width="9.38"/>
    <col customWidth="1" min="5" max="5" width="7.88"/>
    <col customWidth="1" min="6" max="6" width="8.75"/>
    <col customWidth="1" min="7" max="7" width="22.0"/>
    <col customWidth="1" min="8" max="8" width="25.63"/>
    <col customWidth="1" min="9" max="9" width="13.13"/>
    <col customWidth="1" min="10" max="10" width="18.5"/>
    <col customWidth="1" min="11" max="11" width="12.63"/>
    <col customWidth="1" min="12" max="12" width="15.13"/>
    <col customWidth="1" min="13" max="13" width="33.25"/>
    <col customWidth="1" min="14" max="14" width="9.25"/>
    <col customWidth="1" min="15" max="15" width="7.25"/>
    <col customWidth="1" min="16" max="16" width="12.5"/>
    <col customWidth="1" min="17" max="17" width="9.13"/>
    <col customWidth="1" min="18" max="18" width="14.0"/>
    <col customWidth="1" min="19" max="19" width="14.5"/>
    <col customWidth="1" min="20" max="20" width="11.13"/>
    <col customWidth="1" min="21" max="21" width="8.38"/>
    <col customWidth="1" min="22" max="22" width="17.0"/>
    <col customWidth="1" min="23" max="23" width="17.63"/>
  </cols>
  <sheetData>
    <row r="1">
      <c r="A1" s="292"/>
      <c r="B1" s="292"/>
      <c r="C1" s="292"/>
      <c r="D1" s="292"/>
      <c r="E1" s="292"/>
      <c r="F1" s="292"/>
      <c r="G1" s="293"/>
      <c r="H1" s="292" t="s">
        <v>70</v>
      </c>
      <c r="I1" s="293"/>
      <c r="J1" s="294" t="s">
        <v>4398</v>
      </c>
      <c r="K1" s="295"/>
      <c r="L1" s="295"/>
      <c r="M1" s="30"/>
      <c r="N1" s="295"/>
      <c r="O1" s="295"/>
      <c r="P1" s="295"/>
      <c r="Q1" s="295"/>
      <c r="R1" s="296">
        <f>SUM(R3:R31)</f>
        <v>0</v>
      </c>
      <c r="S1" s="296">
        <f t="shared" ref="S1:V1" si="1">SUM(S3:S31)</f>
        <v>0</v>
      </c>
      <c r="T1" s="297">
        <f t="shared" si="1"/>
        <v>0</v>
      </c>
      <c r="U1" s="298">
        <f t="shared" si="1"/>
        <v>0</v>
      </c>
      <c r="V1" s="298">
        <f t="shared" si="1"/>
        <v>0</v>
      </c>
      <c r="W1" s="295"/>
    </row>
    <row r="2">
      <c r="A2" s="299" t="s">
        <v>4399</v>
      </c>
      <c r="B2" s="300" t="s">
        <v>4400</v>
      </c>
      <c r="C2" s="300" t="s">
        <v>4401</v>
      </c>
      <c r="D2" s="299" t="s">
        <v>4402</v>
      </c>
      <c r="E2" s="300" t="s">
        <v>4403</v>
      </c>
      <c r="F2" s="300" t="s">
        <v>4404</v>
      </c>
      <c r="G2" s="300" t="s">
        <v>4405</v>
      </c>
      <c r="H2" s="300" t="s">
        <v>4406</v>
      </c>
      <c r="I2" s="300" t="s">
        <v>4407</v>
      </c>
      <c r="J2" s="300" t="s">
        <v>4408</v>
      </c>
      <c r="K2" s="301" t="s">
        <v>4409</v>
      </c>
      <c r="L2" s="301" t="s">
        <v>4410</v>
      </c>
      <c r="M2" s="302" t="s">
        <v>4411</v>
      </c>
      <c r="N2" s="301" t="s">
        <v>4412</v>
      </c>
      <c r="O2" s="299" t="s">
        <v>447</v>
      </c>
      <c r="P2" s="303" t="s">
        <v>4413</v>
      </c>
      <c r="Q2" s="301" t="s">
        <v>4414</v>
      </c>
      <c r="R2" s="301" t="s">
        <v>4415</v>
      </c>
      <c r="S2" s="301" t="s">
        <v>4416</v>
      </c>
      <c r="T2" s="301" t="s">
        <v>4417</v>
      </c>
      <c r="U2" s="301" t="s">
        <v>4418</v>
      </c>
      <c r="V2" s="301" t="s">
        <v>4419</v>
      </c>
      <c r="W2" s="301" t="s">
        <v>4420</v>
      </c>
    </row>
    <row r="3">
      <c r="A3" s="250">
        <v>1.0</v>
      </c>
      <c r="B3" s="250"/>
      <c r="C3" s="250"/>
      <c r="D3" s="250"/>
      <c r="E3" s="250"/>
      <c r="F3" s="250"/>
      <c r="G3" s="250"/>
      <c r="H3" s="250"/>
      <c r="I3" s="250"/>
      <c r="J3" s="250"/>
      <c r="K3" s="250"/>
      <c r="L3" s="250"/>
      <c r="M3" s="250"/>
      <c r="N3" s="250"/>
      <c r="O3" s="304"/>
      <c r="P3" s="305"/>
      <c r="Q3" s="250"/>
      <c r="R3" s="305"/>
      <c r="S3" s="305"/>
      <c r="T3" s="306"/>
      <c r="U3" s="247"/>
      <c r="V3" s="247"/>
      <c r="W3" s="307"/>
    </row>
    <row r="4">
      <c r="A4" s="250">
        <v>2.0</v>
      </c>
      <c r="B4" s="250"/>
      <c r="C4" s="250"/>
      <c r="D4" s="250"/>
      <c r="E4" s="250"/>
      <c r="F4" s="250"/>
      <c r="G4" s="250"/>
      <c r="H4" s="250"/>
      <c r="I4" s="250"/>
      <c r="J4" s="250"/>
      <c r="K4" s="250"/>
      <c r="L4" s="250"/>
      <c r="M4" s="250"/>
      <c r="N4" s="250"/>
      <c r="O4" s="304"/>
      <c r="P4" s="305"/>
      <c r="Q4" s="250"/>
      <c r="R4" s="305"/>
      <c r="S4" s="305"/>
      <c r="T4" s="306"/>
      <c r="U4" s="247"/>
      <c r="V4" s="247"/>
      <c r="W4" s="307"/>
    </row>
    <row r="5">
      <c r="A5" s="250">
        <v>3.0</v>
      </c>
      <c r="B5" s="250"/>
      <c r="C5" s="250"/>
      <c r="D5" s="250"/>
      <c r="E5" s="250"/>
      <c r="F5" s="250"/>
      <c r="G5" s="250"/>
      <c r="H5" s="250"/>
      <c r="I5" s="250"/>
      <c r="J5" s="250"/>
      <c r="K5" s="250"/>
      <c r="L5" s="250"/>
      <c r="M5" s="250"/>
      <c r="N5" s="250"/>
      <c r="O5" s="304"/>
      <c r="P5" s="305"/>
      <c r="Q5" s="250"/>
      <c r="R5" s="305"/>
      <c r="S5" s="305"/>
      <c r="T5" s="306"/>
      <c r="U5" s="247"/>
      <c r="V5" s="247"/>
      <c r="W5" s="307"/>
    </row>
    <row r="6">
      <c r="A6" s="250">
        <v>4.0</v>
      </c>
      <c r="B6" s="250"/>
      <c r="C6" s="250"/>
      <c r="D6" s="250"/>
      <c r="E6" s="250"/>
      <c r="F6" s="250"/>
      <c r="G6" s="250"/>
      <c r="H6" s="250"/>
      <c r="I6" s="250"/>
      <c r="J6" s="250"/>
      <c r="K6" s="250"/>
      <c r="L6" s="250"/>
      <c r="M6" s="250"/>
      <c r="N6" s="250"/>
      <c r="O6" s="304"/>
      <c r="P6" s="305"/>
      <c r="Q6" s="250"/>
      <c r="R6" s="305"/>
      <c r="S6" s="305"/>
      <c r="T6" s="306"/>
      <c r="U6" s="247"/>
      <c r="V6" s="247"/>
      <c r="W6" s="307"/>
    </row>
    <row r="7">
      <c r="A7" s="250">
        <v>5.0</v>
      </c>
      <c r="B7" s="250"/>
      <c r="C7" s="250"/>
      <c r="D7" s="250"/>
      <c r="E7" s="250"/>
      <c r="F7" s="250"/>
      <c r="G7" s="250"/>
      <c r="H7" s="250"/>
      <c r="I7" s="250"/>
      <c r="J7" s="250"/>
      <c r="K7" s="250"/>
      <c r="L7" s="250"/>
      <c r="M7" s="250"/>
      <c r="N7" s="250"/>
      <c r="O7" s="304"/>
      <c r="P7" s="305"/>
      <c r="Q7" s="250"/>
      <c r="R7" s="305"/>
      <c r="S7" s="305"/>
      <c r="T7" s="306"/>
      <c r="U7" s="247"/>
      <c r="V7" s="247"/>
      <c r="W7" s="307"/>
    </row>
    <row r="8">
      <c r="A8" s="250">
        <v>6.0</v>
      </c>
      <c r="B8" s="250"/>
      <c r="C8" s="250"/>
      <c r="D8" s="250"/>
      <c r="E8" s="250"/>
      <c r="F8" s="250"/>
      <c r="G8" s="250"/>
      <c r="H8" s="250"/>
      <c r="I8" s="250"/>
      <c r="J8" s="250"/>
      <c r="K8" s="250"/>
      <c r="L8" s="250"/>
      <c r="M8" s="250"/>
      <c r="N8" s="250"/>
      <c r="O8" s="250"/>
      <c r="P8" s="305"/>
      <c r="Q8" s="250"/>
      <c r="R8" s="305"/>
      <c r="S8" s="305"/>
      <c r="T8" s="306"/>
      <c r="U8" s="247"/>
      <c r="V8" s="247"/>
      <c r="W8" s="307"/>
    </row>
    <row r="9">
      <c r="A9" s="250">
        <v>7.0</v>
      </c>
      <c r="B9" s="250"/>
      <c r="C9" s="250"/>
      <c r="D9" s="250"/>
      <c r="E9" s="250"/>
      <c r="F9" s="250"/>
      <c r="G9" s="250"/>
      <c r="H9" s="250"/>
      <c r="I9" s="250"/>
      <c r="J9" s="250"/>
      <c r="K9" s="250"/>
      <c r="L9" s="250"/>
      <c r="M9" s="250"/>
      <c r="N9" s="250"/>
      <c r="O9" s="304"/>
      <c r="P9" s="305"/>
      <c r="Q9" s="250"/>
      <c r="R9" s="305"/>
      <c r="S9" s="305"/>
      <c r="T9" s="306"/>
      <c r="U9" s="247"/>
      <c r="V9" s="247"/>
      <c r="W9" s="307"/>
    </row>
    <row r="10">
      <c r="A10" s="250">
        <v>8.0</v>
      </c>
      <c r="B10" s="250"/>
      <c r="C10" s="250"/>
      <c r="D10" s="250"/>
      <c r="E10" s="250"/>
      <c r="F10" s="250"/>
      <c r="G10" s="250"/>
      <c r="H10" s="250"/>
      <c r="I10" s="250"/>
      <c r="J10" s="250"/>
      <c r="K10" s="250"/>
      <c r="L10" s="250"/>
      <c r="M10" s="250"/>
      <c r="N10" s="250"/>
      <c r="O10" s="304"/>
      <c r="P10" s="305"/>
      <c r="Q10" s="250"/>
      <c r="R10" s="305"/>
      <c r="S10" s="305"/>
      <c r="T10" s="306"/>
      <c r="U10" s="247"/>
      <c r="V10" s="247"/>
      <c r="W10" s="307"/>
    </row>
    <row r="11">
      <c r="A11" s="250">
        <v>9.0</v>
      </c>
      <c r="B11" s="250"/>
      <c r="C11" s="250"/>
      <c r="D11" s="250"/>
      <c r="E11" s="250"/>
      <c r="F11" s="250"/>
      <c r="G11" s="250"/>
      <c r="H11" s="250"/>
      <c r="I11" s="250"/>
      <c r="J11" s="250"/>
      <c r="K11" s="250"/>
      <c r="L11" s="250"/>
      <c r="M11" s="250"/>
      <c r="N11" s="250"/>
      <c r="O11" s="304"/>
      <c r="P11" s="305"/>
      <c r="Q11" s="250"/>
      <c r="R11" s="305"/>
      <c r="S11" s="305"/>
      <c r="T11" s="306"/>
      <c r="U11" s="247"/>
      <c r="V11" s="247"/>
      <c r="W11" s="307"/>
    </row>
    <row r="12">
      <c r="A12" s="250">
        <v>10.0</v>
      </c>
      <c r="B12" s="250"/>
      <c r="C12" s="250"/>
      <c r="D12" s="250"/>
      <c r="E12" s="250"/>
      <c r="F12" s="250"/>
      <c r="G12" s="250"/>
      <c r="H12" s="250"/>
      <c r="I12" s="250"/>
      <c r="J12" s="250"/>
      <c r="K12" s="250"/>
      <c r="L12" s="250"/>
      <c r="M12" s="250"/>
      <c r="N12" s="250"/>
      <c r="O12" s="250"/>
      <c r="P12" s="305"/>
      <c r="Q12" s="250"/>
      <c r="R12" s="305"/>
      <c r="S12" s="305"/>
      <c r="T12" s="306"/>
      <c r="U12" s="247"/>
      <c r="V12" s="247"/>
      <c r="W12" s="250"/>
    </row>
    <row r="13">
      <c r="A13" s="250">
        <v>11.0</v>
      </c>
      <c r="B13" s="250"/>
      <c r="C13" s="250"/>
      <c r="D13" s="250"/>
      <c r="E13" s="250"/>
      <c r="F13" s="250"/>
      <c r="G13" s="250"/>
      <c r="H13" s="250"/>
      <c r="I13" s="250"/>
      <c r="J13" s="250"/>
      <c r="K13" s="250"/>
      <c r="L13" s="250"/>
      <c r="M13" s="250"/>
      <c r="N13" s="250"/>
      <c r="O13" s="304"/>
      <c r="P13" s="305"/>
      <c r="Q13" s="250"/>
      <c r="R13" s="305"/>
      <c r="S13" s="305"/>
      <c r="T13" s="306"/>
      <c r="U13" s="247"/>
      <c r="V13" s="247"/>
      <c r="W13" s="307"/>
    </row>
    <row r="14">
      <c r="A14" s="250">
        <v>12.0</v>
      </c>
      <c r="B14" s="250"/>
      <c r="C14" s="250"/>
      <c r="D14" s="250"/>
      <c r="E14" s="250"/>
      <c r="F14" s="250"/>
      <c r="G14" s="250"/>
      <c r="H14" s="250"/>
      <c r="I14" s="250"/>
      <c r="J14" s="250"/>
      <c r="K14" s="250"/>
      <c r="L14" s="250"/>
      <c r="M14" s="250"/>
      <c r="N14" s="250"/>
      <c r="O14" s="304"/>
      <c r="P14" s="305"/>
      <c r="Q14" s="250"/>
      <c r="R14" s="305"/>
      <c r="S14" s="305"/>
      <c r="T14" s="306"/>
      <c r="U14" s="247"/>
      <c r="V14" s="247"/>
      <c r="W14" s="307"/>
    </row>
    <row r="15">
      <c r="A15" s="250">
        <v>13.0</v>
      </c>
      <c r="B15" s="250"/>
      <c r="C15" s="250"/>
      <c r="D15" s="250"/>
      <c r="E15" s="250"/>
      <c r="F15" s="250"/>
      <c r="G15" s="250"/>
      <c r="H15" s="250"/>
      <c r="I15" s="250"/>
      <c r="J15" s="250"/>
      <c r="K15" s="250"/>
      <c r="L15" s="250"/>
      <c r="M15" s="250"/>
      <c r="N15" s="250"/>
      <c r="O15" s="250"/>
      <c r="P15" s="305"/>
      <c r="Q15" s="250"/>
      <c r="R15" s="305"/>
      <c r="S15" s="305"/>
      <c r="T15" s="306"/>
      <c r="U15" s="247"/>
      <c r="V15" s="247"/>
      <c r="W15" s="307"/>
    </row>
    <row r="16">
      <c r="A16" s="250">
        <v>14.0</v>
      </c>
      <c r="B16" s="250"/>
      <c r="C16" s="250"/>
      <c r="D16" s="250"/>
      <c r="E16" s="250"/>
      <c r="F16" s="250"/>
      <c r="G16" s="250"/>
      <c r="H16" s="250"/>
      <c r="I16" s="250"/>
      <c r="J16" s="250"/>
      <c r="K16" s="250"/>
      <c r="L16" s="250"/>
      <c r="M16" s="250"/>
      <c r="N16" s="250"/>
      <c r="O16" s="250"/>
      <c r="P16" s="305"/>
      <c r="Q16" s="250"/>
      <c r="R16" s="305"/>
      <c r="S16" s="305"/>
      <c r="T16" s="306"/>
      <c r="U16" s="247"/>
      <c r="V16" s="247"/>
      <c r="W16" s="307"/>
    </row>
    <row r="17">
      <c r="A17" s="250">
        <v>15.0</v>
      </c>
      <c r="B17" s="250"/>
      <c r="C17" s="250"/>
      <c r="D17" s="250"/>
      <c r="E17" s="250"/>
      <c r="F17" s="250"/>
      <c r="G17" s="250"/>
      <c r="H17" s="250"/>
      <c r="I17" s="250"/>
      <c r="J17" s="250"/>
      <c r="K17" s="250"/>
      <c r="L17" s="250"/>
      <c r="M17" s="250"/>
      <c r="N17" s="250"/>
      <c r="O17" s="250"/>
      <c r="P17" s="305"/>
      <c r="Q17" s="250"/>
      <c r="R17" s="305"/>
      <c r="S17" s="305"/>
      <c r="T17" s="306"/>
      <c r="U17" s="247"/>
      <c r="V17" s="247"/>
      <c r="W17" s="307"/>
    </row>
    <row r="18">
      <c r="A18" s="250">
        <v>16.0</v>
      </c>
      <c r="B18" s="250"/>
      <c r="C18" s="250"/>
      <c r="D18" s="250"/>
      <c r="E18" s="250"/>
      <c r="F18" s="250"/>
      <c r="G18" s="250"/>
      <c r="H18" s="250"/>
      <c r="I18" s="250"/>
      <c r="J18" s="250"/>
      <c r="K18" s="250"/>
      <c r="L18" s="250"/>
      <c r="M18" s="250"/>
      <c r="N18" s="250"/>
      <c r="O18" s="250"/>
      <c r="P18" s="305"/>
      <c r="Q18" s="250"/>
      <c r="R18" s="305"/>
      <c r="S18" s="305"/>
      <c r="T18" s="306"/>
      <c r="U18" s="247"/>
      <c r="V18" s="247"/>
      <c r="W18" s="307"/>
    </row>
    <row r="19">
      <c r="A19" s="250">
        <v>17.0</v>
      </c>
      <c r="B19" s="250"/>
      <c r="C19" s="250"/>
      <c r="D19" s="250"/>
      <c r="E19" s="250"/>
      <c r="F19" s="250"/>
      <c r="G19" s="250"/>
      <c r="H19" s="250"/>
      <c r="I19" s="250"/>
      <c r="J19" s="250"/>
      <c r="K19" s="250"/>
      <c r="L19" s="250"/>
      <c r="M19" s="250"/>
      <c r="N19" s="250"/>
      <c r="O19" s="250"/>
      <c r="P19" s="305"/>
      <c r="Q19" s="250"/>
      <c r="R19" s="305"/>
      <c r="S19" s="305"/>
      <c r="T19" s="306"/>
      <c r="U19" s="247"/>
      <c r="V19" s="247"/>
      <c r="W19" s="307"/>
    </row>
    <row r="20">
      <c r="A20" s="250">
        <v>18.0</v>
      </c>
      <c r="B20" s="250"/>
      <c r="C20" s="250"/>
      <c r="D20" s="250"/>
      <c r="E20" s="250"/>
      <c r="F20" s="250"/>
      <c r="G20" s="250"/>
      <c r="H20" s="250"/>
      <c r="I20" s="250"/>
      <c r="J20" s="250"/>
      <c r="K20" s="250"/>
      <c r="L20" s="250"/>
      <c r="M20" s="250"/>
      <c r="N20" s="250"/>
      <c r="O20" s="304"/>
      <c r="P20" s="305"/>
      <c r="Q20" s="250"/>
      <c r="R20" s="305"/>
      <c r="S20" s="305"/>
      <c r="T20" s="306"/>
      <c r="U20" s="247"/>
      <c r="V20" s="247"/>
      <c r="W20" s="307"/>
    </row>
    <row r="21">
      <c r="A21" s="250">
        <v>19.0</v>
      </c>
      <c r="B21" s="250"/>
      <c r="C21" s="250"/>
      <c r="D21" s="250"/>
      <c r="E21" s="250"/>
      <c r="F21" s="250"/>
      <c r="G21" s="250"/>
      <c r="H21" s="250"/>
      <c r="I21" s="250"/>
      <c r="J21" s="250"/>
      <c r="K21" s="250"/>
      <c r="L21" s="250"/>
      <c r="M21" s="250"/>
      <c r="N21" s="250"/>
      <c r="O21" s="250"/>
      <c r="P21" s="305"/>
      <c r="Q21" s="250"/>
      <c r="R21" s="305"/>
      <c r="S21" s="305"/>
      <c r="T21" s="306"/>
      <c r="U21" s="247"/>
      <c r="V21" s="247"/>
      <c r="W21" s="307"/>
    </row>
    <row r="22">
      <c r="A22" s="250">
        <v>20.0</v>
      </c>
      <c r="B22" s="250"/>
      <c r="C22" s="250"/>
      <c r="D22" s="250"/>
      <c r="E22" s="250"/>
      <c r="F22" s="250"/>
      <c r="G22" s="250"/>
      <c r="H22" s="250"/>
      <c r="I22" s="250"/>
      <c r="J22" s="250"/>
      <c r="K22" s="250"/>
      <c r="L22" s="250"/>
      <c r="M22" s="250"/>
      <c r="N22" s="250"/>
      <c r="O22" s="250"/>
      <c r="P22" s="305"/>
      <c r="Q22" s="250"/>
      <c r="R22" s="305"/>
      <c r="S22" s="305"/>
      <c r="T22" s="306"/>
      <c r="U22" s="247"/>
      <c r="V22" s="247"/>
      <c r="W22" s="307"/>
    </row>
    <row r="23">
      <c r="A23" s="250">
        <v>21.0</v>
      </c>
      <c r="B23" s="250"/>
      <c r="C23" s="250"/>
      <c r="D23" s="250"/>
      <c r="E23" s="250"/>
      <c r="F23" s="250"/>
      <c r="G23" s="250"/>
      <c r="H23" s="250"/>
      <c r="I23" s="250"/>
      <c r="J23" s="250"/>
      <c r="K23" s="250"/>
      <c r="L23" s="250"/>
      <c r="M23" s="250"/>
      <c r="N23" s="250"/>
      <c r="O23" s="250"/>
      <c r="P23" s="305"/>
      <c r="Q23" s="250"/>
      <c r="R23" s="305"/>
      <c r="S23" s="305"/>
      <c r="T23" s="306"/>
      <c r="U23" s="247"/>
      <c r="V23" s="247"/>
      <c r="W23" s="307"/>
    </row>
    <row r="24">
      <c r="A24" s="250">
        <v>22.0</v>
      </c>
      <c r="B24" s="250"/>
      <c r="C24" s="250"/>
      <c r="D24" s="250"/>
      <c r="E24" s="250"/>
      <c r="F24" s="250"/>
      <c r="G24" s="250"/>
      <c r="H24" s="250"/>
      <c r="I24" s="250"/>
      <c r="J24" s="250"/>
      <c r="K24" s="250"/>
      <c r="L24" s="250"/>
      <c r="M24" s="250"/>
      <c r="N24" s="250"/>
      <c r="O24" s="250"/>
      <c r="P24" s="305"/>
      <c r="Q24" s="250"/>
      <c r="R24" s="305"/>
      <c r="S24" s="305"/>
      <c r="T24" s="306"/>
      <c r="U24" s="247"/>
      <c r="V24" s="247"/>
      <c r="W24" s="307"/>
    </row>
    <row r="25" ht="16.5" customHeight="1">
      <c r="A25" s="250">
        <v>23.0</v>
      </c>
      <c r="B25" s="250"/>
      <c r="C25" s="250"/>
      <c r="D25" s="250"/>
      <c r="E25" s="250"/>
      <c r="F25" s="250"/>
      <c r="G25" s="250"/>
      <c r="H25" s="250"/>
      <c r="I25" s="250"/>
      <c r="J25" s="250"/>
      <c r="K25" s="250"/>
      <c r="L25" s="250"/>
      <c r="M25" s="250"/>
      <c r="N25" s="250"/>
      <c r="O25" s="250"/>
      <c r="P25" s="305"/>
      <c r="Q25" s="250"/>
      <c r="R25" s="305"/>
      <c r="S25" s="305"/>
      <c r="T25" s="306"/>
      <c r="U25" s="247"/>
      <c r="V25" s="247"/>
      <c r="W25" s="307"/>
    </row>
    <row r="26" ht="15.0" customHeight="1">
      <c r="A26" s="250">
        <v>24.0</v>
      </c>
      <c r="B26" s="250"/>
      <c r="C26" s="250"/>
      <c r="D26" s="250"/>
      <c r="E26" s="250"/>
      <c r="F26" s="250"/>
      <c r="G26" s="250"/>
      <c r="H26" s="250"/>
      <c r="I26" s="250"/>
      <c r="J26" s="250"/>
      <c r="K26" s="250"/>
      <c r="L26" s="250"/>
      <c r="M26" s="250"/>
      <c r="N26" s="250"/>
      <c r="O26" s="250"/>
      <c r="P26" s="305"/>
      <c r="Q26" s="250"/>
      <c r="R26" s="305"/>
      <c r="S26" s="305"/>
      <c r="T26" s="306"/>
      <c r="U26" s="247"/>
      <c r="V26" s="247"/>
      <c r="W26" s="307"/>
    </row>
    <row r="27">
      <c r="A27" s="250">
        <v>25.0</v>
      </c>
      <c r="B27" s="250"/>
      <c r="C27" s="250"/>
      <c r="D27" s="250"/>
      <c r="E27" s="250"/>
      <c r="F27" s="250"/>
      <c r="G27" s="308"/>
      <c r="H27" s="308"/>
      <c r="I27" s="308"/>
      <c r="J27" s="250"/>
      <c r="K27" s="250"/>
      <c r="L27" s="250"/>
      <c r="M27" s="250"/>
      <c r="N27" s="250"/>
      <c r="O27" s="250"/>
      <c r="P27" s="305"/>
      <c r="Q27" s="250"/>
      <c r="R27" s="305"/>
      <c r="S27" s="305"/>
      <c r="T27" s="306"/>
      <c r="U27" s="247"/>
      <c r="V27" s="309"/>
      <c r="W27" s="250"/>
    </row>
    <row r="28">
      <c r="A28" s="250">
        <v>26.0</v>
      </c>
      <c r="B28" s="250"/>
      <c r="C28" s="250"/>
      <c r="D28" s="250"/>
      <c r="E28" s="250"/>
      <c r="F28" s="250"/>
      <c r="G28" s="250"/>
      <c r="H28" s="250"/>
      <c r="I28" s="250"/>
      <c r="J28" s="250"/>
      <c r="K28" s="250"/>
      <c r="L28" s="250"/>
      <c r="M28" s="250"/>
      <c r="N28" s="310"/>
      <c r="O28" s="250"/>
      <c r="P28" s="305"/>
      <c r="Q28" s="250"/>
      <c r="R28" s="305"/>
      <c r="S28" s="305"/>
      <c r="T28" s="306"/>
      <c r="U28" s="247"/>
      <c r="V28" s="247"/>
      <c r="W28" s="307"/>
    </row>
    <row r="29">
      <c r="A29" s="250">
        <v>27.0</v>
      </c>
      <c r="B29" s="250"/>
      <c r="C29" s="250"/>
      <c r="D29" s="250"/>
      <c r="E29" s="250"/>
      <c r="F29" s="250"/>
      <c r="G29" s="250"/>
      <c r="H29" s="250"/>
      <c r="I29" s="250"/>
      <c r="J29" s="250"/>
      <c r="K29" s="250"/>
      <c r="L29" s="250"/>
      <c r="M29" s="250"/>
      <c r="N29" s="310"/>
      <c r="O29" s="250"/>
      <c r="P29" s="305"/>
      <c r="Q29" s="250"/>
      <c r="R29" s="305"/>
      <c r="S29" s="305"/>
      <c r="T29" s="306"/>
      <c r="U29" s="247"/>
      <c r="V29" s="247"/>
      <c r="W29" s="307"/>
    </row>
    <row r="30">
      <c r="A30" s="250">
        <v>28.0</v>
      </c>
      <c r="B30" s="250"/>
      <c r="C30" s="250"/>
      <c r="D30" s="250"/>
      <c r="E30" s="250"/>
      <c r="F30" s="250"/>
      <c r="G30" s="250"/>
      <c r="H30" s="250"/>
      <c r="I30" s="250"/>
      <c r="J30" s="250"/>
      <c r="K30" s="250"/>
      <c r="L30" s="250"/>
      <c r="M30" s="250"/>
      <c r="N30" s="310"/>
      <c r="O30" s="250"/>
      <c r="P30" s="305"/>
      <c r="Q30" s="250"/>
      <c r="R30" s="305"/>
      <c r="S30" s="305"/>
      <c r="T30" s="311"/>
      <c r="U30" s="247"/>
      <c r="V30" s="247"/>
      <c r="W30" s="307"/>
    </row>
    <row r="31">
      <c r="A31" s="250">
        <v>29.0</v>
      </c>
      <c r="B31" s="250"/>
      <c r="C31" s="250"/>
      <c r="D31" s="250"/>
      <c r="E31" s="250"/>
      <c r="F31" s="250"/>
      <c r="G31" s="250"/>
      <c r="H31" s="250"/>
      <c r="I31" s="250"/>
      <c r="J31" s="250"/>
      <c r="K31" s="250"/>
      <c r="L31" s="250"/>
      <c r="M31" s="250"/>
      <c r="N31" s="250"/>
      <c r="O31" s="250"/>
      <c r="P31" s="305"/>
      <c r="Q31" s="250"/>
      <c r="R31" s="305"/>
      <c r="S31" s="305"/>
      <c r="T31" s="306"/>
      <c r="U31" s="247"/>
      <c r="V31" s="247"/>
      <c r="W31" s="307"/>
    </row>
  </sheetData>
  <autoFilter ref="$A$2:$W$31"/>
  <dataValidations>
    <dataValidation type="list" allowBlank="1" showErrorMessage="1" sqref="M3:M31">
      <formula1>"Beauty Educator Pro ,Beauty Educator Pro + Turbo Pauta  "</formula1>
    </dataValidation>
  </dataValidations>
  <hyperlinks>
    <hyperlink r:id="rId1" ref="J1"/>
  </hyperlinks>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
    <col customWidth="1" min="2" max="2" width="22.0"/>
    <col customWidth="1" min="3" max="3" width="30.88"/>
    <col customWidth="1" min="4" max="4" width="28.13"/>
    <col customWidth="1" min="5" max="5" width="8.38"/>
    <col customWidth="1" min="6" max="6" width="2.63"/>
    <col customWidth="1" min="7" max="7" width="27.5"/>
    <col customWidth="1" min="8" max="8" width="17.88"/>
    <col customWidth="1" min="9" max="9" width="16.38"/>
  </cols>
  <sheetData>
    <row r="1">
      <c r="A1" s="312" t="s">
        <v>4421</v>
      </c>
      <c r="B1" s="313" t="s">
        <v>4422</v>
      </c>
      <c r="C1" s="314" t="s">
        <v>4423</v>
      </c>
      <c r="D1" s="315" t="s">
        <v>4424</v>
      </c>
      <c r="E1" s="315" t="s">
        <v>4425</v>
      </c>
      <c r="F1" s="3"/>
      <c r="G1" s="316" t="s">
        <v>4426</v>
      </c>
    </row>
    <row r="2">
      <c r="A2" s="317">
        <v>1.0</v>
      </c>
      <c r="B2" s="250"/>
      <c r="C2" s="250"/>
      <c r="D2" s="318"/>
      <c r="E2" s="305"/>
      <c r="F2" s="3"/>
      <c r="G2" s="319" t="s">
        <v>4427</v>
      </c>
      <c r="H2" s="320" t="s">
        <v>4428</v>
      </c>
      <c r="I2" s="320" t="s">
        <v>4429</v>
      </c>
    </row>
    <row r="3">
      <c r="A3" s="317">
        <v>2.0</v>
      </c>
      <c r="B3" s="250"/>
      <c r="C3" s="250"/>
      <c r="D3" s="318"/>
      <c r="E3" s="305"/>
      <c r="F3" s="3"/>
      <c r="G3" s="321"/>
      <c r="H3" s="322"/>
      <c r="I3" s="322"/>
    </row>
    <row r="4">
      <c r="A4" s="317">
        <v>3.0</v>
      </c>
      <c r="B4" s="308"/>
      <c r="C4" s="308"/>
      <c r="D4" s="318"/>
      <c r="E4" s="323"/>
      <c r="F4" s="3"/>
      <c r="G4" s="3"/>
      <c r="H4" s="3"/>
      <c r="I4" s="3"/>
    </row>
    <row r="5">
      <c r="A5" s="317">
        <v>4.0</v>
      </c>
      <c r="B5" s="250"/>
      <c r="C5" s="250"/>
      <c r="D5" s="318"/>
      <c r="E5" s="305"/>
      <c r="F5" s="3"/>
      <c r="G5" s="3"/>
      <c r="H5" s="3"/>
      <c r="I5" s="3"/>
    </row>
    <row r="6">
      <c r="A6" s="317">
        <v>5.0</v>
      </c>
      <c r="B6" s="250"/>
      <c r="C6" s="250"/>
      <c r="D6" s="318"/>
      <c r="E6" s="305"/>
      <c r="F6" s="3"/>
      <c r="G6" s="324" t="s">
        <v>4430</v>
      </c>
      <c r="H6" s="230"/>
      <c r="I6" s="230"/>
      <c r="J6" s="230"/>
      <c r="K6" s="230"/>
      <c r="L6" s="62"/>
    </row>
    <row r="7">
      <c r="A7" s="317">
        <v>6.0</v>
      </c>
      <c r="B7" s="308"/>
      <c r="C7" s="308"/>
      <c r="D7" s="318"/>
      <c r="E7" s="323"/>
      <c r="F7" s="3"/>
      <c r="G7" s="325" t="s">
        <v>4431</v>
      </c>
      <c r="H7" s="326" t="s">
        <v>4432</v>
      </c>
      <c r="I7" s="326" t="s">
        <v>4433</v>
      </c>
      <c r="J7" s="327" t="s">
        <v>437</v>
      </c>
      <c r="K7" s="327" t="s">
        <v>4434</v>
      </c>
      <c r="L7" s="326" t="s">
        <v>4435</v>
      </c>
    </row>
    <row r="8">
      <c r="A8" s="317">
        <v>7.0</v>
      </c>
      <c r="B8" s="250"/>
      <c r="C8" s="250"/>
      <c r="D8" s="318"/>
      <c r="E8" s="305"/>
      <c r="F8" s="3"/>
      <c r="G8" s="328"/>
      <c r="H8" s="329"/>
      <c r="I8" s="330" t="str">
        <f t="shared" ref="I8:I11" si="1">J8/H8</f>
        <v>#DIV/0!</v>
      </c>
      <c r="J8" s="331"/>
      <c r="K8" s="331"/>
      <c r="L8" s="332" t="str">
        <f t="shared" ref="L8:L11" si="2">K8/J8</f>
        <v>#DIV/0!</v>
      </c>
    </row>
    <row r="9">
      <c r="A9" s="317">
        <v>8.0</v>
      </c>
      <c r="B9" s="250"/>
      <c r="C9" s="250"/>
      <c r="D9" s="318"/>
      <c r="E9" s="305"/>
      <c r="F9" s="3"/>
      <c r="G9" s="318"/>
      <c r="H9" s="329"/>
      <c r="I9" s="330" t="str">
        <f t="shared" si="1"/>
        <v>#DIV/0!</v>
      </c>
      <c r="J9" s="331"/>
      <c r="K9" s="331"/>
      <c r="L9" s="332" t="str">
        <f t="shared" si="2"/>
        <v>#DIV/0!</v>
      </c>
    </row>
    <row r="10">
      <c r="A10" s="317">
        <v>9.0</v>
      </c>
      <c r="B10" s="250"/>
      <c r="C10" s="250"/>
      <c r="D10" s="318"/>
      <c r="E10" s="305"/>
      <c r="F10" s="3"/>
      <c r="G10" s="318"/>
      <c r="H10" s="329"/>
      <c r="I10" s="330" t="str">
        <f t="shared" si="1"/>
        <v>#DIV/0!</v>
      </c>
      <c r="J10" s="331"/>
      <c r="K10" s="331"/>
      <c r="L10" s="332" t="str">
        <f t="shared" si="2"/>
        <v>#DIV/0!</v>
      </c>
    </row>
    <row r="11">
      <c r="A11" s="317">
        <v>10.0</v>
      </c>
      <c r="B11" s="250"/>
      <c r="C11" s="250"/>
      <c r="D11" s="250"/>
      <c r="E11" s="305"/>
      <c r="F11" s="3"/>
      <c r="G11" s="318"/>
      <c r="H11" s="329"/>
      <c r="I11" s="330" t="str">
        <f t="shared" si="1"/>
        <v>#DIV/0!</v>
      </c>
      <c r="J11" s="331"/>
      <c r="K11" s="331"/>
      <c r="L11" s="332" t="str">
        <f t="shared" si="2"/>
        <v>#DIV/0!</v>
      </c>
    </row>
    <row r="12">
      <c r="A12" s="317">
        <v>11.0</v>
      </c>
      <c r="B12" s="250"/>
      <c r="C12" s="250"/>
      <c r="D12" s="318"/>
      <c r="E12" s="305"/>
      <c r="F12" s="3"/>
      <c r="G12" s="3"/>
      <c r="H12" s="3"/>
      <c r="I12" s="3"/>
    </row>
    <row r="13">
      <c r="A13" s="317">
        <v>12.0</v>
      </c>
      <c r="B13" s="250"/>
      <c r="C13" s="250"/>
      <c r="D13" s="318"/>
      <c r="E13" s="305"/>
      <c r="F13" s="3"/>
      <c r="G13" s="3"/>
      <c r="H13" s="3"/>
      <c r="I13" s="3"/>
    </row>
    <row r="14">
      <c r="A14" s="317">
        <v>13.0</v>
      </c>
      <c r="B14" s="308"/>
      <c r="C14" s="308"/>
      <c r="D14" s="318"/>
      <c r="E14" s="323"/>
      <c r="F14" s="3"/>
      <c r="G14" s="333"/>
      <c r="H14" s="3"/>
      <c r="I14" s="3"/>
    </row>
    <row r="15">
      <c r="A15" s="317">
        <v>14.0</v>
      </c>
      <c r="B15" s="250"/>
      <c r="C15" s="250"/>
      <c r="D15" s="318"/>
      <c r="E15" s="305"/>
      <c r="F15" s="3"/>
      <c r="G15" s="3"/>
      <c r="H15" s="3"/>
      <c r="I15" s="3"/>
    </row>
    <row r="16">
      <c r="A16" s="317">
        <v>15.0</v>
      </c>
      <c r="B16" s="250"/>
      <c r="C16" s="250"/>
      <c r="D16" s="318"/>
      <c r="E16" s="305"/>
      <c r="F16" s="3"/>
      <c r="G16" s="3"/>
      <c r="H16" s="3"/>
      <c r="I16" s="3"/>
    </row>
    <row r="17">
      <c r="A17" s="317">
        <v>16.0</v>
      </c>
      <c r="B17" s="250"/>
      <c r="C17" s="250"/>
      <c r="D17" s="318"/>
      <c r="E17" s="305"/>
      <c r="F17" s="3"/>
      <c r="G17" s="3"/>
      <c r="H17" s="3"/>
      <c r="I17" s="3"/>
    </row>
    <row r="18">
      <c r="A18" s="317">
        <v>17.0</v>
      </c>
      <c r="B18" s="250"/>
      <c r="C18" s="250"/>
      <c r="D18" s="318"/>
      <c r="E18" s="305"/>
      <c r="F18" s="3"/>
      <c r="G18" s="3"/>
      <c r="H18" s="3"/>
      <c r="I18" s="3"/>
    </row>
    <row r="19">
      <c r="A19" s="317">
        <v>18.0</v>
      </c>
      <c r="B19" s="308"/>
      <c r="C19" s="308"/>
      <c r="D19" s="318"/>
      <c r="E19" s="323"/>
      <c r="F19" s="3"/>
      <c r="G19" s="3"/>
      <c r="H19" s="3"/>
      <c r="I19" s="3"/>
    </row>
    <row r="20" ht="12.75" customHeight="1">
      <c r="A20" s="317">
        <v>19.0</v>
      </c>
      <c r="B20" s="308"/>
      <c r="C20" s="308"/>
      <c r="D20" s="318"/>
      <c r="E20" s="323"/>
      <c r="F20" s="3"/>
      <c r="G20" s="3"/>
      <c r="H20" s="3"/>
      <c r="I20" s="3"/>
    </row>
    <row r="21" ht="17.25" customHeight="1">
      <c r="A21" s="317">
        <v>20.0</v>
      </c>
      <c r="B21" s="308"/>
      <c r="C21" s="308"/>
      <c r="D21" s="318"/>
      <c r="E21" s="323"/>
      <c r="F21" s="3"/>
      <c r="G21" s="3"/>
      <c r="H21" s="3"/>
      <c r="I21" s="3"/>
    </row>
    <row r="22">
      <c r="A22" s="317">
        <v>21.0</v>
      </c>
      <c r="B22" s="334"/>
      <c r="C22" s="334"/>
      <c r="D22" s="318"/>
      <c r="E22" s="305"/>
      <c r="F22" s="3"/>
      <c r="G22" s="3"/>
      <c r="H22" s="3"/>
      <c r="I22" s="3"/>
    </row>
    <row r="23">
      <c r="A23" s="317">
        <v>22.0</v>
      </c>
      <c r="B23" s="334"/>
      <c r="C23" s="334"/>
      <c r="D23" s="318"/>
      <c r="E23" s="305"/>
      <c r="F23" s="3"/>
      <c r="G23" s="3"/>
      <c r="H23" s="3"/>
      <c r="I23" s="3"/>
    </row>
    <row r="24">
      <c r="A24" s="317">
        <v>23.0</v>
      </c>
      <c r="B24" s="334"/>
      <c r="C24" s="334"/>
      <c r="D24" s="318"/>
      <c r="E24" s="305"/>
      <c r="F24" s="3"/>
      <c r="G24" s="3"/>
      <c r="H24" s="3"/>
      <c r="I24" s="3"/>
    </row>
    <row r="25">
      <c r="A25" s="317">
        <v>24.0</v>
      </c>
      <c r="B25" s="250"/>
      <c r="C25" s="250"/>
      <c r="D25" s="318"/>
      <c r="E25" s="318"/>
      <c r="F25" s="3"/>
      <c r="G25" s="3"/>
      <c r="H25" s="3"/>
      <c r="I25" s="3"/>
    </row>
    <row r="26">
      <c r="A26" s="317">
        <v>25.0</v>
      </c>
      <c r="B26" s="250"/>
      <c r="C26" s="250"/>
      <c r="D26" s="318"/>
      <c r="E26" s="318"/>
      <c r="F26" s="3"/>
      <c r="G26" s="3"/>
      <c r="H26" s="3"/>
      <c r="I26" s="3"/>
    </row>
    <row r="27">
      <c r="A27" s="317">
        <v>26.0</v>
      </c>
      <c r="B27" s="250"/>
      <c r="C27" s="250"/>
      <c r="D27" s="318"/>
      <c r="E27" s="318"/>
      <c r="F27" s="3"/>
      <c r="G27" s="3"/>
      <c r="H27" s="3"/>
      <c r="I27" s="3"/>
    </row>
    <row r="28">
      <c r="A28" s="317">
        <v>27.0</v>
      </c>
      <c r="B28" s="250"/>
      <c r="C28" s="250"/>
      <c r="D28" s="318"/>
      <c r="E28" s="318"/>
      <c r="F28" s="3"/>
      <c r="G28" s="3"/>
      <c r="H28" s="3"/>
      <c r="I28" s="3"/>
    </row>
    <row r="29">
      <c r="A29" s="317">
        <v>28.0</v>
      </c>
      <c r="B29" s="250"/>
      <c r="C29" s="250"/>
      <c r="D29" s="318"/>
      <c r="E29" s="318"/>
      <c r="F29" s="3"/>
    </row>
    <row r="30" ht="18.0" customHeight="1">
      <c r="A30" s="317">
        <v>31.0</v>
      </c>
      <c r="B30" s="250"/>
      <c r="C30" s="250"/>
      <c r="D30" s="318"/>
      <c r="E30" s="318"/>
      <c r="F30" s="3"/>
    </row>
    <row r="31">
      <c r="A31" s="317">
        <v>32.0</v>
      </c>
      <c r="B31" s="250"/>
      <c r="C31" s="250"/>
      <c r="D31" s="318"/>
      <c r="E31" s="318"/>
      <c r="F31" s="3"/>
    </row>
    <row r="32">
      <c r="A32" s="317">
        <v>33.0</v>
      </c>
      <c r="B32" s="250"/>
      <c r="C32" s="250"/>
      <c r="D32" s="318"/>
      <c r="E32" s="318"/>
      <c r="F32" s="3"/>
    </row>
    <row r="33">
      <c r="A33" s="317">
        <v>34.0</v>
      </c>
      <c r="B33" s="334"/>
      <c r="C33" s="334"/>
      <c r="D33" s="318"/>
      <c r="E33" s="318"/>
    </row>
    <row r="34">
      <c r="A34" s="317">
        <v>35.0</v>
      </c>
      <c r="B34" s="334"/>
      <c r="C34" s="334"/>
      <c r="D34" s="318"/>
      <c r="E34" s="318"/>
    </row>
    <row r="35">
      <c r="A35" s="317">
        <v>36.0</v>
      </c>
      <c r="B35" s="334"/>
      <c r="C35" s="307"/>
      <c r="D35" s="318"/>
      <c r="E35" s="318"/>
    </row>
    <row r="36">
      <c r="A36" s="317">
        <v>37.0</v>
      </c>
      <c r="B36" s="334"/>
      <c r="C36" s="307"/>
      <c r="D36" s="318"/>
      <c r="E36" s="318"/>
    </row>
    <row r="37">
      <c r="A37" s="317">
        <v>38.0</v>
      </c>
      <c r="B37" s="308"/>
      <c r="C37" s="307"/>
      <c r="D37" s="335"/>
      <c r="E37" s="318"/>
    </row>
    <row r="38">
      <c r="A38" s="317">
        <v>39.0</v>
      </c>
      <c r="B38" s="308"/>
      <c r="C38" s="307"/>
      <c r="D38" s="335"/>
      <c r="E38" s="318"/>
    </row>
  </sheetData>
  <mergeCells count="2">
    <mergeCell ref="G1:I1"/>
    <mergeCell ref="G6:L6"/>
  </mergeCells>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3" max="3" width="30.25"/>
    <col customWidth="1" min="4" max="4" width="31.13"/>
    <col customWidth="1" min="5" max="5" width="38.13"/>
    <col customWidth="1" min="6" max="6" width="15.75"/>
    <col customWidth="1" min="7" max="7" width="15.38"/>
    <col customWidth="1" min="8" max="8" width="16.88"/>
    <col customWidth="1" min="10" max="10" width="11.63"/>
  </cols>
  <sheetData>
    <row r="1">
      <c r="A1" s="336"/>
      <c r="B1" s="337" t="s">
        <v>4436</v>
      </c>
      <c r="C1" s="336"/>
      <c r="D1" s="336"/>
      <c r="E1" s="336"/>
      <c r="F1" s="338"/>
      <c r="G1" s="339"/>
      <c r="H1" s="336"/>
      <c r="I1" s="336"/>
      <c r="J1" s="336"/>
      <c r="K1" s="3"/>
    </row>
    <row r="2">
      <c r="A2" s="336"/>
      <c r="B2" s="340">
        <v>45887.0</v>
      </c>
      <c r="C2" s="336"/>
      <c r="D2" s="336"/>
      <c r="E2" s="336"/>
      <c r="F2" s="341"/>
      <c r="G2" s="339"/>
      <c r="H2" s="336"/>
      <c r="I2" s="336"/>
      <c r="J2" s="336"/>
      <c r="K2" s="3"/>
    </row>
    <row r="3">
      <c r="A3" s="336"/>
      <c r="B3" s="336"/>
      <c r="C3" s="336"/>
      <c r="D3" s="336"/>
      <c r="E3" s="336"/>
      <c r="F3" s="342" t="s">
        <v>4437</v>
      </c>
      <c r="G3" s="343" t="s">
        <v>4438</v>
      </c>
      <c r="H3" s="343" t="s">
        <v>4439</v>
      </c>
      <c r="I3" s="343" t="s">
        <v>4440</v>
      </c>
      <c r="K3" s="3"/>
    </row>
    <row r="4">
      <c r="A4" s="336"/>
      <c r="B4" s="336"/>
      <c r="C4" s="336"/>
      <c r="D4" s="336"/>
      <c r="E4" s="336"/>
      <c r="F4" s="344">
        <f>SUM(F9:F308)</f>
        <v>0</v>
      </c>
      <c r="G4" s="345">
        <f>SUM(G7:G309)</f>
        <v>0</v>
      </c>
      <c r="H4" s="346">
        <f>F4-G4</f>
        <v>0</v>
      </c>
      <c r="I4" s="347">
        <f>SUM('Compras nov'!V3:V31)</f>
        <v>0</v>
      </c>
      <c r="K4" s="3"/>
    </row>
    <row r="5">
      <c r="A5" s="3"/>
      <c r="B5" s="348"/>
      <c r="C5" s="3"/>
      <c r="D5" s="3"/>
      <c r="E5" s="3"/>
      <c r="F5" s="349"/>
      <c r="G5" s="350"/>
      <c r="H5" s="351"/>
      <c r="I5" s="3"/>
      <c r="J5" s="3"/>
      <c r="K5" s="3"/>
    </row>
    <row r="6">
      <c r="A6" s="352"/>
      <c r="B6" s="353" t="s">
        <v>441</v>
      </c>
      <c r="C6" s="354" t="s">
        <v>4441</v>
      </c>
      <c r="D6" s="355" t="s">
        <v>4442</v>
      </c>
      <c r="E6" s="355" t="s">
        <v>4443</v>
      </c>
      <c r="F6" s="342" t="s">
        <v>4444</v>
      </c>
      <c r="G6" s="343" t="s">
        <v>4444</v>
      </c>
      <c r="H6" s="343" t="s">
        <v>443</v>
      </c>
      <c r="I6" s="3"/>
      <c r="J6" s="3"/>
      <c r="K6" s="356"/>
    </row>
    <row r="7">
      <c r="A7" s="357"/>
      <c r="B7" s="310"/>
      <c r="C7" s="250"/>
      <c r="D7" s="250"/>
      <c r="E7" s="305"/>
      <c r="F7" s="309"/>
      <c r="G7" s="358"/>
      <c r="H7" s="359"/>
      <c r="I7" s="195"/>
      <c r="J7" s="360"/>
      <c r="K7" s="3"/>
    </row>
    <row r="8">
      <c r="A8" s="357"/>
      <c r="B8" s="310"/>
      <c r="C8" s="250"/>
      <c r="D8" s="250"/>
      <c r="E8" s="305"/>
      <c r="F8" s="309"/>
      <c r="G8" s="358"/>
      <c r="H8" s="359"/>
      <c r="I8" s="195"/>
      <c r="J8" s="360"/>
      <c r="K8" s="3"/>
    </row>
    <row r="9">
      <c r="A9" s="361">
        <v>1.0</v>
      </c>
      <c r="B9" s="362"/>
      <c r="C9" s="250"/>
      <c r="D9" s="250"/>
      <c r="E9" s="305"/>
      <c r="F9" s="309"/>
      <c r="G9" s="363"/>
      <c r="H9" s="359"/>
      <c r="I9" s="195"/>
      <c r="J9" s="360"/>
      <c r="K9" s="3"/>
    </row>
    <row r="10">
      <c r="A10" s="364">
        <v>2.0</v>
      </c>
      <c r="B10" s="362"/>
      <c r="C10" s="250"/>
      <c r="D10" s="250"/>
      <c r="E10" s="305"/>
      <c r="F10" s="309"/>
      <c r="G10" s="365"/>
      <c r="H10" s="359"/>
      <c r="I10" s="195"/>
      <c r="J10" s="360"/>
      <c r="K10" s="3"/>
    </row>
    <row r="11">
      <c r="A11" s="361">
        <v>3.0</v>
      </c>
      <c r="B11" s="362"/>
      <c r="C11" s="250"/>
      <c r="D11" s="250"/>
      <c r="E11" s="305"/>
      <c r="F11" s="309"/>
      <c r="G11" s="365"/>
      <c r="H11" s="359"/>
      <c r="I11" s="195"/>
      <c r="J11" s="360"/>
      <c r="K11" s="3"/>
    </row>
    <row r="12">
      <c r="A12" s="364">
        <v>4.0</v>
      </c>
      <c r="B12" s="362"/>
      <c r="C12" s="250"/>
      <c r="D12" s="250"/>
      <c r="E12" s="305"/>
      <c r="F12" s="309"/>
      <c r="G12" s="365"/>
      <c r="H12" s="359"/>
      <c r="I12" s="195"/>
      <c r="J12" s="360"/>
      <c r="K12" s="3"/>
    </row>
    <row r="13">
      <c r="A13" s="361">
        <v>5.0</v>
      </c>
      <c r="B13" s="362"/>
      <c r="C13" s="250"/>
      <c r="D13" s="250"/>
      <c r="E13" s="305"/>
      <c r="F13" s="309"/>
      <c r="G13" s="366"/>
      <c r="H13" s="359"/>
      <c r="I13" s="360"/>
      <c r="J13" s="3"/>
    </row>
    <row r="14">
      <c r="A14" s="364">
        <v>6.0</v>
      </c>
      <c r="B14" s="362"/>
      <c r="C14" s="250"/>
      <c r="D14" s="250"/>
      <c r="E14" s="305"/>
      <c r="F14" s="367"/>
      <c r="G14" s="365"/>
      <c r="H14" s="359"/>
      <c r="I14" s="195"/>
      <c r="J14" s="360"/>
      <c r="K14" s="3"/>
    </row>
    <row r="15">
      <c r="A15" s="361">
        <v>7.0</v>
      </c>
      <c r="B15" s="362"/>
      <c r="C15" s="250"/>
      <c r="D15" s="250"/>
      <c r="E15" s="305"/>
      <c r="F15" s="367"/>
      <c r="G15" s="365"/>
      <c r="H15" s="359"/>
      <c r="I15" s="195"/>
      <c r="J15" s="360"/>
      <c r="K15" s="3"/>
    </row>
    <row r="16">
      <c r="A16" s="364">
        <v>8.0</v>
      </c>
      <c r="B16" s="362"/>
      <c r="C16" s="250"/>
      <c r="D16" s="250"/>
      <c r="E16" s="305"/>
      <c r="F16" s="367"/>
      <c r="G16" s="365"/>
      <c r="H16" s="359"/>
      <c r="I16" s="195"/>
      <c r="J16" s="360"/>
      <c r="K16" s="3"/>
    </row>
    <row r="17">
      <c r="A17" s="361">
        <v>9.0</v>
      </c>
      <c r="B17" s="362"/>
      <c r="C17" s="250"/>
      <c r="D17" s="250"/>
      <c r="E17" s="305"/>
      <c r="F17" s="367"/>
      <c r="G17" s="365"/>
      <c r="H17" s="359"/>
      <c r="I17" s="195"/>
      <c r="J17" s="360"/>
      <c r="K17" s="3"/>
    </row>
    <row r="18">
      <c r="A18" s="364">
        <v>10.0</v>
      </c>
      <c r="B18" s="362"/>
      <c r="C18" s="250"/>
      <c r="D18" s="250"/>
      <c r="E18" s="305"/>
      <c r="F18" s="367"/>
      <c r="G18" s="363"/>
      <c r="H18" s="359"/>
      <c r="I18" s="195"/>
      <c r="J18" s="360"/>
      <c r="K18" s="3"/>
    </row>
    <row r="19">
      <c r="A19" s="361">
        <v>11.0</v>
      </c>
      <c r="B19" s="362"/>
      <c r="C19" s="250"/>
      <c r="D19" s="250"/>
      <c r="E19" s="305"/>
      <c r="F19" s="367"/>
      <c r="G19" s="363"/>
      <c r="H19" s="359"/>
      <c r="I19" s="195"/>
      <c r="J19" s="360"/>
      <c r="K19" s="3"/>
    </row>
    <row r="20">
      <c r="A20" s="364">
        <v>12.0</v>
      </c>
      <c r="B20" s="362"/>
      <c r="C20" s="250"/>
      <c r="D20" s="250"/>
      <c r="E20" s="305"/>
      <c r="F20" s="367"/>
      <c r="G20" s="365"/>
      <c r="H20" s="359"/>
      <c r="I20" s="195"/>
      <c r="J20" s="360"/>
      <c r="K20" s="3"/>
    </row>
    <row r="21">
      <c r="A21" s="361">
        <v>13.0</v>
      </c>
      <c r="B21" s="362"/>
      <c r="C21" s="250"/>
      <c r="D21" s="250"/>
      <c r="E21" s="305"/>
      <c r="F21" s="367"/>
      <c r="G21" s="363"/>
      <c r="H21" s="359"/>
      <c r="I21" s="195"/>
      <c r="J21" s="360"/>
      <c r="K21" s="3"/>
    </row>
    <row r="22">
      <c r="A22" s="364">
        <v>14.0</v>
      </c>
      <c r="B22" s="362"/>
      <c r="C22" s="250"/>
      <c r="D22" s="250"/>
      <c r="E22" s="305"/>
      <c r="F22" s="367"/>
      <c r="G22" s="363"/>
      <c r="H22" s="359"/>
      <c r="I22" s="195"/>
      <c r="J22" s="360"/>
      <c r="K22" s="3"/>
    </row>
    <row r="23">
      <c r="A23" s="361">
        <v>15.0</v>
      </c>
      <c r="B23" s="362"/>
      <c r="C23" s="250"/>
      <c r="D23" s="250"/>
      <c r="E23" s="305"/>
      <c r="F23" s="367"/>
      <c r="G23" s="363"/>
      <c r="H23" s="359"/>
      <c r="I23" s="195"/>
      <c r="J23" s="360"/>
      <c r="K23" s="3"/>
    </row>
    <row r="24">
      <c r="A24" s="364">
        <v>16.0</v>
      </c>
      <c r="B24" s="362"/>
      <c r="C24" s="250"/>
      <c r="D24" s="250"/>
      <c r="E24" s="305"/>
      <c r="F24" s="367"/>
      <c r="G24" s="365"/>
      <c r="H24" s="368"/>
      <c r="I24" s="195"/>
      <c r="J24" s="360"/>
      <c r="K24" s="3"/>
    </row>
    <row r="25">
      <c r="A25" s="361">
        <v>17.0</v>
      </c>
      <c r="B25" s="362"/>
      <c r="C25" s="250"/>
      <c r="D25" s="250"/>
      <c r="E25" s="305"/>
      <c r="F25" s="367"/>
      <c r="G25" s="363"/>
      <c r="H25" s="359"/>
      <c r="I25" s="195"/>
      <c r="J25" s="360"/>
      <c r="K25" s="3"/>
    </row>
    <row r="26">
      <c r="A26" s="364">
        <v>18.0</v>
      </c>
      <c r="B26" s="362"/>
      <c r="C26" s="250"/>
      <c r="D26" s="250"/>
      <c r="E26" s="305"/>
      <c r="F26" s="367"/>
      <c r="G26" s="363"/>
      <c r="H26" s="359"/>
      <c r="I26" s="195"/>
      <c r="J26" s="360"/>
      <c r="K26" s="3"/>
    </row>
    <row r="27">
      <c r="A27" s="361">
        <v>19.0</v>
      </c>
      <c r="B27" s="362"/>
      <c r="C27" s="250"/>
      <c r="D27" s="250"/>
      <c r="E27" s="305"/>
      <c r="F27" s="367"/>
      <c r="G27" s="363"/>
      <c r="H27" s="359"/>
      <c r="I27" s="195"/>
      <c r="J27" s="360"/>
      <c r="K27" s="3"/>
    </row>
    <row r="28">
      <c r="A28" s="364">
        <v>20.0</v>
      </c>
      <c r="B28" s="362"/>
      <c r="C28" s="250"/>
      <c r="D28" s="250"/>
      <c r="E28" s="305"/>
      <c r="F28" s="367"/>
      <c r="G28" s="363"/>
      <c r="H28" s="359"/>
      <c r="I28" s="195"/>
      <c r="J28" s="360"/>
      <c r="K28" s="3"/>
    </row>
    <row r="29">
      <c r="A29" s="361">
        <v>21.0</v>
      </c>
      <c r="B29" s="362"/>
      <c r="C29" s="250"/>
      <c r="D29" s="250"/>
      <c r="E29" s="305"/>
      <c r="F29" s="367"/>
      <c r="G29" s="363"/>
      <c r="H29" s="359"/>
      <c r="I29" s="195"/>
      <c r="J29" s="360"/>
      <c r="K29" s="3"/>
    </row>
    <row r="30">
      <c r="A30" s="364">
        <v>22.0</v>
      </c>
      <c r="B30" s="362"/>
      <c r="C30" s="250"/>
      <c r="D30" s="250"/>
      <c r="E30" s="305"/>
      <c r="F30" s="367"/>
      <c r="G30" s="363"/>
      <c r="H30" s="359"/>
      <c r="I30" s="195"/>
      <c r="J30" s="360"/>
      <c r="K30" s="3"/>
    </row>
    <row r="31">
      <c r="A31" s="361">
        <v>23.0</v>
      </c>
      <c r="B31" s="362"/>
      <c r="C31" s="250"/>
      <c r="D31" s="250"/>
      <c r="E31" s="305"/>
      <c r="F31" s="367"/>
      <c r="G31" s="363"/>
      <c r="H31" s="359"/>
      <c r="I31" s="351"/>
      <c r="J31" s="351"/>
      <c r="K31" s="351"/>
    </row>
    <row r="32">
      <c r="A32" s="364">
        <v>24.0</v>
      </c>
      <c r="B32" s="362"/>
      <c r="C32" s="250"/>
      <c r="D32" s="250"/>
      <c r="E32" s="305"/>
      <c r="F32" s="367"/>
      <c r="G32" s="363"/>
      <c r="H32" s="359"/>
      <c r="I32" s="351"/>
      <c r="J32" s="351"/>
      <c r="K32" s="351"/>
    </row>
    <row r="33">
      <c r="A33" s="361">
        <v>25.0</v>
      </c>
      <c r="B33" s="362"/>
      <c r="C33" s="250"/>
      <c r="D33" s="250"/>
      <c r="E33" s="305"/>
      <c r="F33" s="367"/>
      <c r="G33" s="363"/>
      <c r="H33" s="359"/>
      <c r="I33" s="195"/>
      <c r="J33" s="360"/>
      <c r="K33" s="3"/>
    </row>
    <row r="34">
      <c r="A34" s="364">
        <v>26.0</v>
      </c>
      <c r="B34" s="362"/>
      <c r="C34" s="250"/>
      <c r="D34" s="250"/>
      <c r="E34" s="305"/>
      <c r="F34" s="367"/>
      <c r="G34" s="369"/>
      <c r="H34" s="370"/>
    </row>
    <row r="35">
      <c r="A35" s="361">
        <v>27.0</v>
      </c>
      <c r="B35" s="362"/>
      <c r="C35" s="250"/>
      <c r="D35" s="250"/>
      <c r="E35" s="305"/>
      <c r="F35" s="367"/>
      <c r="G35" s="369"/>
      <c r="H35" s="370"/>
    </row>
    <row r="36">
      <c r="A36" s="364">
        <v>28.0</v>
      </c>
      <c r="B36" s="362"/>
      <c r="C36" s="250"/>
      <c r="D36" s="250"/>
      <c r="E36" s="305"/>
      <c r="F36" s="367"/>
      <c r="G36" s="369"/>
      <c r="H36" s="370"/>
    </row>
    <row r="37">
      <c r="A37" s="361">
        <v>29.0</v>
      </c>
      <c r="B37" s="362"/>
      <c r="C37" s="250"/>
      <c r="D37" s="250"/>
      <c r="E37" s="305"/>
      <c r="F37" s="367"/>
      <c r="G37" s="369"/>
      <c r="H37" s="370"/>
    </row>
    <row r="38">
      <c r="A38" s="364">
        <v>30.0</v>
      </c>
      <c r="B38" s="362"/>
      <c r="C38" s="334"/>
      <c r="D38" s="250"/>
      <c r="E38" s="305"/>
      <c r="F38" s="367"/>
      <c r="G38" s="369"/>
      <c r="H38" s="370"/>
    </row>
    <row r="39">
      <c r="A39" s="361">
        <v>31.0</v>
      </c>
      <c r="B39" s="362"/>
      <c r="C39" s="334"/>
      <c r="D39" s="250"/>
      <c r="E39" s="305"/>
      <c r="F39" s="367"/>
      <c r="G39" s="369"/>
      <c r="H39" s="370"/>
    </row>
    <row r="40">
      <c r="A40" s="364">
        <v>32.0</v>
      </c>
      <c r="B40" s="310"/>
      <c r="C40" s="308"/>
      <c r="D40" s="250"/>
      <c r="E40" s="305"/>
      <c r="F40" s="367"/>
      <c r="G40" s="369"/>
      <c r="H40" s="370"/>
    </row>
    <row r="41">
      <c r="A41" s="361">
        <v>33.0</v>
      </c>
      <c r="B41" s="310"/>
      <c r="C41" s="308"/>
      <c r="D41" s="250"/>
      <c r="E41" s="305"/>
      <c r="F41" s="367"/>
      <c r="G41" s="369"/>
      <c r="H41" s="370"/>
    </row>
    <row r="42">
      <c r="A42" s="364">
        <v>34.0</v>
      </c>
      <c r="B42" s="310"/>
      <c r="C42" s="308"/>
      <c r="D42" s="307"/>
      <c r="E42" s="305"/>
      <c r="F42" s="309"/>
      <c r="G42" s="369"/>
      <c r="H42" s="370"/>
    </row>
    <row r="43">
      <c r="A43" s="361">
        <v>35.0</v>
      </c>
      <c r="B43" s="310"/>
      <c r="C43" s="308"/>
      <c r="D43" s="307"/>
      <c r="E43" s="305"/>
      <c r="F43" s="309"/>
      <c r="G43" s="369"/>
      <c r="H43" s="370"/>
    </row>
    <row r="44">
      <c r="A44" s="364">
        <v>36.0</v>
      </c>
      <c r="B44" s="310"/>
      <c r="C44" s="308"/>
      <c r="D44" s="307"/>
      <c r="E44" s="305"/>
      <c r="F44" s="309"/>
      <c r="G44" s="369"/>
      <c r="H44" s="370"/>
    </row>
    <row r="45">
      <c r="A45" s="361">
        <v>37.0</v>
      </c>
      <c r="B45" s="310"/>
      <c r="C45" s="308"/>
      <c r="D45" s="307"/>
      <c r="E45" s="305"/>
      <c r="F45" s="309"/>
      <c r="G45" s="369"/>
      <c r="H45" s="370"/>
    </row>
    <row r="46">
      <c r="A46" s="364">
        <v>38.0</v>
      </c>
      <c r="B46" s="310"/>
      <c r="C46" s="308"/>
      <c r="D46" s="307"/>
      <c r="E46" s="305"/>
      <c r="F46" s="309"/>
      <c r="G46" s="369"/>
      <c r="H46" s="370"/>
    </row>
    <row r="47">
      <c r="A47" s="364">
        <v>39.0</v>
      </c>
      <c r="B47" s="310"/>
      <c r="C47" s="308"/>
      <c r="D47" s="307"/>
      <c r="E47" s="305"/>
      <c r="F47" s="309"/>
      <c r="G47" s="369"/>
      <c r="H47" s="370"/>
    </row>
  </sheetData>
  <mergeCells count="2">
    <mergeCell ref="I3:J3"/>
    <mergeCell ref="I4:J4"/>
  </mergeCells>
  <drawing r:id="rId1"/>
</worksheet>
</file>